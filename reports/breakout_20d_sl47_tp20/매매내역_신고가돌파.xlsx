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연도별요약" sheetId="2" state="visible" r:id="rId4"/>
    <sheet name="월별" sheetId="3" state="visible" r:id="rId5"/>
    <sheet name="조건별분석" sheetId="4" state="visible" r:id="rId6"/>
    <sheet name="거래내역" sheetId="5" state="visible" r:id="rId7"/>
    <sheet name="놓친신호" sheetId="6" state="visible" r:id="rId8"/>
  </sheets>
  <definedNames>
    <definedName function="false" hidden="true" localSheetId="4" name="_xlnm._FilterDatabase" vbProcedure="false">거래내역!$A$1:$AG$896</definedName>
    <definedName function="false" hidden="true" localSheetId="5" name="_xlnm._FilterDatabase" vbProcedure="false">놓친신호!$A$1:$AG$910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8" authorId="0">
      <text>
        <r>
          <rPr>
            <sz val="10"/>
            <rFont val="WenQuanYi Zen Hei"/>
            <family val="2"/>
          </rPr>
          <t xml:space="preserve">연도별 수익률의 단순 합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연도마다 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WenQuanYi Zen Hei"/>
            <family val="2"/>
          </rPr>
          <t xml:space="preserve">만원으로 새로 시작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실제 매매 </t>
        </r>
        <r>
          <rPr>
            <sz val="10"/>
            <rFont val="Arial"/>
            <family val="2"/>
          </rPr>
          <t xml:space="preserve">(10</t>
        </r>
        <r>
          <rPr>
            <sz val="10"/>
            <rFont val="WenQuanYi Zen Hei"/>
            <family val="2"/>
          </rPr>
          <t xml:space="preserve">자리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현금 제한 적용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요약 시트들이 이 시트를 참조합니다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조건은 만족했지만 자리가 없어 사지 못한 신호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자리 제한 없이 샀다고 가정한 결과입니다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<sst xmlns="http://schemas.openxmlformats.org/spreadsheetml/2006/main" count="21925" uniqueCount="1547">
  <si>
    <t xml:space="preserve">토스증권 자동매매 — 신고가 돌파 전략 백테스트 매매내역</t>
  </si>
  <si>
    <r>
      <rPr>
        <i val="true"/>
        <sz val="11"/>
        <color rgb="FF808080"/>
        <rFont val="WenQuanYi Zen Hei"/>
        <family val="2"/>
      </rPr>
      <t xml:space="preserve">생성일</t>
    </r>
    <r>
      <rPr>
        <i val="true"/>
        <sz val="11"/>
        <color rgb="FF808080"/>
        <rFont val="Arial"/>
        <family val="0"/>
        <charset val="1"/>
      </rPr>
      <t xml:space="preserve">: 2026-09-28 / </t>
    </r>
    <r>
      <rPr>
        <i val="true"/>
        <sz val="11"/>
        <color rgb="FF808080"/>
        <rFont val="WenQuanYi Zen Hei"/>
        <family val="2"/>
      </rPr>
      <t xml:space="preserve">기간</t>
    </r>
    <r>
      <rPr>
        <i val="true"/>
        <sz val="11"/>
        <color rgb="FF808080"/>
        <rFont val="Arial"/>
        <family val="0"/>
        <charset val="1"/>
      </rPr>
      <t xml:space="preserve">: 2024-01-01 ~ 2026-09-23 / </t>
    </r>
    <r>
      <rPr>
        <i val="true"/>
        <sz val="11"/>
        <color rgb="FF808080"/>
        <rFont val="WenQuanYi Zen Hei"/>
        <family val="2"/>
      </rPr>
      <t xml:space="preserve">생성 스크립트</t>
    </r>
    <r>
      <rPr>
        <i val="true"/>
        <sz val="11"/>
        <color rgb="FF808080"/>
        <rFont val="Arial"/>
        <family val="0"/>
        <charset val="1"/>
      </rPr>
      <t xml:space="preserve">: scripts/make_breakout_report.py</t>
    </r>
  </si>
  <si>
    <t xml:space="preserve">전략 규칙</t>
  </si>
  <si>
    <r>
      <rPr>
        <sz val="11"/>
        <rFont val="WenQuanYi Zen Hei"/>
        <family val="2"/>
      </rPr>
      <t xml:space="preserve">매수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종가 기준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일 신고가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종가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직전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거래일 최고 종가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</si>
  <si>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+ </t>
    </r>
    <r>
      <rPr>
        <sz val="11"/>
        <rFont val="WenQuanYi Zen Hei"/>
        <family val="2"/>
      </rPr>
      <t xml:space="preserve">한 달 내 첫 신고가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직전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거래일 동안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일 신고가가 없었음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</si>
  <si>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+ </t>
    </r>
    <r>
      <rPr>
        <sz val="11"/>
        <rFont val="WenQuanYi Zen Hei"/>
        <family val="2"/>
      </rPr>
      <t xml:space="preserve">당일 거래대금 </t>
    </r>
    <r>
      <rPr>
        <sz val="11"/>
        <rFont val="Arial"/>
        <family val="0"/>
        <charset val="1"/>
      </rPr>
      <t xml:space="preserve">200</t>
    </r>
    <r>
      <rPr>
        <sz val="11"/>
        <rFont val="WenQuanYi Zen Hei"/>
        <family val="2"/>
      </rPr>
      <t xml:space="preserve">억원 이상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직전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일 평균 거래대금 </t>
    </r>
    <r>
      <rPr>
        <sz val="11"/>
        <rFont val="Arial"/>
        <family val="0"/>
        <charset val="1"/>
      </rPr>
      <t xml:space="preserve">30</t>
    </r>
    <r>
      <rPr>
        <sz val="11"/>
        <rFont val="WenQuanYi Zen Hei"/>
        <family val="2"/>
      </rPr>
      <t xml:space="preserve">억원 이상</t>
    </r>
  </si>
  <si>
    <r>
      <rPr>
        <sz val="11"/>
        <rFont val="Arial"/>
        <family val="0"/>
        <charset val="1"/>
      </rPr>
      <t xml:space="preserve">  + </t>
    </r>
    <r>
      <rPr>
        <sz val="11"/>
        <rFont val="WenQuanYi Zen Hei"/>
        <family val="2"/>
      </rPr>
      <t xml:space="preserve">종가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만원 이하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상한가</t>
    </r>
    <r>
      <rPr>
        <sz val="11"/>
        <rFont val="Arial"/>
        <family val="0"/>
        <charset val="1"/>
      </rPr>
      <t xml:space="preserve">(+29.5% </t>
    </r>
    <r>
      <rPr>
        <sz val="11"/>
        <rFont val="WenQuanYi Zen Hei"/>
        <family val="2"/>
      </rPr>
      <t xml:space="preserve">이상</t>
    </r>
    <r>
      <rPr>
        <sz val="11"/>
        <rFont val="Arial"/>
        <family val="0"/>
        <charset val="1"/>
      </rPr>
      <t xml:space="preserve">) </t>
    </r>
    <r>
      <rPr>
        <sz val="11"/>
        <rFont val="WenQuanYi Zen Hei"/>
        <family val="2"/>
      </rPr>
      <t xml:space="preserve">마감 제외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코스피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코스닥 보통주</t>
    </r>
  </si>
  <si>
    <r>
      <rPr>
        <sz val="11"/>
        <rFont val="WenQuanYi Zen Hei"/>
        <family val="2"/>
      </rPr>
      <t xml:space="preserve">  → 신고가 날 종가에 매수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실전</t>
    </r>
    <r>
      <rPr>
        <sz val="11"/>
        <rFont val="Arial"/>
        <family val="0"/>
        <charset val="1"/>
      </rPr>
      <t xml:space="preserve">: 15:10~15:20). </t>
    </r>
    <r>
      <rPr>
        <sz val="11"/>
        <rFont val="WenQuanYi Zen Hei"/>
        <family val="2"/>
      </rPr>
      <t xml:space="preserve">신호가 많으면 당일 거래대금 큰 순서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최대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종목 </t>
    </r>
    <r>
      <rPr>
        <sz val="11"/>
        <rFont val="Arial"/>
        <family val="0"/>
        <charset val="1"/>
      </rPr>
      <t xml:space="preserve">x 10</t>
    </r>
    <r>
      <rPr>
        <sz val="11"/>
        <rFont val="WenQuanYi Zen Hei"/>
        <family val="2"/>
      </rPr>
      <t xml:space="preserve">만원</t>
    </r>
  </si>
  <si>
    <r>
      <rPr>
        <sz val="11"/>
        <rFont val="WenQuanYi Zen Hei"/>
        <family val="2"/>
      </rPr>
      <t xml:space="preserve">매도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손절 </t>
    </r>
    <r>
      <rPr>
        <sz val="11"/>
        <rFont val="Arial"/>
        <family val="0"/>
        <charset val="1"/>
      </rPr>
      <t xml:space="preserve">-4.7% (</t>
    </r>
    <r>
      <rPr>
        <sz val="11"/>
        <rFont val="WenQuanYi Zen Hei"/>
        <family val="2"/>
      </rPr>
      <t xml:space="preserve">장중 저가가 닿으면 손절가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갭하락이면 시가</t>
    </r>
    <r>
      <rPr>
        <sz val="11"/>
        <rFont val="Arial"/>
        <family val="0"/>
        <charset val="1"/>
      </rPr>
      <t xml:space="preserve">) / </t>
    </r>
    <r>
      <rPr>
        <sz val="11"/>
        <rFont val="WenQuanYi Zen Hei"/>
        <family val="2"/>
      </rPr>
      <t xml:space="preserve">익절 </t>
    </r>
    <r>
      <rPr>
        <sz val="11"/>
        <rFont val="Arial"/>
        <family val="0"/>
        <charset val="1"/>
      </rPr>
      <t xml:space="preserve">+20% (</t>
    </r>
    <r>
      <rPr>
        <sz val="11"/>
        <rFont val="WenQuanYi Zen Hei"/>
        <family val="2"/>
      </rPr>
      <t xml:space="preserve">고가가 닿으면 익절가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갭상승이면 시가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</si>
  <si>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  같은 날 손절가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익절가 모두 닿으면 손절로 가정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보수적</t>
    </r>
    <r>
      <rPr>
        <sz val="11"/>
        <rFont val="Arial"/>
        <family val="0"/>
        <charset val="1"/>
      </rPr>
      <t xml:space="preserve">). </t>
    </r>
    <r>
      <rPr>
        <sz val="11"/>
        <rFont val="WenQuanYi Zen Hei"/>
        <family val="2"/>
      </rPr>
      <t xml:space="preserve">보유기간 제한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시장 필터 없음</t>
    </r>
  </si>
  <si>
    <t xml:space="preserve">가정</t>
  </si>
  <si>
    <r>
      <rPr>
        <sz val="11"/>
        <rFont val="WenQuanYi Zen Hei"/>
        <family val="2"/>
      </rPr>
      <t xml:space="preserve">데이터</t>
    </r>
    <r>
      <rPr>
        <sz val="11"/>
        <rFont val="Arial"/>
        <family val="0"/>
        <charset val="1"/>
      </rPr>
      <t xml:space="preserve">: FinanceData/marcap (KRX </t>
    </r>
    <r>
      <rPr>
        <sz val="11"/>
        <rFont val="WenQuanYi Zen Hei"/>
        <family val="2"/>
      </rPr>
      <t xml:space="preserve">전 종목 일별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상장폐지 포함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무상증자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분할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병합은 </t>
    </r>
    <r>
      <rPr>
        <sz val="11"/>
        <rFont val="Arial"/>
        <family val="0"/>
        <charset val="1"/>
      </rPr>
      <t xml:space="preserve">KRX </t>
    </r>
    <r>
      <rPr>
        <sz val="11"/>
        <rFont val="WenQuanYi Zen Hei"/>
        <family val="2"/>
      </rPr>
      <t xml:space="preserve">기준가로 수정주가 변환</t>
    </r>
  </si>
  <si>
    <r>
      <rPr>
        <sz val="11"/>
        <rFont val="WenQuanYi Zen Hei"/>
        <family val="2"/>
      </rPr>
      <t xml:space="preserve">비용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수수료 </t>
    </r>
    <r>
      <rPr>
        <sz val="11"/>
        <rFont val="Arial"/>
        <family val="0"/>
        <charset val="1"/>
      </rPr>
      <t xml:space="preserve">0.015% (</t>
    </r>
    <r>
      <rPr>
        <sz val="11"/>
        <rFont val="WenQuanYi Zen Hei"/>
        <family val="2"/>
      </rPr>
      <t xml:space="preserve">매수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매도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매도 시 증권거래세 </t>
    </r>
    <r>
      <rPr>
        <sz val="11"/>
        <rFont val="Arial"/>
        <family val="0"/>
        <charset val="1"/>
      </rPr>
      <t xml:space="preserve">2024 0.18% / 2025 0.15% / 2026 0.20% (</t>
    </r>
    <r>
      <rPr>
        <sz val="11"/>
        <rFont val="WenQuanYi Zen Hei"/>
        <family val="2"/>
      </rPr>
      <t xml:space="preserve">가정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슬리피지 </t>
    </r>
    <r>
      <rPr>
        <sz val="11"/>
        <rFont val="Arial"/>
        <family val="0"/>
        <charset val="1"/>
      </rPr>
      <t xml:space="preserve">0.1% (</t>
    </r>
    <r>
      <rPr>
        <sz val="11"/>
        <rFont val="WenQuanYi Zen Hei"/>
        <family val="2"/>
      </rPr>
      <t xml:space="preserve">매수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손절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</si>
  <si>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연도마다 </t>
    </r>
    <r>
      <rPr>
        <sz val="11"/>
        <rFont val="Arial"/>
        <family val="0"/>
        <charset val="1"/>
      </rPr>
      <t xml:space="preserve">100</t>
    </r>
    <r>
      <rPr>
        <sz val="11"/>
        <rFont val="WenQuanYi Zen Hei"/>
        <family val="2"/>
      </rPr>
      <t xml:space="preserve">만원으로 새로 시작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연말</t>
    </r>
    <r>
      <rPr>
        <sz val="11"/>
        <rFont val="Arial"/>
        <family val="0"/>
        <charset val="1"/>
      </rPr>
      <t xml:space="preserve">(2026</t>
    </r>
    <r>
      <rPr>
        <sz val="11"/>
        <rFont val="WenQuanYi Zen Hei"/>
        <family val="2"/>
      </rPr>
      <t xml:space="preserve">은 </t>
    </r>
    <r>
      <rPr>
        <sz val="11"/>
        <rFont val="Arial"/>
        <family val="0"/>
        <charset val="1"/>
      </rPr>
      <t xml:space="preserve">9/23) </t>
    </r>
    <r>
      <rPr>
        <sz val="11"/>
        <rFont val="WenQuanYi Zen Hei"/>
        <family val="2"/>
      </rPr>
      <t xml:space="preserve">미청산 종목은 기간 말 종가로 평가</t>
    </r>
  </si>
  <si>
    <r>
      <rPr>
        <sz val="11"/>
        <rFont val="WenQuanYi Zen Hei"/>
        <family val="2"/>
      </rPr>
      <t xml:space="preserve">코스피 지수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네이버 금융 일봉</t>
    </r>
  </si>
  <si>
    <t xml:space="preserve">시트 안내</t>
  </si>
  <si>
    <r>
      <rPr>
        <sz val="11"/>
        <rFont val="WenQuanYi Zen Hei"/>
        <family val="2"/>
      </rPr>
      <t xml:space="preserve">연도별요약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연도별 매수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익절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손절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승률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손익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거래내역 참조 수식</t>
    </r>
    <r>
      <rPr>
        <sz val="11"/>
        <rFont val="Arial"/>
        <family val="0"/>
        <charset val="1"/>
      </rPr>
      <t xml:space="preserve">) + </t>
    </r>
    <r>
      <rPr>
        <sz val="11"/>
        <rFont val="WenQuanYi Zen Hei"/>
        <family val="2"/>
      </rPr>
      <t xml:space="preserve">엔진 계산 수익률</t>
    </r>
    <r>
      <rPr>
        <sz val="11"/>
        <rFont val="Arial"/>
        <family val="0"/>
        <charset val="1"/>
      </rPr>
      <t xml:space="preserve">·MDD</t>
    </r>
  </si>
  <si>
    <r>
      <rPr>
        <sz val="11"/>
        <rFont val="WenQuanYi Zen Hei"/>
        <family val="2"/>
      </rPr>
      <t xml:space="preserve">월별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매수월별 성과와 누적 손익</t>
    </r>
  </si>
  <si>
    <r>
      <rPr>
        <sz val="11"/>
        <rFont val="WenQuanYi Zen Hei"/>
        <family val="2"/>
      </rPr>
      <t xml:space="preserve">조건별분석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코스피 흐름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상승률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거래대금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돌파폭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거래량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캔들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요일별 성과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전략 수정 아이디어 검토용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</si>
  <si>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거래내역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실제 매매 </t>
    </r>
    <r>
      <rPr>
        <sz val="11"/>
        <rFont val="Arial"/>
        <family val="0"/>
        <charset val="1"/>
      </rPr>
      <t xml:space="preserve">895</t>
    </r>
    <r>
      <rPr>
        <sz val="11"/>
        <rFont val="WenQuanYi Zen Hei"/>
        <family val="2"/>
      </rPr>
      <t xml:space="preserve">건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매수일 지표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코스피 상태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보유 중 최고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최저 수익률 포함</t>
    </r>
    <r>
      <rPr>
        <sz val="11"/>
        <rFont val="Arial"/>
        <family val="0"/>
        <charset val="1"/>
      </rPr>
      <t xml:space="preserve">). </t>
    </r>
    <r>
      <rPr>
        <sz val="11"/>
        <rFont val="WenQuanYi Zen Hei"/>
        <family val="2"/>
      </rPr>
      <t xml:space="preserve">필터를 걸어 쓰세요</t>
    </r>
  </si>
  <si>
    <r>
      <rPr>
        <sz val="11"/>
        <rFont val="WenQuanYi Zen Hei"/>
        <family val="2"/>
      </rPr>
      <t xml:space="preserve">놓친신호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조건은 만족했지만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자리가 차 있어 사지 못한 신호 </t>
    </r>
    <r>
      <rPr>
        <sz val="11"/>
        <rFont val="Arial"/>
        <family val="0"/>
        <charset val="1"/>
      </rPr>
      <t xml:space="preserve">909</t>
    </r>
    <r>
      <rPr>
        <sz val="11"/>
        <rFont val="WenQuanYi Zen Hei"/>
        <family val="2"/>
      </rPr>
      <t xml:space="preserve">건과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샀다면 어땠을지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자리 제한 없이 계산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</si>
  <si>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color rgb="FF1F3864"/>
        <rFont val="WenQuanYi Zen Hei"/>
        <family val="2"/>
      </rPr>
      <t xml:space="preserve">열 설명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거래내역</t>
    </r>
    <r>
      <rPr>
        <b val="true"/>
        <sz val="12"/>
        <color rgb="FF1F3864"/>
        <rFont val="Arial"/>
        <family val="0"/>
        <charset val="1"/>
      </rPr>
      <t xml:space="preserve">·</t>
    </r>
    <r>
      <rPr>
        <b val="true"/>
        <sz val="12"/>
        <color rgb="FF1F3864"/>
        <rFont val="WenQuanYi Zen Hei"/>
        <family val="2"/>
      </rPr>
      <t xml:space="preserve">놓친신호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</si>
  <si>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보유중 최고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최저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매수 다음 날부터 매도일까지 고가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저가 기준 최대 수익률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최대 손실률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익절이 가까웠는지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손절이 아슬했는지 확인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</si>
  <si>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일 돌파폭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매수일 종가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직전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일 최고 종가 </t>
    </r>
    <r>
      <rPr>
        <sz val="11"/>
        <rFont val="Arial"/>
        <family val="0"/>
        <charset val="1"/>
      </rPr>
      <t xml:space="preserve">- 1   ·   </t>
    </r>
    <r>
      <rPr>
        <sz val="11"/>
        <rFont val="WenQuanYi Zen Hei"/>
        <family val="2"/>
      </rPr>
      <t xml:space="preserve">거래량 배수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당일 거래량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직전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일 평균</t>
    </r>
  </si>
  <si>
    <r>
      <rPr>
        <sz val="11"/>
        <rFont val="WenQuanYi Zen Hei"/>
        <family val="2"/>
      </rPr>
      <t xml:space="preserve">캔들 몸통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종가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시가 </t>
    </r>
    <r>
      <rPr>
        <sz val="11"/>
        <rFont val="Arial"/>
        <family val="0"/>
        <charset val="1"/>
      </rPr>
      <t xml:space="preserve">- 1 (</t>
    </r>
    <r>
      <rPr>
        <sz val="11"/>
        <rFont val="WenQuanYi Zen Hei"/>
        <family val="2"/>
      </rPr>
      <t xml:space="preserve">양수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양봉</t>
    </r>
    <r>
      <rPr>
        <sz val="11"/>
        <rFont val="Arial"/>
        <family val="0"/>
        <charset val="1"/>
      </rPr>
      <t xml:space="preserve">)   ·   </t>
    </r>
    <r>
      <rPr>
        <sz val="11"/>
        <rFont val="WenQuanYi Zen Hei"/>
        <family val="2"/>
      </rPr>
      <t xml:space="preserve">윗꼬리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고가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종가 </t>
    </r>
    <r>
      <rPr>
        <sz val="11"/>
        <rFont val="Arial"/>
        <family val="0"/>
        <charset val="1"/>
      </rPr>
      <t xml:space="preserve">- 1</t>
    </r>
  </si>
  <si>
    <r>
      <rPr>
        <sz val="11"/>
        <rFont val="WenQuanYi Zen Hei"/>
        <family val="2"/>
      </rPr>
      <t xml:space="preserve">코스피 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일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코스피 종가 </t>
    </r>
    <r>
      <rPr>
        <sz val="11"/>
        <rFont val="Arial"/>
        <family val="0"/>
        <charset val="1"/>
      </rPr>
      <t xml:space="preserve">/ 5</t>
    </r>
    <r>
      <rPr>
        <sz val="11"/>
        <rFont val="WenQuanYi Zen Hei"/>
        <family val="2"/>
      </rPr>
      <t xml:space="preserve">거래일 전 종가 </t>
    </r>
    <r>
      <rPr>
        <sz val="11"/>
        <rFont val="Arial"/>
        <family val="0"/>
        <charset val="1"/>
      </rPr>
      <t xml:space="preserve">- 1   ·   </t>
    </r>
    <r>
      <rPr>
        <sz val="11"/>
        <rFont val="WenQuanYi Zen Hei"/>
        <family val="2"/>
      </rPr>
      <t xml:space="preserve">구간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조건별분석 시트의 묶음 기준</t>
    </r>
  </si>
  <si>
    <r>
      <rPr>
        <i val="true"/>
        <sz val="11"/>
        <color rgb="FF808080"/>
        <rFont val="WenQuanYi Zen Hei"/>
        <family val="2"/>
      </rPr>
      <t xml:space="preserve">주의</t>
    </r>
    <r>
      <rPr>
        <i val="true"/>
        <sz val="11"/>
        <color rgb="FF808080"/>
        <rFont val="Arial"/>
        <family val="0"/>
        <charset val="1"/>
      </rPr>
      <t xml:space="preserve">: </t>
    </r>
    <r>
      <rPr>
        <i val="true"/>
        <sz val="11"/>
        <color rgb="FF808080"/>
        <rFont val="WenQuanYi Zen Hei"/>
        <family val="2"/>
      </rPr>
      <t xml:space="preserve">과거 백테스트 결과이며 미래 수익을 보장하지 않습니다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WenQuanYi Zen Hei"/>
        <family val="2"/>
      </rPr>
      <t xml:space="preserve">일봉 기준이라 장중 체결 순서는 가정입니다</t>
    </r>
    <r>
      <rPr>
        <i val="true"/>
        <sz val="11"/>
        <color rgb="FF808080"/>
        <rFont val="Arial"/>
        <family val="0"/>
        <charset val="1"/>
      </rPr>
      <t xml:space="preserve">.</t>
    </r>
  </si>
  <si>
    <t xml:space="preserve">연도별 요약</t>
  </si>
  <si>
    <r>
      <rPr>
        <i val="true"/>
        <sz val="11"/>
        <color rgb="FF808080"/>
        <rFont val="WenQuanYi Zen Hei"/>
        <family val="2"/>
      </rPr>
      <t xml:space="preserve">검은 글씨 </t>
    </r>
    <r>
      <rPr>
        <i val="true"/>
        <sz val="11"/>
        <color rgb="FF808080"/>
        <rFont val="Arial"/>
        <family val="0"/>
        <charset val="1"/>
      </rPr>
      <t xml:space="preserve">= </t>
    </r>
    <r>
      <rPr>
        <i val="true"/>
        <sz val="11"/>
        <color rgb="FF808080"/>
        <rFont val="WenQuanYi Zen Hei"/>
        <family val="2"/>
      </rPr>
      <t xml:space="preserve">거래내역 시트를 참조하는 수식 </t>
    </r>
    <r>
      <rPr>
        <i val="true"/>
        <sz val="11"/>
        <color rgb="FF808080"/>
        <rFont val="Arial"/>
        <family val="0"/>
        <charset val="1"/>
      </rPr>
      <t xml:space="preserve">/ </t>
    </r>
    <r>
      <rPr>
        <i val="true"/>
        <sz val="11"/>
        <color rgb="FF808080"/>
        <rFont val="WenQuanYi Zen Hei"/>
        <family val="2"/>
      </rPr>
      <t xml:space="preserve">파란 글씨 </t>
    </r>
    <r>
      <rPr>
        <i val="true"/>
        <sz val="11"/>
        <color rgb="FF808080"/>
        <rFont val="Arial"/>
        <family val="0"/>
        <charset val="1"/>
      </rPr>
      <t xml:space="preserve">= </t>
    </r>
    <r>
      <rPr>
        <i val="true"/>
        <sz val="11"/>
        <color rgb="FF808080"/>
        <rFont val="WenQuanYi Zen Hei"/>
        <family val="2"/>
      </rPr>
      <t xml:space="preserve">백테스트 엔진 계산값 </t>
    </r>
    <r>
      <rPr>
        <i val="true"/>
        <sz val="11"/>
        <color rgb="FF808080"/>
        <rFont val="Arial"/>
        <family val="0"/>
        <charset val="1"/>
      </rPr>
      <t xml:space="preserve">(</t>
    </r>
    <r>
      <rPr>
        <i val="true"/>
        <sz val="11"/>
        <color rgb="FF808080"/>
        <rFont val="WenQuanYi Zen Hei"/>
        <family val="2"/>
      </rPr>
      <t xml:space="preserve">연말 미청산 평가 포함</t>
    </r>
    <r>
      <rPr>
        <i val="true"/>
        <sz val="11"/>
        <color rgb="FF808080"/>
        <rFont val="Arial"/>
        <family val="0"/>
        <charset val="1"/>
      </rPr>
      <t xml:space="preserve">)</t>
    </r>
  </si>
  <si>
    <t xml:space="preserve">연도</t>
  </si>
  <si>
    <t xml:space="preserve">매수</t>
  </si>
  <si>
    <t xml:space="preserve">익절</t>
  </si>
  <si>
    <t xml:space="preserve">손절</t>
  </si>
  <si>
    <t xml:space="preserve">보유중</t>
  </si>
  <si>
    <t xml:space="preserve">승률</t>
  </si>
  <si>
    <r>
      <rPr>
        <b val="true"/>
        <sz val="11"/>
        <color rgb="FFFFFFFF"/>
        <rFont val="WenQuanYi Zen Hei"/>
        <family val="2"/>
      </rPr>
      <t xml:space="preserve">실현손익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</si>
  <si>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평균 수익률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청산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</si>
  <si>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평균 보유일</t>
  </si>
  <si>
    <t xml:space="preserve">평균 최고수익률</t>
  </si>
  <si>
    <r>
      <rPr>
        <b val="true"/>
        <sz val="11"/>
        <color rgb="FFFFFFFF"/>
        <rFont val="WenQuanYi Zen Hei"/>
        <family val="2"/>
      </rPr>
      <t xml:space="preserve">수익률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엔진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</si>
  <si>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MDD(</t>
    </r>
    <r>
      <rPr>
        <b val="true"/>
        <sz val="11"/>
        <color rgb="FFFFFFFF"/>
        <rFont val="WenQuanYi Zen Hei"/>
        <family val="2"/>
      </rPr>
      <t xml:space="preserve">엔진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</si>
  <si>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연말 자산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엔진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</si>
  <si>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2024</t>
  </si>
  <si>
    <t xml:space="preserve">2025</t>
  </si>
  <si>
    <t xml:space="preserve">2026</t>
  </si>
  <si>
    <t xml:space="preserve">합계</t>
  </si>
  <si>
    <r>
      <rPr>
        <i val="true"/>
        <sz val="11"/>
        <color rgb="FF808080"/>
        <rFont val="WenQuanYi Zen Hei"/>
        <family val="2"/>
      </rPr>
      <t xml:space="preserve">승률 </t>
    </r>
    <r>
      <rPr>
        <i val="true"/>
        <sz val="11"/>
        <color rgb="FF808080"/>
        <rFont val="Arial"/>
        <family val="0"/>
        <charset val="1"/>
      </rPr>
      <t xml:space="preserve">= </t>
    </r>
    <r>
      <rPr>
        <i val="true"/>
        <sz val="11"/>
        <color rgb="FF808080"/>
        <rFont val="WenQuanYi Zen Hei"/>
        <family val="2"/>
      </rPr>
      <t xml:space="preserve">익절 </t>
    </r>
    <r>
      <rPr>
        <i val="true"/>
        <sz val="11"/>
        <color rgb="FF808080"/>
        <rFont val="Arial"/>
        <family val="0"/>
        <charset val="1"/>
      </rPr>
      <t xml:space="preserve">/ (</t>
    </r>
    <r>
      <rPr>
        <i val="true"/>
        <sz val="11"/>
        <color rgb="FF808080"/>
        <rFont val="WenQuanYi Zen Hei"/>
        <family val="2"/>
      </rPr>
      <t xml:space="preserve">익절 </t>
    </r>
    <r>
      <rPr>
        <i val="true"/>
        <sz val="11"/>
        <color rgb="FF808080"/>
        <rFont val="Arial"/>
        <family val="0"/>
        <charset val="1"/>
      </rPr>
      <t xml:space="preserve">+ </t>
    </r>
    <r>
      <rPr>
        <i val="true"/>
        <sz val="11"/>
        <color rgb="FF808080"/>
        <rFont val="WenQuanYi Zen Hei"/>
        <family val="2"/>
      </rPr>
      <t xml:space="preserve">손절</t>
    </r>
    <r>
      <rPr>
        <i val="true"/>
        <sz val="11"/>
        <color rgb="FF808080"/>
        <rFont val="Arial"/>
        <family val="0"/>
        <charset val="1"/>
      </rPr>
      <t xml:space="preserve">). </t>
    </r>
    <r>
      <rPr>
        <i val="true"/>
        <sz val="11"/>
        <color rgb="FF808080"/>
        <rFont val="WenQuanYi Zen Hei"/>
        <family val="2"/>
      </rPr>
      <t xml:space="preserve">손익</t>
    </r>
    <r>
      <rPr>
        <i val="true"/>
        <sz val="11"/>
        <color rgb="FF808080"/>
        <rFont val="Arial"/>
        <family val="0"/>
        <charset val="1"/>
      </rPr>
      <t xml:space="preserve">·</t>
    </r>
    <r>
      <rPr>
        <i val="true"/>
        <sz val="11"/>
        <color rgb="FF808080"/>
        <rFont val="WenQuanYi Zen Hei"/>
        <family val="2"/>
      </rPr>
      <t xml:space="preserve">수익률은 수수료 </t>
    </r>
    <r>
      <rPr>
        <i val="true"/>
        <sz val="11"/>
        <color rgb="FF808080"/>
        <rFont val="Arial"/>
        <family val="0"/>
        <charset val="1"/>
      </rPr>
      <t xml:space="preserve">0.015%, </t>
    </r>
    <r>
      <rPr>
        <i val="true"/>
        <sz val="11"/>
        <color rgb="FF808080"/>
        <rFont val="WenQuanYi Zen Hei"/>
        <family val="2"/>
      </rPr>
      <t xml:space="preserve">매도세</t>
    </r>
    <r>
      <rPr>
        <i val="true"/>
        <sz val="11"/>
        <color rgb="FF808080"/>
        <rFont val="Arial"/>
        <family val="0"/>
        <charset val="1"/>
      </rPr>
      <t xml:space="preserve">(2024 0.18%·2025 0.15%·2026 0.20% </t>
    </r>
    <r>
      <rPr>
        <i val="true"/>
        <sz val="11"/>
        <color rgb="FF808080"/>
        <rFont val="WenQuanYi Zen Hei"/>
        <family val="2"/>
      </rPr>
      <t xml:space="preserve">가정</t>
    </r>
    <r>
      <rPr>
        <i val="true"/>
        <sz val="11"/>
        <color rgb="FF808080"/>
        <rFont val="Arial"/>
        <family val="0"/>
        <charset val="1"/>
      </rPr>
      <t xml:space="preserve">), </t>
    </r>
    <r>
      <rPr>
        <i val="true"/>
        <sz val="11"/>
        <color rgb="FF808080"/>
        <rFont val="WenQuanYi Zen Hei"/>
        <family val="2"/>
      </rPr>
      <t xml:space="preserve">슬리피지 </t>
    </r>
    <r>
      <rPr>
        <i val="true"/>
        <sz val="11"/>
        <color rgb="FF808080"/>
        <rFont val="Arial"/>
        <family val="0"/>
        <charset val="1"/>
      </rPr>
      <t xml:space="preserve">0.1% </t>
    </r>
    <r>
      <rPr>
        <i val="true"/>
        <sz val="11"/>
        <color rgb="FF808080"/>
        <rFont val="WenQuanYi Zen Hei"/>
        <family val="2"/>
      </rPr>
      <t xml:space="preserve">반영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WenQuanYi Zen Hei"/>
        <family val="2"/>
      </rPr>
      <t xml:space="preserve">보유중 종목은 기간 말 종가 기준 평가손익</t>
    </r>
    <r>
      <rPr>
        <i val="true"/>
        <sz val="11"/>
        <color rgb="FF808080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</si>
  <si>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월별 성과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청산된 거래 기준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매수월로 집계</t>
    </r>
    <r>
      <rPr>
        <b val="true"/>
        <sz val="14"/>
        <rFont val="Arial"/>
        <family val="0"/>
        <charset val="1"/>
      </rPr>
      <t xml:space="preserve">)</t>
    </r>
  </si>
  <si>
    <t xml:space="preserve">매수월</t>
  </si>
  <si>
    <t xml:space="preserve">평균 수익률</t>
  </si>
  <si>
    <r>
      <rPr>
        <b val="true"/>
        <sz val="11"/>
        <color rgb="FFFFFFFF"/>
        <rFont val="WenQuanYi Zen Hei"/>
        <family val="2"/>
      </rPr>
      <t xml:space="preserve">누적 손익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</si>
  <si>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</si>
  <si>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</si>
  <si>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</si>
  <si>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</si>
  <si>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</si>
  <si>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</si>
  <si>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</si>
  <si>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</si>
  <si>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</si>
  <si>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</si>
  <si>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</si>
  <si>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</si>
  <si>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</si>
  <si>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</si>
  <si>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</si>
  <si>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</si>
  <si>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</si>
  <si>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</si>
  <si>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</si>
  <si>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</si>
  <si>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</si>
  <si>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</si>
  <si>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</si>
  <si>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</si>
  <si>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</si>
  <si>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</si>
  <si>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</si>
  <si>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</si>
  <si>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</si>
  <si>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</si>
  <si>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</si>
  <si>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</si>
  <si>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</si>
  <si>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r>
      <rPr>
        <b val="true"/>
        <sz val="14"/>
        <rFont val="WenQuanYi Zen Hei"/>
        <family val="2"/>
      </rPr>
      <t xml:space="preserve">조건별 분석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청산된 거래 기준</t>
    </r>
    <r>
      <rPr>
        <b val="true"/>
        <sz val="14"/>
        <rFont val="Arial"/>
        <family val="0"/>
        <charset val="1"/>
      </rPr>
      <t xml:space="preserve">) — </t>
    </r>
    <r>
      <rPr>
        <b val="true"/>
        <sz val="14"/>
        <rFont val="WenQuanYi Zen Hei"/>
        <family val="2"/>
      </rPr>
      <t xml:space="preserve">전략 수정 아이디어 검토용</t>
    </r>
  </si>
  <si>
    <r>
      <rPr>
        <i val="true"/>
        <sz val="11"/>
        <color rgb="FF808080"/>
        <rFont val="WenQuanYi Zen Hei"/>
        <family val="2"/>
      </rPr>
      <t xml:space="preserve">연도별 손익이 같은 방향인지 보면 우연인지 판단하는 데 도움이 됩니다</t>
    </r>
    <r>
      <rPr>
        <i val="true"/>
        <sz val="11"/>
        <color rgb="FF808080"/>
        <rFont val="Arial"/>
        <family val="0"/>
        <charset val="1"/>
      </rPr>
      <t xml:space="preserve">. </t>
    </r>
    <r>
      <rPr>
        <i val="true"/>
        <sz val="11"/>
        <color rgb="FF808080"/>
        <rFont val="WenQuanYi Zen Hei"/>
        <family val="2"/>
      </rPr>
      <t xml:space="preserve">손익분기 승률은 약 </t>
    </r>
    <r>
      <rPr>
        <i val="true"/>
        <sz val="11"/>
        <color rgb="FF808080"/>
        <rFont val="Arial"/>
        <family val="0"/>
        <charset val="1"/>
      </rPr>
      <t xml:space="preserve">21% (</t>
    </r>
    <r>
      <rPr>
        <i val="true"/>
        <sz val="11"/>
        <color rgb="FF808080"/>
        <rFont val="WenQuanYi Zen Hei"/>
        <family val="2"/>
      </rPr>
      <t xml:space="preserve">익절 </t>
    </r>
    <r>
      <rPr>
        <i val="true"/>
        <sz val="11"/>
        <color rgb="FF808080"/>
        <rFont val="Arial"/>
        <family val="0"/>
        <charset val="1"/>
      </rPr>
      <t xml:space="preserve">+20% / </t>
    </r>
    <r>
      <rPr>
        <i val="true"/>
        <sz val="11"/>
        <color rgb="FF808080"/>
        <rFont val="WenQuanYi Zen Hei"/>
        <family val="2"/>
      </rPr>
      <t xml:space="preserve">손절 </t>
    </r>
    <r>
      <rPr>
        <i val="true"/>
        <sz val="11"/>
        <color rgb="FF808080"/>
        <rFont val="Arial"/>
        <family val="0"/>
        <charset val="1"/>
      </rPr>
      <t xml:space="preserve">-4.7%, </t>
    </r>
    <r>
      <rPr>
        <i val="true"/>
        <sz val="11"/>
        <color rgb="FF808080"/>
        <rFont val="WenQuanYi Zen Hei"/>
        <family val="2"/>
      </rPr>
      <t xml:space="preserve">비용 포함</t>
    </r>
    <r>
      <rPr>
        <i val="true"/>
        <sz val="11"/>
        <color rgb="FF808080"/>
        <rFont val="Arial"/>
        <family val="0"/>
        <charset val="1"/>
      </rPr>
      <t xml:space="preserve">).</t>
    </r>
  </si>
  <si>
    <r>
      <rPr>
        <b val="true"/>
        <sz val="11"/>
        <rFont val="WenQuanYi Zen Hei"/>
        <family val="2"/>
      </rPr>
      <t xml:space="preserve">매수일 코스피 </t>
    </r>
    <r>
      <rPr>
        <b val="true"/>
        <sz val="11"/>
        <rFont val="Arial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일 흐름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종가가 </t>
    </r>
    <r>
      <rPr>
        <b val="true"/>
        <sz val="11"/>
        <rFont val="Arial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거래일 전보다 높으면 상승</t>
    </r>
    <r>
      <rPr>
        <b val="true"/>
        <sz val="11"/>
        <rFont val="Arial"/>
        <family val="0"/>
        <charset val="1"/>
      </rPr>
      <t xml:space="preserve">)</t>
    </r>
  </si>
  <si>
    <t xml:space="preserve">구분</t>
  </si>
  <si>
    <t xml:space="preserve">건수</t>
  </si>
  <si>
    <r>
      <rPr>
        <b val="true"/>
        <sz val="11"/>
        <color rgb="FFFFFFFF"/>
        <rFont val="WenQuanYi Zen Hei"/>
        <family val="2"/>
      </rPr>
      <t xml:space="preserve">손익합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</si>
  <si>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2024 </t>
    </r>
    <r>
      <rPr>
        <b val="true"/>
        <sz val="11"/>
        <color rgb="FFFFFFFF"/>
        <rFont val="WenQuanYi Zen Hei"/>
        <family val="2"/>
      </rPr>
      <t xml:space="preserve">손익</t>
    </r>
  </si>
  <si>
    <r>
      <rPr>
        <b val="true"/>
        <sz val="11"/>
        <color rgb="FFFFFFFF"/>
        <rFont val="Arial"/>
        <family val="0"/>
        <charset val="1"/>
      </rPr>
      <t xml:space="preserve">2025 </t>
    </r>
    <r>
      <rPr>
        <b val="true"/>
        <sz val="11"/>
        <color rgb="FFFFFFFF"/>
        <rFont val="WenQuanYi Zen Hei"/>
        <family val="2"/>
      </rPr>
      <t xml:space="preserve">손익</t>
    </r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</si>
  <si>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손익</t>
    </r>
  </si>
  <si>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일 상승</t>
    </r>
  </si>
  <si>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일 하락</t>
    </r>
  </si>
  <si>
    <r>
      <rPr>
        <b val="true"/>
        <sz val="11"/>
        <rFont val="WenQuanYi Zen Hei"/>
        <family val="2"/>
      </rPr>
      <t xml:space="preserve">매수일 코스피 </t>
    </r>
    <r>
      <rPr>
        <b val="true"/>
        <sz val="11"/>
        <rFont val="Arial"/>
        <family val="0"/>
        <charset val="1"/>
      </rPr>
      <t xml:space="preserve">20</t>
    </r>
    <r>
      <rPr>
        <b val="true"/>
        <sz val="11"/>
        <rFont val="WenQuanYi Zen Hei"/>
        <family val="2"/>
      </rPr>
      <t xml:space="preserve">일선 위치</t>
    </r>
  </si>
  <si>
    <t xml:space="preserve">아래</t>
  </si>
  <si>
    <t xml:space="preserve">위</t>
  </si>
  <si>
    <t xml:space="preserve">매수일 당일 상승률</t>
  </si>
  <si>
    <r>
      <rPr>
        <sz val="11"/>
        <rFont val="Arial"/>
        <family val="0"/>
        <charset val="1"/>
      </rPr>
      <t xml:space="preserve">1) +3% </t>
    </r>
    <r>
      <rPr>
        <sz val="11"/>
        <rFont val="WenQuanYi Zen Hei"/>
        <family val="2"/>
      </rPr>
      <t xml:space="preserve">미만</t>
    </r>
  </si>
  <si>
    <t xml:space="preserve">2) +3% ~ +5%</t>
  </si>
  <si>
    <t xml:space="preserve">3) +5% ~ +10%</t>
  </si>
  <si>
    <t xml:space="preserve">4) +10% ~ +15%</t>
  </si>
  <si>
    <t xml:space="preserve">5) +15% ~ +20%</t>
  </si>
  <si>
    <r>
      <rPr>
        <sz val="11"/>
        <rFont val="Arial"/>
        <family val="0"/>
        <charset val="1"/>
      </rPr>
      <t xml:space="preserve">6) +20% </t>
    </r>
    <r>
      <rPr>
        <sz val="11"/>
        <rFont val="WenQuanYi Zen Hei"/>
        <family val="2"/>
      </rPr>
      <t xml:space="preserve">이상</t>
    </r>
  </si>
  <si>
    <t xml:space="preserve">매수일 당일 거래대금</t>
  </si>
  <si>
    <r>
      <rPr>
        <sz val="11"/>
        <rFont val="Arial"/>
        <family val="0"/>
        <charset val="1"/>
      </rPr>
      <t xml:space="preserve">1) 300</t>
    </r>
    <r>
      <rPr>
        <sz val="11"/>
        <rFont val="WenQuanYi Zen Hei"/>
        <family val="2"/>
      </rPr>
      <t xml:space="preserve">억 미만</t>
    </r>
  </si>
  <si>
    <r>
      <rPr>
        <sz val="11"/>
        <rFont val="Arial"/>
        <family val="0"/>
        <charset val="1"/>
      </rPr>
      <t xml:space="preserve">2) 300</t>
    </r>
    <r>
      <rPr>
        <sz val="11"/>
        <rFont val="WenQuanYi Zen Hei"/>
        <family val="2"/>
      </rPr>
      <t xml:space="preserve">억 </t>
    </r>
    <r>
      <rPr>
        <sz val="11"/>
        <rFont val="Arial"/>
        <family val="0"/>
        <charset val="1"/>
      </rPr>
      <t xml:space="preserve">~ 500</t>
    </r>
    <r>
      <rPr>
        <sz val="11"/>
        <rFont val="WenQuanYi Zen Hei"/>
        <family val="2"/>
      </rPr>
      <t xml:space="preserve">억</t>
    </r>
  </si>
  <si>
    <r>
      <rPr>
        <sz val="11"/>
        <rFont val="Arial"/>
        <family val="0"/>
        <charset val="1"/>
      </rPr>
      <t xml:space="preserve">3) 500</t>
    </r>
    <r>
      <rPr>
        <sz val="11"/>
        <rFont val="WenQuanYi Zen Hei"/>
        <family val="2"/>
      </rPr>
      <t xml:space="preserve">억 </t>
    </r>
    <r>
      <rPr>
        <sz val="11"/>
        <rFont val="Arial"/>
        <family val="0"/>
        <charset val="1"/>
      </rPr>
      <t xml:space="preserve">~ 1,000</t>
    </r>
    <r>
      <rPr>
        <sz val="11"/>
        <rFont val="WenQuanYi Zen Hei"/>
        <family val="2"/>
      </rPr>
      <t xml:space="preserve">억</t>
    </r>
  </si>
  <si>
    <r>
      <rPr>
        <sz val="11"/>
        <rFont val="Arial"/>
        <family val="0"/>
        <charset val="1"/>
      </rPr>
      <t xml:space="preserve">4) 1,000</t>
    </r>
    <r>
      <rPr>
        <sz val="11"/>
        <rFont val="WenQuanYi Zen Hei"/>
        <family val="2"/>
      </rPr>
      <t xml:space="preserve">억 </t>
    </r>
    <r>
      <rPr>
        <sz val="11"/>
        <rFont val="Arial"/>
        <family val="0"/>
        <charset val="1"/>
      </rPr>
      <t xml:space="preserve">~ 2,000</t>
    </r>
    <r>
      <rPr>
        <sz val="11"/>
        <rFont val="WenQuanYi Zen Hei"/>
        <family val="2"/>
      </rPr>
      <t xml:space="preserve">억</t>
    </r>
  </si>
  <si>
    <r>
      <rPr>
        <sz val="11"/>
        <rFont val="Arial"/>
        <family val="0"/>
        <charset val="1"/>
      </rPr>
      <t xml:space="preserve">5) 2,000</t>
    </r>
    <r>
      <rPr>
        <sz val="11"/>
        <rFont val="WenQuanYi Zen Hei"/>
        <family val="2"/>
      </rPr>
      <t xml:space="preserve">억 이상</t>
    </r>
  </si>
  <si>
    <r>
      <rPr>
        <b val="true"/>
        <sz val="11"/>
        <rFont val="Arial"/>
        <family val="0"/>
        <charset val="1"/>
      </rPr>
      <t xml:space="preserve">20</t>
    </r>
    <r>
      <rPr>
        <b val="true"/>
        <sz val="11"/>
        <rFont val="WenQuanYi Zen Hei"/>
        <family val="2"/>
      </rPr>
      <t xml:space="preserve">일 신고가 돌파폭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종가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직전 </t>
    </r>
    <r>
      <rPr>
        <b val="true"/>
        <sz val="11"/>
        <rFont val="Arial"/>
        <family val="0"/>
        <charset val="1"/>
      </rPr>
      <t xml:space="preserve">20</t>
    </r>
    <r>
      <rPr>
        <b val="true"/>
        <sz val="11"/>
        <rFont val="WenQuanYi Zen Hei"/>
        <family val="2"/>
      </rPr>
      <t xml:space="preserve">일 최고 종가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</si>
  <si>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1) +2% </t>
    </r>
    <r>
      <rPr>
        <sz val="11"/>
        <rFont val="WenQuanYi Zen Hei"/>
        <family val="2"/>
      </rPr>
      <t xml:space="preserve">미만</t>
    </r>
  </si>
  <si>
    <t xml:space="preserve">2) +2% ~ +5%</t>
  </si>
  <si>
    <r>
      <rPr>
        <sz val="11"/>
        <rFont val="Arial"/>
        <family val="0"/>
        <charset val="1"/>
      </rPr>
      <t xml:space="preserve">4) +10% </t>
    </r>
    <r>
      <rPr>
        <sz val="11"/>
        <rFont val="WenQuanYi Zen Hei"/>
        <family val="2"/>
      </rPr>
      <t xml:space="preserve">이상</t>
    </r>
  </si>
  <si>
    <r>
      <rPr>
        <b val="true"/>
        <sz val="11"/>
        <rFont val="WenQuanYi Zen Hei"/>
        <family val="2"/>
      </rPr>
      <t xml:space="preserve">거래량 배수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당일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직전 </t>
    </r>
    <r>
      <rPr>
        <b val="true"/>
        <sz val="11"/>
        <rFont val="Arial"/>
        <family val="0"/>
        <charset val="1"/>
      </rPr>
      <t xml:space="preserve">20</t>
    </r>
    <r>
      <rPr>
        <b val="true"/>
        <sz val="11"/>
        <rFont val="WenQuanYi Zen Hei"/>
        <family val="2"/>
      </rPr>
      <t xml:space="preserve">일 평균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</si>
  <si>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1) 2</t>
    </r>
    <r>
      <rPr>
        <sz val="11"/>
        <rFont val="WenQuanYi Zen Hei"/>
        <family val="2"/>
      </rPr>
      <t xml:space="preserve">배 미만</t>
    </r>
  </si>
  <si>
    <r>
      <rPr>
        <sz val="11"/>
        <rFont val="Arial"/>
        <family val="0"/>
        <charset val="1"/>
      </rPr>
      <t xml:space="preserve">2) 2</t>
    </r>
    <r>
      <rPr>
        <sz val="11"/>
        <rFont val="WenQuanYi Zen Hei"/>
        <family val="2"/>
      </rPr>
      <t xml:space="preserve">배 </t>
    </r>
    <r>
      <rPr>
        <sz val="11"/>
        <rFont val="Arial"/>
        <family val="0"/>
        <charset val="1"/>
      </rPr>
      <t xml:space="preserve">~ 3</t>
    </r>
    <r>
      <rPr>
        <sz val="11"/>
        <rFont val="WenQuanYi Zen Hei"/>
        <family val="2"/>
      </rPr>
      <t xml:space="preserve">배</t>
    </r>
  </si>
  <si>
    <r>
      <rPr>
        <sz val="11"/>
        <rFont val="Arial"/>
        <family val="0"/>
        <charset val="1"/>
      </rPr>
      <t xml:space="preserve">3) 3</t>
    </r>
    <r>
      <rPr>
        <sz val="11"/>
        <rFont val="WenQuanYi Zen Hei"/>
        <family val="2"/>
      </rPr>
      <t xml:space="preserve">배 </t>
    </r>
    <r>
      <rPr>
        <sz val="11"/>
        <rFont val="Arial"/>
        <family val="0"/>
        <charset val="1"/>
      </rPr>
      <t xml:space="preserve">~ 5</t>
    </r>
    <r>
      <rPr>
        <sz val="11"/>
        <rFont val="WenQuanYi Zen Hei"/>
        <family val="2"/>
      </rPr>
      <t xml:space="preserve">배</t>
    </r>
  </si>
  <si>
    <r>
      <rPr>
        <sz val="11"/>
        <rFont val="Arial"/>
        <family val="0"/>
        <charset val="1"/>
      </rPr>
      <t xml:space="preserve">4) 5</t>
    </r>
    <r>
      <rPr>
        <sz val="11"/>
        <rFont val="WenQuanYi Zen Hei"/>
        <family val="2"/>
      </rPr>
      <t xml:space="preserve">배 </t>
    </r>
    <r>
      <rPr>
        <sz val="11"/>
        <rFont val="Arial"/>
        <family val="0"/>
        <charset val="1"/>
      </rPr>
      <t xml:space="preserve">~ 10</t>
    </r>
    <r>
      <rPr>
        <sz val="11"/>
        <rFont val="WenQuanYi Zen Hei"/>
        <family val="2"/>
      </rPr>
      <t xml:space="preserve">배</t>
    </r>
  </si>
  <si>
    <r>
      <rPr>
        <sz val="11"/>
        <rFont val="Arial"/>
        <family val="0"/>
        <charset val="1"/>
      </rPr>
      <t xml:space="preserve">5) 10</t>
    </r>
    <r>
      <rPr>
        <sz val="11"/>
        <rFont val="WenQuanYi Zen Hei"/>
        <family val="2"/>
      </rPr>
      <t xml:space="preserve">배 이상</t>
    </r>
  </si>
  <si>
    <r>
      <rPr>
        <b val="true"/>
        <sz val="11"/>
        <rFont val="WenQuanYi Zen Hei"/>
        <family val="2"/>
      </rPr>
      <t xml:space="preserve">매수일 캔들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종가 </t>
    </r>
    <r>
      <rPr>
        <b val="true"/>
        <sz val="11"/>
        <rFont val="Arial"/>
        <family val="0"/>
        <charset val="1"/>
      </rPr>
      <t xml:space="preserve">vs </t>
    </r>
    <r>
      <rPr>
        <b val="true"/>
        <sz val="11"/>
        <rFont val="WenQuanYi Zen Hei"/>
        <family val="2"/>
      </rPr>
      <t xml:space="preserve">시가</t>
    </r>
    <r>
      <rPr>
        <b val="true"/>
        <sz val="11"/>
        <rFont val="Arial"/>
        <family val="0"/>
        <charset val="1"/>
      </rPr>
      <t xml:space="preserve">)</t>
    </r>
  </si>
  <si>
    <t xml:space="preserve">양봉</t>
  </si>
  <si>
    <r>
      <rPr>
        <sz val="11"/>
        <rFont val="WenQuanYi Zen Hei"/>
        <family val="2"/>
      </rPr>
      <t xml:space="preserve">음봉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보합</t>
    </r>
  </si>
  <si>
    <t xml:space="preserve">매수 요일</t>
  </si>
  <si>
    <t xml:space="preserve">월</t>
  </si>
  <si>
    <t xml:space="preserve">화</t>
  </si>
  <si>
    <t xml:space="preserve">수</t>
  </si>
  <si>
    <t xml:space="preserve">목</t>
  </si>
  <si>
    <t xml:space="preserve">금</t>
  </si>
  <si>
    <r>
      <rPr>
        <b val="true"/>
        <sz val="11"/>
        <color rgb="FFFFFFFF"/>
        <rFont val="WenQuanYi Zen Hei"/>
        <family val="2"/>
      </rPr>
      <t xml:space="preserve">매수일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신호일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</si>
  <si>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요일</t>
  </si>
  <si>
    <t xml:space="preserve">종목코드</t>
  </si>
  <si>
    <t xml:space="preserve">종목명</t>
  </si>
  <si>
    <t xml:space="preserve">매수가</t>
  </si>
  <si>
    <t xml:space="preserve">수량</t>
  </si>
  <si>
    <t xml:space="preserve">매수금액</t>
  </si>
  <si>
    <t xml:space="preserve">매도일</t>
  </si>
  <si>
    <t xml:space="preserve">매도가</t>
  </si>
  <si>
    <t xml:space="preserve">결과</t>
  </si>
  <si>
    <t xml:space="preserve">보유일</t>
  </si>
  <si>
    <r>
      <rPr>
        <b val="true"/>
        <sz val="11"/>
        <color rgb="FFFFFFFF"/>
        <rFont val="WenQuanYi Zen Hei"/>
        <family val="2"/>
      </rPr>
      <t xml:space="preserve">손익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</si>
  <si>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수익률</t>
  </si>
  <si>
    <t xml:space="preserve">보유중 최고</t>
  </si>
  <si>
    <t xml:space="preserve">보유중 최저</t>
  </si>
  <si>
    <t xml:space="preserve">당일 상승률</t>
  </si>
  <si>
    <r>
      <rPr>
        <b val="true"/>
        <sz val="11"/>
        <color rgb="FFFFFFFF"/>
        <rFont val="WenQuanYi Zen Hei"/>
        <family val="2"/>
      </rPr>
      <t xml:space="preserve">당일 거래대금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</si>
  <si>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WenQuanYi Zen Hei"/>
        <family val="2"/>
      </rPr>
      <t xml:space="preserve">일 돌파폭</t>
    </r>
  </si>
  <si>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WenQuanYi Zen Hei"/>
        <family val="2"/>
      </rPr>
      <t xml:space="preserve">일평균 거래대금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억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</si>
  <si>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거래량 배수</t>
  </si>
  <si>
    <r>
      <rPr>
        <b val="true"/>
        <sz val="11"/>
        <color rgb="FFFFFFFF"/>
        <rFont val="WenQuanYi Zen Hei"/>
        <family val="2"/>
      </rPr>
      <t xml:space="preserve">캔들 몸통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종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</si>
  <si>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윗꼬리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고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종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</si>
  <si>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코스피 당일</t>
  </si>
  <si>
    <r>
      <rPr>
        <b val="true"/>
        <sz val="11"/>
        <color rgb="FFFFFFFF"/>
        <rFont val="WenQuanYi Zen Hei"/>
        <family val="2"/>
      </rPr>
      <t xml:space="preserve">코스피 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일</t>
    </r>
  </si>
  <si>
    <r>
      <rPr>
        <b val="true"/>
        <sz val="11"/>
        <color rgb="FFFFFFFF"/>
        <rFont val="WenQuanYi Zen Hei"/>
        <family val="2"/>
      </rPr>
      <t xml:space="preserve">코스피 </t>
    </r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WenQuanYi Zen Hei"/>
        <family val="2"/>
      </rPr>
      <t xml:space="preserve">일선</t>
    </r>
  </si>
  <si>
    <r>
      <rPr>
        <b val="true"/>
        <sz val="11"/>
        <color rgb="FFFFFFFF"/>
        <rFont val="WenQuanYi Zen Hei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코스피</t>
    </r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일</t>
    </r>
  </si>
  <si>
    <r>
      <rPr>
        <b val="true"/>
        <sz val="11"/>
        <color rgb="FFFFFFFF"/>
        <rFont val="WenQuanYi Zen Hei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상승률</t>
    </r>
  </si>
  <si>
    <r>
      <rPr>
        <b val="true"/>
        <sz val="11"/>
        <color rgb="FFFFFFFF"/>
        <rFont val="WenQuanYi Zen Hei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거래대금</t>
    </r>
  </si>
  <si>
    <r>
      <rPr>
        <b val="true"/>
        <sz val="11"/>
        <color rgb="FFFFFFFF"/>
        <rFont val="WenQuanYi Zen Hei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돌파폭</t>
    </r>
  </si>
  <si>
    <r>
      <rPr>
        <b val="true"/>
        <sz val="11"/>
        <color rgb="FFFFFFFF"/>
        <rFont val="WenQuanYi Zen Hei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거래량배수</t>
    </r>
  </si>
  <si>
    <r>
      <rPr>
        <b val="true"/>
        <sz val="11"/>
        <color rgb="FFFFFFFF"/>
        <rFont val="WenQuanYi Zen Hei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WenQuanYi Zen Hei"/>
        <family val="2"/>
      </rPr>
      <t xml:space="preserve">캔들</t>
    </r>
  </si>
  <si>
    <t xml:space="preserve">222800</t>
  </si>
  <si>
    <t xml:space="preserve">심텍</t>
  </si>
  <si>
    <t xml:space="preserve">094360</t>
  </si>
  <si>
    <t xml:space="preserve">칩스앤미디어</t>
  </si>
  <si>
    <t xml:space="preserve">034220</t>
  </si>
  <si>
    <r>
      <rPr>
        <sz val="11"/>
        <rFont val="Arial"/>
        <family val="0"/>
        <charset val="1"/>
      </rPr>
      <t xml:space="preserve">LG</t>
    </r>
    <r>
      <rPr>
        <sz val="11"/>
        <rFont val="WenQuanYi Zen Hei"/>
        <family val="2"/>
      </rPr>
      <t xml:space="preserve">디스플레이</t>
    </r>
  </si>
  <si>
    <t xml:space="preserve">445180</t>
  </si>
  <si>
    <t xml:space="preserve">퓨릿</t>
  </si>
  <si>
    <t xml:space="preserve">065350</t>
  </si>
  <si>
    <t xml:space="preserve">신성델타테크</t>
  </si>
  <si>
    <t xml:space="preserve">189300</t>
  </si>
  <si>
    <t xml:space="preserve">인텔리안테크</t>
  </si>
  <si>
    <t xml:space="preserve">182400</t>
  </si>
  <si>
    <t xml:space="preserve">엔케이젠바이오텍코리아</t>
  </si>
  <si>
    <t xml:space="preserve">033100</t>
  </si>
  <si>
    <t xml:space="preserve">제룡전기</t>
  </si>
  <si>
    <t xml:space="preserve">336260</t>
  </si>
  <si>
    <t xml:space="preserve">두산퓨얼셀</t>
  </si>
  <si>
    <t xml:space="preserve">047310</t>
  </si>
  <si>
    <t xml:space="preserve">파워로직스</t>
  </si>
  <si>
    <t xml:space="preserve">110990</t>
  </si>
  <si>
    <t xml:space="preserve">디아이티</t>
  </si>
  <si>
    <t xml:space="preserve">214680</t>
  </si>
  <si>
    <t xml:space="preserve">디알텍</t>
  </si>
  <si>
    <t xml:space="preserve">335890</t>
  </si>
  <si>
    <t xml:space="preserve">비올</t>
  </si>
  <si>
    <t xml:space="preserve">267260</t>
  </si>
  <si>
    <r>
      <rPr>
        <sz val="11"/>
        <rFont val="Arial"/>
        <family val="0"/>
        <charset val="1"/>
      </rPr>
      <t xml:space="preserve">HD</t>
    </r>
    <r>
      <rPr>
        <sz val="11"/>
        <rFont val="WenQuanYi Zen Hei"/>
        <family val="2"/>
      </rPr>
      <t xml:space="preserve">현대일렉트릭</t>
    </r>
  </si>
  <si>
    <t xml:space="preserve">117730</t>
  </si>
  <si>
    <t xml:space="preserve">티로보틱스</t>
  </si>
  <si>
    <t xml:space="preserve">304100</t>
  </si>
  <si>
    <t xml:space="preserve">솔트룩스</t>
  </si>
  <si>
    <t xml:space="preserve">108860</t>
  </si>
  <si>
    <r>
      <rPr>
        <sz val="11"/>
        <rFont val="WenQuanYi Zen Hei"/>
        <family val="2"/>
      </rPr>
      <t xml:space="preserve">셀바스</t>
    </r>
    <r>
      <rPr>
        <sz val="11"/>
        <rFont val="Arial"/>
        <family val="0"/>
        <charset val="1"/>
      </rPr>
      <t xml:space="preserve">AI</t>
    </r>
  </si>
  <si>
    <t xml:space="preserve">377480</t>
  </si>
  <si>
    <r>
      <rPr>
        <sz val="11"/>
        <rFont val="WenQuanYi Zen Hei"/>
        <family val="2"/>
      </rPr>
      <t xml:space="preserve">마음</t>
    </r>
    <r>
      <rPr>
        <sz val="11"/>
        <rFont val="Arial"/>
        <family val="0"/>
        <charset val="1"/>
      </rPr>
      <t xml:space="preserve">AI</t>
    </r>
  </si>
  <si>
    <t xml:space="preserve">250060</t>
  </si>
  <si>
    <t xml:space="preserve">모비스</t>
  </si>
  <si>
    <t xml:space="preserve">355390</t>
  </si>
  <si>
    <t xml:space="preserve">크라우드웍스</t>
  </si>
  <si>
    <t xml:space="preserve">235980</t>
  </si>
  <si>
    <t xml:space="preserve">메드팩토</t>
  </si>
  <si>
    <t xml:space="preserve">060250</t>
  </si>
  <si>
    <t xml:space="preserve">NHN KCP</t>
  </si>
  <si>
    <t xml:space="preserve">058970</t>
  </si>
  <si>
    <t xml:space="preserve">엠로</t>
  </si>
  <si>
    <t xml:space="preserve">403490</t>
  </si>
  <si>
    <t xml:space="preserve">우듬지팜</t>
  </si>
  <si>
    <t xml:space="preserve">103590</t>
  </si>
  <si>
    <t xml:space="preserve">일진전기</t>
  </si>
  <si>
    <t xml:space="preserve">161390</t>
  </si>
  <si>
    <t xml:space="preserve">한국타이어앤테크놀로지</t>
  </si>
  <si>
    <t xml:space="preserve">317330</t>
  </si>
  <si>
    <t xml:space="preserve">덕산테코피아</t>
  </si>
  <si>
    <t xml:space="preserve">007660</t>
  </si>
  <si>
    <t xml:space="preserve">이수페타시스</t>
  </si>
  <si>
    <t xml:space="preserve">095340</t>
  </si>
  <si>
    <t xml:space="preserve">ISC</t>
  </si>
  <si>
    <t xml:space="preserve">124500</t>
  </si>
  <si>
    <t xml:space="preserve">아이티센글로벌</t>
  </si>
  <si>
    <t xml:space="preserve">420770</t>
  </si>
  <si>
    <t xml:space="preserve">기가비스</t>
  </si>
  <si>
    <t xml:space="preserve">396470</t>
  </si>
  <si>
    <t xml:space="preserve">워트</t>
  </si>
  <si>
    <t xml:space="preserve">064350</t>
  </si>
  <si>
    <t xml:space="preserve">현대로템</t>
  </si>
  <si>
    <t xml:space="preserve">001440</t>
  </si>
  <si>
    <t xml:space="preserve">대한전선</t>
  </si>
  <si>
    <t xml:space="preserve">018290</t>
  </si>
  <si>
    <t xml:space="preserve">브이티</t>
  </si>
  <si>
    <t xml:space="preserve">299900</t>
  </si>
  <si>
    <t xml:space="preserve">위지윅스튜디오</t>
  </si>
  <si>
    <t xml:space="preserve">451220</t>
  </si>
  <si>
    <t xml:space="preserve">아이엠티</t>
  </si>
  <si>
    <t xml:space="preserve">036930</t>
  </si>
  <si>
    <t xml:space="preserve">주성엔지니어링</t>
  </si>
  <si>
    <t xml:space="preserve">067630</t>
  </si>
  <si>
    <r>
      <rPr>
        <sz val="11"/>
        <rFont val="Arial"/>
        <family val="0"/>
        <charset val="1"/>
      </rPr>
      <t xml:space="preserve">HLB</t>
    </r>
    <r>
      <rPr>
        <sz val="11"/>
        <rFont val="WenQuanYi Zen Hei"/>
        <family val="2"/>
      </rPr>
      <t xml:space="preserve">생명과학</t>
    </r>
  </si>
  <si>
    <t xml:space="preserve">030200</t>
  </si>
  <si>
    <t xml:space="preserve">KT</t>
  </si>
  <si>
    <t xml:space="preserve">006800</t>
  </si>
  <si>
    <t xml:space="preserve">미래에셋증권</t>
  </si>
  <si>
    <t xml:space="preserve">047920</t>
  </si>
  <si>
    <r>
      <rPr>
        <sz val="11"/>
        <rFont val="Arial"/>
        <family val="0"/>
        <charset val="1"/>
      </rPr>
      <t xml:space="preserve">HLB</t>
    </r>
    <r>
      <rPr>
        <sz val="11"/>
        <rFont val="WenQuanYi Zen Hei"/>
        <family val="2"/>
      </rPr>
      <t xml:space="preserve">제약</t>
    </r>
  </si>
  <si>
    <t xml:space="preserve">139480</t>
  </si>
  <si>
    <t xml:space="preserve">이마트</t>
  </si>
  <si>
    <t xml:space="preserve">015760</t>
  </si>
  <si>
    <t xml:space="preserve">한국전력</t>
  </si>
  <si>
    <t xml:space="preserve">036460</t>
  </si>
  <si>
    <t xml:space="preserve">한국가스공사</t>
  </si>
  <si>
    <t xml:space="preserve">088350</t>
  </si>
  <si>
    <t xml:space="preserve">한화생명</t>
  </si>
  <si>
    <t xml:space="preserve">000880</t>
  </si>
  <si>
    <t xml:space="preserve">한화</t>
  </si>
  <si>
    <t xml:space="preserve">003550</t>
  </si>
  <si>
    <t xml:space="preserve">LG</t>
  </si>
  <si>
    <t xml:space="preserve">200880</t>
  </si>
  <si>
    <t xml:space="preserve">서연이화</t>
  </si>
  <si>
    <t xml:space="preserve">267850</t>
  </si>
  <si>
    <r>
      <rPr>
        <sz val="11"/>
        <rFont val="WenQuanYi Zen Hei"/>
        <family val="2"/>
      </rPr>
      <t xml:space="preserve">아시아나</t>
    </r>
    <r>
      <rPr>
        <sz val="11"/>
        <rFont val="Arial"/>
        <family val="0"/>
        <charset val="1"/>
      </rPr>
      <t xml:space="preserve">IDT</t>
    </r>
  </si>
  <si>
    <t xml:space="preserve">010950</t>
  </si>
  <si>
    <t xml:space="preserve">S-Oil</t>
  </si>
  <si>
    <t xml:space="preserve">042700</t>
  </si>
  <si>
    <t xml:space="preserve">한미반도체</t>
  </si>
  <si>
    <t xml:space="preserve">039440</t>
  </si>
  <si>
    <t xml:space="preserve">에스티아이</t>
  </si>
  <si>
    <t xml:space="preserve">041190</t>
  </si>
  <si>
    <t xml:space="preserve">우리기술투자</t>
  </si>
  <si>
    <t xml:space="preserve">084690</t>
  </si>
  <si>
    <t xml:space="preserve">대상홀딩스</t>
  </si>
  <si>
    <t xml:space="preserve">141080</t>
  </si>
  <si>
    <t xml:space="preserve">리가켐바이오</t>
  </si>
  <si>
    <t xml:space="preserve">452260</t>
  </si>
  <si>
    <t xml:space="preserve">한화갤러리아</t>
  </si>
  <si>
    <t xml:space="preserve">273060</t>
  </si>
  <si>
    <t xml:space="preserve">와이즈버즈</t>
  </si>
  <si>
    <t xml:space="preserve">372170</t>
  </si>
  <si>
    <t xml:space="preserve">윤성에프앤씨</t>
  </si>
  <si>
    <t xml:space="preserve">445090</t>
  </si>
  <si>
    <t xml:space="preserve">에이직랜드</t>
  </si>
  <si>
    <t xml:space="preserve">402490</t>
  </si>
  <si>
    <t xml:space="preserve">그린리소스</t>
  </si>
  <si>
    <t xml:space="preserve">000250</t>
  </si>
  <si>
    <t xml:space="preserve">삼천당제약</t>
  </si>
  <si>
    <t xml:space="preserve">005950</t>
  </si>
  <si>
    <t xml:space="preserve">이수화학</t>
  </si>
  <si>
    <t xml:space="preserve">079370</t>
  </si>
  <si>
    <t xml:space="preserve">제우스</t>
  </si>
  <si>
    <t xml:space="preserve">298380</t>
  </si>
  <si>
    <t xml:space="preserve">에이비엘바이오</t>
  </si>
  <si>
    <t xml:space="preserve">087010</t>
  </si>
  <si>
    <t xml:space="preserve">펩트론</t>
  </si>
  <si>
    <t xml:space="preserve">090360</t>
  </si>
  <si>
    <t xml:space="preserve">로보스타</t>
  </si>
  <si>
    <t xml:space="preserve">272210</t>
  </si>
  <si>
    <t xml:space="preserve">한화시스템</t>
  </si>
  <si>
    <t xml:space="preserve">041020</t>
  </si>
  <si>
    <t xml:space="preserve">폴라리스오피스</t>
  </si>
  <si>
    <t xml:space="preserve">013990</t>
  </si>
  <si>
    <t xml:space="preserve">아가방컴퍼니</t>
  </si>
  <si>
    <t xml:space="preserve">010120</t>
  </si>
  <si>
    <t xml:space="preserve">LS ELECTRIC</t>
  </si>
  <si>
    <t xml:space="preserve">356860</t>
  </si>
  <si>
    <t xml:space="preserve">티엘비</t>
  </si>
  <si>
    <t xml:space="preserve">005290</t>
  </si>
  <si>
    <t xml:space="preserve">동진쎄미켐</t>
  </si>
  <si>
    <t xml:space="preserve">388870</t>
  </si>
  <si>
    <t xml:space="preserve">파로스아이바이오</t>
  </si>
  <si>
    <t xml:space="preserve">042670</t>
  </si>
  <si>
    <r>
      <rPr>
        <sz val="11"/>
        <rFont val="Arial"/>
        <family val="0"/>
        <charset val="1"/>
      </rPr>
      <t xml:space="preserve">HD</t>
    </r>
    <r>
      <rPr>
        <sz val="11"/>
        <rFont val="WenQuanYi Zen Hei"/>
        <family val="2"/>
      </rPr>
      <t xml:space="preserve">현대인프라코어</t>
    </r>
  </si>
  <si>
    <t xml:space="preserve">454910</t>
  </si>
  <si>
    <t xml:space="preserve">두산로보틱스</t>
  </si>
  <si>
    <t xml:space="preserve">058470</t>
  </si>
  <si>
    <t xml:space="preserve">리노공업</t>
  </si>
  <si>
    <t xml:space="preserve">112040</t>
  </si>
  <si>
    <t xml:space="preserve">위메이드</t>
  </si>
  <si>
    <t xml:space="preserve">004560</t>
  </si>
  <si>
    <t xml:space="preserve">현대비앤지스틸</t>
  </si>
  <si>
    <t xml:space="preserve">078150</t>
  </si>
  <si>
    <r>
      <rPr>
        <sz val="11"/>
        <rFont val="Arial"/>
        <family val="0"/>
        <charset val="1"/>
      </rPr>
      <t xml:space="preserve">HB</t>
    </r>
    <r>
      <rPr>
        <sz val="11"/>
        <rFont val="WenQuanYi Zen Hei"/>
        <family val="2"/>
      </rPr>
      <t xml:space="preserve">테크놀러지</t>
    </r>
  </si>
  <si>
    <t xml:space="preserve">109610</t>
  </si>
  <si>
    <t xml:space="preserve">에스와이</t>
  </si>
  <si>
    <t xml:space="preserve">264850</t>
  </si>
  <si>
    <t xml:space="preserve">이랜시스</t>
  </si>
  <si>
    <t xml:space="preserve">140670</t>
  </si>
  <si>
    <t xml:space="preserve">알에스오토메이션</t>
  </si>
  <si>
    <t xml:space="preserve">005930</t>
  </si>
  <si>
    <t xml:space="preserve">삼성전자</t>
  </si>
  <si>
    <t xml:space="preserve">004830</t>
  </si>
  <si>
    <t xml:space="preserve">덕성</t>
  </si>
  <si>
    <t xml:space="preserve">084370</t>
  </si>
  <si>
    <t xml:space="preserve">유진테크</t>
  </si>
  <si>
    <t xml:space="preserve">019170</t>
  </si>
  <si>
    <t xml:space="preserve">신풍제약</t>
  </si>
  <si>
    <t xml:space="preserve">090710</t>
  </si>
  <si>
    <t xml:space="preserve">휴림로봇</t>
  </si>
  <si>
    <t xml:space="preserve">336570</t>
  </si>
  <si>
    <t xml:space="preserve">원텍</t>
  </si>
  <si>
    <t xml:space="preserve">003580</t>
  </si>
  <si>
    <r>
      <rPr>
        <sz val="11"/>
        <rFont val="Arial"/>
        <family val="0"/>
        <charset val="1"/>
      </rPr>
      <t xml:space="preserve">HLB</t>
    </r>
    <r>
      <rPr>
        <sz val="11"/>
        <rFont val="WenQuanYi Zen Hei"/>
        <family val="2"/>
      </rPr>
      <t xml:space="preserve">글로벌</t>
    </r>
  </si>
  <si>
    <t xml:space="preserve">214450</t>
  </si>
  <si>
    <t xml:space="preserve">파마리서치</t>
  </si>
  <si>
    <t xml:space="preserve">356680</t>
  </si>
  <si>
    <t xml:space="preserve">엑스게이트</t>
  </si>
  <si>
    <t xml:space="preserve">089890</t>
  </si>
  <si>
    <t xml:space="preserve">코세스</t>
  </si>
  <si>
    <t xml:space="preserve">003280</t>
  </si>
  <si>
    <t xml:space="preserve">흥아해운</t>
  </si>
  <si>
    <t xml:space="preserve">008930</t>
  </si>
  <si>
    <t xml:space="preserve">한미사이언스</t>
  </si>
  <si>
    <t xml:space="preserve">451760</t>
  </si>
  <si>
    <t xml:space="preserve">컨텍</t>
  </si>
  <si>
    <t xml:space="preserve">080220</t>
  </si>
  <si>
    <t xml:space="preserve">제주반도체</t>
  </si>
  <si>
    <t xml:space="preserve">112610</t>
  </si>
  <si>
    <t xml:space="preserve">씨에스윈드</t>
  </si>
  <si>
    <t xml:space="preserve">102120</t>
  </si>
  <si>
    <t xml:space="preserve">어보브반도체</t>
  </si>
  <si>
    <t xml:space="preserve">006360</t>
  </si>
  <si>
    <r>
      <rPr>
        <sz val="11"/>
        <rFont val="Arial"/>
        <family val="0"/>
        <charset val="1"/>
      </rPr>
      <t xml:space="preserve">GS</t>
    </r>
    <r>
      <rPr>
        <sz val="11"/>
        <rFont val="WenQuanYi Zen Hei"/>
        <family val="2"/>
      </rPr>
      <t xml:space="preserve">건설</t>
    </r>
  </si>
  <si>
    <t xml:space="preserve">012510</t>
  </si>
  <si>
    <t xml:space="preserve">더존비즈온</t>
  </si>
  <si>
    <t xml:space="preserve">083500</t>
  </si>
  <si>
    <t xml:space="preserve">에프엔에스테크</t>
  </si>
  <si>
    <t xml:space="preserve">049950</t>
  </si>
  <si>
    <t xml:space="preserve">미래컴퍼니</t>
  </si>
  <si>
    <t xml:space="preserve">053800</t>
  </si>
  <si>
    <t xml:space="preserve">안랩</t>
  </si>
  <si>
    <t xml:space="preserve">229640</t>
  </si>
  <si>
    <r>
      <rPr>
        <sz val="11"/>
        <rFont val="Arial"/>
        <family val="0"/>
        <charset val="1"/>
      </rPr>
      <t xml:space="preserve">LS</t>
    </r>
    <r>
      <rPr>
        <sz val="11"/>
        <rFont val="WenQuanYi Zen Hei"/>
        <family val="2"/>
      </rPr>
      <t xml:space="preserve">에코에너지</t>
    </r>
  </si>
  <si>
    <t xml:space="preserve">206650</t>
  </si>
  <si>
    <t xml:space="preserve">유바이오로직스</t>
  </si>
  <si>
    <t xml:space="preserve">200710</t>
  </si>
  <si>
    <t xml:space="preserve">에이디테크놀로지</t>
  </si>
  <si>
    <t xml:space="preserve">006220</t>
  </si>
  <si>
    <t xml:space="preserve">제주은행</t>
  </si>
  <si>
    <t xml:space="preserve">065450</t>
  </si>
  <si>
    <t xml:space="preserve">빅텍</t>
  </si>
  <si>
    <t xml:space="preserve">028050</t>
  </si>
  <si>
    <r>
      <rPr>
        <sz val="11"/>
        <rFont val="WenQuanYi Zen Hei"/>
        <family val="2"/>
      </rPr>
      <t xml:space="preserve">삼성</t>
    </r>
    <r>
      <rPr>
        <sz val="11"/>
        <rFont val="Arial"/>
        <family val="0"/>
        <charset val="1"/>
      </rPr>
      <t xml:space="preserve">E&amp;A</t>
    </r>
  </si>
  <si>
    <t xml:space="preserve">440110</t>
  </si>
  <si>
    <t xml:space="preserve">파두</t>
  </si>
  <si>
    <t xml:space="preserve">171090</t>
  </si>
  <si>
    <t xml:space="preserve">선익시스템</t>
  </si>
  <si>
    <t xml:space="preserve">011200</t>
  </si>
  <si>
    <t xml:space="preserve">HMM</t>
  </si>
  <si>
    <t xml:space="preserve">067080</t>
  </si>
  <si>
    <t xml:space="preserve">대화제약</t>
  </si>
  <si>
    <t xml:space="preserve">030520</t>
  </si>
  <si>
    <t xml:space="preserve">한컴</t>
  </si>
  <si>
    <t xml:space="preserve">138930</t>
  </si>
  <si>
    <r>
      <rPr>
        <sz val="11"/>
        <rFont val="Arial"/>
        <family val="0"/>
        <charset val="1"/>
      </rPr>
      <t xml:space="preserve">BNK</t>
    </r>
    <r>
      <rPr>
        <sz val="11"/>
        <rFont val="WenQuanYi Zen Hei"/>
        <family val="2"/>
      </rPr>
      <t xml:space="preserve">금융지주</t>
    </r>
  </si>
  <si>
    <t xml:space="preserve">195940</t>
  </si>
  <si>
    <r>
      <rPr>
        <sz val="11"/>
        <rFont val="Arial"/>
        <family val="0"/>
        <charset val="1"/>
      </rPr>
      <t xml:space="preserve">HK</t>
    </r>
    <r>
      <rPr>
        <sz val="11"/>
        <rFont val="WenQuanYi Zen Hei"/>
        <family val="2"/>
      </rPr>
      <t xml:space="preserve">이노엔</t>
    </r>
  </si>
  <si>
    <t xml:space="preserve">237820</t>
  </si>
  <si>
    <t xml:space="preserve">플레이디</t>
  </si>
  <si>
    <t xml:space="preserve">047810</t>
  </si>
  <si>
    <t xml:space="preserve">한국항공우주</t>
  </si>
  <si>
    <t xml:space="preserve">105560</t>
  </si>
  <si>
    <r>
      <rPr>
        <sz val="11"/>
        <rFont val="Arial"/>
        <family val="0"/>
        <charset val="1"/>
      </rPr>
      <t xml:space="preserve">KB</t>
    </r>
    <r>
      <rPr>
        <sz val="11"/>
        <rFont val="WenQuanYi Zen Hei"/>
        <family val="2"/>
      </rPr>
      <t xml:space="preserve">금융</t>
    </r>
  </si>
  <si>
    <t xml:space="preserve">086790</t>
  </si>
  <si>
    <t xml:space="preserve">하나금융지주</t>
  </si>
  <si>
    <t xml:space="preserve">278470</t>
  </si>
  <si>
    <t xml:space="preserve">에이피알</t>
  </si>
  <si>
    <t xml:space="preserve">204320</t>
  </si>
  <si>
    <r>
      <rPr>
        <sz val="11"/>
        <rFont val="Arial"/>
        <family val="0"/>
        <charset val="1"/>
      </rPr>
      <t xml:space="preserve">HL</t>
    </r>
    <r>
      <rPr>
        <sz val="11"/>
        <rFont val="WenQuanYi Zen Hei"/>
        <family val="2"/>
      </rPr>
      <t xml:space="preserve">만도</t>
    </r>
  </si>
  <si>
    <t xml:space="preserve">055550</t>
  </si>
  <si>
    <t xml:space="preserve">신한지주</t>
  </si>
  <si>
    <t xml:space="preserve">039980</t>
  </si>
  <si>
    <r>
      <rPr>
        <sz val="11"/>
        <rFont val="WenQuanYi Zen Hei"/>
        <family val="2"/>
      </rPr>
      <t xml:space="preserve">폴라리스</t>
    </r>
    <r>
      <rPr>
        <sz val="11"/>
        <rFont val="Arial"/>
        <family val="0"/>
        <charset val="1"/>
      </rPr>
      <t xml:space="preserve">AI</t>
    </r>
  </si>
  <si>
    <t xml:space="preserve">085670</t>
  </si>
  <si>
    <t xml:space="preserve">뉴프렉스</t>
  </si>
  <si>
    <t xml:space="preserve">090460</t>
  </si>
  <si>
    <t xml:space="preserve">비에이치</t>
  </si>
  <si>
    <t xml:space="preserve">024910</t>
  </si>
  <si>
    <t xml:space="preserve">경창산업</t>
  </si>
  <si>
    <t xml:space="preserve">210980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</si>
  <si>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디앤디</t>
    </r>
  </si>
  <si>
    <t xml:space="preserve">051370</t>
  </si>
  <si>
    <t xml:space="preserve">인터플렉스</t>
  </si>
  <si>
    <t xml:space="preserve">000100</t>
  </si>
  <si>
    <t xml:space="preserve">유한양행</t>
  </si>
  <si>
    <t xml:space="preserve">351330</t>
  </si>
  <si>
    <t xml:space="preserve">이삭엔지니어링</t>
  </si>
  <si>
    <t xml:space="preserve">051980</t>
  </si>
  <si>
    <t xml:space="preserve">중앙첨단소재</t>
  </si>
  <si>
    <t xml:space="preserve">041510</t>
  </si>
  <si>
    <t xml:space="preserve">에스엠</t>
  </si>
  <si>
    <t xml:space="preserve">006110</t>
  </si>
  <si>
    <t xml:space="preserve">삼아알미늄</t>
  </si>
  <si>
    <t xml:space="preserve">403870</t>
  </si>
  <si>
    <t xml:space="preserve">HPSP</t>
  </si>
  <si>
    <t xml:space="preserve">036200</t>
  </si>
  <si>
    <t xml:space="preserve">유니셈</t>
  </si>
  <si>
    <t xml:space="preserve">003160</t>
  </si>
  <si>
    <t xml:space="preserve">디아이</t>
  </si>
  <si>
    <t xml:space="preserve">032350</t>
  </si>
  <si>
    <t xml:space="preserve">롯데관광개발</t>
  </si>
  <si>
    <t xml:space="preserve">432430</t>
  </si>
  <si>
    <t xml:space="preserve">와이랩</t>
  </si>
  <si>
    <t xml:space="preserve">253590</t>
  </si>
  <si>
    <t xml:space="preserve">네오셈</t>
  </si>
  <si>
    <t xml:space="preserve">101360</t>
  </si>
  <si>
    <t xml:space="preserve">에코앤드림</t>
  </si>
  <si>
    <t xml:space="preserve">002710</t>
  </si>
  <si>
    <r>
      <rPr>
        <sz val="11"/>
        <rFont val="Arial"/>
        <family val="0"/>
        <charset val="1"/>
      </rPr>
      <t xml:space="preserve">TCC</t>
    </r>
    <r>
      <rPr>
        <sz val="11"/>
        <rFont val="WenQuanYi Zen Hei"/>
        <family val="2"/>
      </rPr>
      <t xml:space="preserve">스틸</t>
    </r>
  </si>
  <si>
    <t xml:space="preserve">204270</t>
  </si>
  <si>
    <t xml:space="preserve">제이앤티씨</t>
  </si>
  <si>
    <t xml:space="preserve">457190</t>
  </si>
  <si>
    <t xml:space="preserve">이수스페셜티케미컬</t>
  </si>
  <si>
    <t xml:space="preserve">101670</t>
  </si>
  <si>
    <t xml:space="preserve">하이드로리튬</t>
  </si>
  <si>
    <t xml:space="preserve">009520</t>
  </si>
  <si>
    <t xml:space="preserve">포스코엠텍</t>
  </si>
  <si>
    <t xml:space="preserve">022100</t>
  </si>
  <si>
    <r>
      <rPr>
        <sz val="11"/>
        <rFont val="WenQuanYi Zen Hei"/>
        <family val="2"/>
      </rPr>
      <t xml:space="preserve">포스코</t>
    </r>
    <r>
      <rPr>
        <sz val="11"/>
        <rFont val="Arial"/>
        <family val="0"/>
        <charset val="1"/>
      </rPr>
      <t xml:space="preserve">DX</t>
    </r>
  </si>
  <si>
    <t xml:space="preserve">228760</t>
  </si>
  <si>
    <t xml:space="preserve">지노믹트리</t>
  </si>
  <si>
    <t xml:space="preserve">166090</t>
  </si>
  <si>
    <t xml:space="preserve">하나머티리얼즈</t>
  </si>
  <si>
    <t xml:space="preserve">087260</t>
  </si>
  <si>
    <t xml:space="preserve">모바일어플라이언스</t>
  </si>
  <si>
    <t xml:space="preserve">017510</t>
  </si>
  <si>
    <t xml:space="preserve">세명전기</t>
  </si>
  <si>
    <t xml:space="preserve">017670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</si>
  <si>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텔레콤</t>
    </r>
  </si>
  <si>
    <t xml:space="preserve">017860</t>
  </si>
  <si>
    <r>
      <rPr>
        <sz val="11"/>
        <rFont val="Arial"/>
        <family val="0"/>
        <charset val="1"/>
      </rPr>
      <t xml:space="preserve">DS</t>
    </r>
    <r>
      <rPr>
        <sz val="11"/>
        <rFont val="WenQuanYi Zen Hei"/>
        <family val="2"/>
      </rPr>
      <t xml:space="preserve">단석</t>
    </r>
  </si>
  <si>
    <t xml:space="preserve">028300</t>
  </si>
  <si>
    <t xml:space="preserve">HLB</t>
  </si>
  <si>
    <t xml:space="preserve">016360</t>
  </si>
  <si>
    <t xml:space="preserve">삼성증권</t>
  </si>
  <si>
    <t xml:space="preserve">095610</t>
  </si>
  <si>
    <t xml:space="preserve">테스</t>
  </si>
  <si>
    <t xml:space="preserve">439580</t>
  </si>
  <si>
    <t xml:space="preserve">블루엠텍</t>
  </si>
  <si>
    <t xml:space="preserve">034020</t>
  </si>
  <si>
    <t xml:space="preserve">두산에너빌리티</t>
  </si>
  <si>
    <t xml:space="preserve">251270</t>
  </si>
  <si>
    <t xml:space="preserve">넷마블</t>
  </si>
  <si>
    <t xml:space="preserve">241560</t>
  </si>
  <si>
    <t xml:space="preserve">두산밥캣</t>
  </si>
  <si>
    <t xml:space="preserve">383220</t>
  </si>
  <si>
    <t xml:space="preserve">F&amp;F</t>
  </si>
  <si>
    <t xml:space="preserve">035900</t>
  </si>
  <si>
    <t xml:space="preserve">JYP Ent.</t>
  </si>
  <si>
    <t xml:space="preserve">039610</t>
  </si>
  <si>
    <t xml:space="preserve">화성밸브</t>
  </si>
  <si>
    <t xml:space="preserve">082740</t>
  </si>
  <si>
    <t xml:space="preserve">한화엔진</t>
  </si>
  <si>
    <t xml:space="preserve">002720</t>
  </si>
  <si>
    <t xml:space="preserve">국제약품</t>
  </si>
  <si>
    <t xml:space="preserve">445680</t>
  </si>
  <si>
    <t xml:space="preserve">큐리옥스바이오시스템즈</t>
  </si>
  <si>
    <t xml:space="preserve">232140</t>
  </si>
  <si>
    <t xml:space="preserve">와이씨</t>
  </si>
  <si>
    <t xml:space="preserve">004090</t>
  </si>
  <si>
    <t xml:space="preserve">한국석유</t>
  </si>
  <si>
    <t xml:space="preserve">014710</t>
  </si>
  <si>
    <t xml:space="preserve">사조씨푸드</t>
  </si>
  <si>
    <t xml:space="preserve">453450</t>
  </si>
  <si>
    <t xml:space="preserve">그리드위즈</t>
  </si>
  <si>
    <t xml:space="preserve">222080</t>
  </si>
  <si>
    <r>
      <rPr>
        <sz val="11"/>
        <rFont val="Arial"/>
        <family val="0"/>
        <charset val="1"/>
      </rPr>
      <t xml:space="preserve">SFA</t>
    </r>
    <r>
      <rPr>
        <sz val="11"/>
        <rFont val="WenQuanYi Zen Hei"/>
        <family val="2"/>
      </rPr>
      <t xml:space="preserve">넥셀</t>
    </r>
  </si>
  <si>
    <t xml:space="preserve">137400</t>
  </si>
  <si>
    <t xml:space="preserve">피엔티</t>
  </si>
  <si>
    <t xml:space="preserve">452190</t>
  </si>
  <si>
    <t xml:space="preserve">한빛레이저</t>
  </si>
  <si>
    <t xml:space="preserve">024840</t>
  </si>
  <si>
    <r>
      <rPr>
        <sz val="11"/>
        <rFont val="Arial"/>
        <family val="0"/>
        <charset val="1"/>
      </rPr>
      <t xml:space="preserve">KBI</t>
    </r>
    <r>
      <rPr>
        <sz val="11"/>
        <rFont val="WenQuanYi Zen Hei"/>
        <family val="2"/>
      </rPr>
      <t xml:space="preserve">메탈</t>
    </r>
  </si>
  <si>
    <t xml:space="preserve">462510</t>
  </si>
  <si>
    <t xml:space="preserve">라메디텍</t>
  </si>
  <si>
    <t xml:space="preserve">003220</t>
  </si>
  <si>
    <t xml:space="preserve">대원제약</t>
  </si>
  <si>
    <t xml:space="preserve">294090</t>
  </si>
  <si>
    <t xml:space="preserve">이오플로우</t>
  </si>
  <si>
    <t xml:space="preserve">024900</t>
  </si>
  <si>
    <t xml:space="preserve">디와이덕양</t>
  </si>
  <si>
    <t xml:space="preserve">271560</t>
  </si>
  <si>
    <t xml:space="preserve">오리온</t>
  </si>
  <si>
    <t xml:space="preserve">199820</t>
  </si>
  <si>
    <t xml:space="preserve">제일일렉트릭</t>
  </si>
  <si>
    <t xml:space="preserve">053080</t>
  </si>
  <si>
    <t xml:space="preserve">케이엔솔</t>
  </si>
  <si>
    <t xml:space="preserve">378340</t>
  </si>
  <si>
    <t xml:space="preserve">필에너지</t>
  </si>
  <si>
    <t xml:space="preserve">450080</t>
  </si>
  <si>
    <t xml:space="preserve">에코프로머티</t>
  </si>
  <si>
    <t xml:space="preserve">464080</t>
  </si>
  <si>
    <t xml:space="preserve">에스오에스랩</t>
  </si>
  <si>
    <t xml:space="preserve">094480</t>
  </si>
  <si>
    <t xml:space="preserve">갤럭시아머니트리</t>
  </si>
  <si>
    <t xml:space="preserve">130660</t>
  </si>
  <si>
    <t xml:space="preserve">한전산업</t>
  </si>
  <si>
    <t xml:space="preserve">048870</t>
  </si>
  <si>
    <t xml:space="preserve">시너지이노베이션</t>
  </si>
  <si>
    <t xml:space="preserve">451250</t>
  </si>
  <si>
    <t xml:space="preserve">삐아</t>
  </si>
  <si>
    <t xml:space="preserve">161580</t>
  </si>
  <si>
    <t xml:space="preserve">필옵틱스</t>
  </si>
  <si>
    <t xml:space="preserve">112290</t>
  </si>
  <si>
    <t xml:space="preserve">와이씨켐</t>
  </si>
  <si>
    <t xml:space="preserve">214260</t>
  </si>
  <si>
    <t xml:space="preserve">라파스</t>
  </si>
  <si>
    <t xml:space="preserve">257720</t>
  </si>
  <si>
    <t xml:space="preserve">실리콘투</t>
  </si>
  <si>
    <t xml:space="preserve">024060</t>
  </si>
  <si>
    <t xml:space="preserve">흥구석유</t>
  </si>
  <si>
    <t xml:space="preserve">086520</t>
  </si>
  <si>
    <t xml:space="preserve">에코프로</t>
  </si>
  <si>
    <t xml:space="preserve">412540</t>
  </si>
  <si>
    <t xml:space="preserve">제일엠앤에스</t>
  </si>
  <si>
    <t xml:space="preserve">058850</t>
  </si>
  <si>
    <t xml:space="preserve">KTcs</t>
  </si>
  <si>
    <t xml:space="preserve">084650</t>
  </si>
  <si>
    <t xml:space="preserve">랩지노믹스</t>
  </si>
  <si>
    <t xml:space="preserve">337930</t>
  </si>
  <si>
    <t xml:space="preserve">젝시믹스</t>
  </si>
  <si>
    <t xml:space="preserve">040300</t>
  </si>
  <si>
    <t xml:space="preserve">YTN</t>
  </si>
  <si>
    <t xml:space="preserve">225190</t>
  </si>
  <si>
    <r>
      <rPr>
        <sz val="11"/>
        <rFont val="Arial"/>
        <family val="0"/>
        <charset val="1"/>
      </rPr>
      <t xml:space="preserve">LK</t>
    </r>
    <r>
      <rPr>
        <sz val="11"/>
        <rFont val="WenQuanYi Zen Hei"/>
        <family val="2"/>
      </rPr>
      <t xml:space="preserve">삼양</t>
    </r>
  </si>
  <si>
    <t xml:space="preserve">462870</t>
  </si>
  <si>
    <t xml:space="preserve">시프트업</t>
  </si>
  <si>
    <t xml:space="preserve">009420</t>
  </si>
  <si>
    <t xml:space="preserve">한올바이오파마</t>
  </si>
  <si>
    <t xml:space="preserve">039200</t>
  </si>
  <si>
    <t xml:space="preserve">오스코텍</t>
  </si>
  <si>
    <t xml:space="preserve">255220</t>
  </si>
  <si>
    <t xml:space="preserve">SG</t>
  </si>
  <si>
    <t xml:space="preserve">397030</t>
  </si>
  <si>
    <t xml:space="preserve">에이프릴바이오</t>
  </si>
  <si>
    <t xml:space="preserve">316140</t>
  </si>
  <si>
    <t xml:space="preserve">우리금융지주</t>
  </si>
  <si>
    <t xml:space="preserve">214610</t>
  </si>
  <si>
    <t xml:space="preserve">롤링스톤</t>
  </si>
  <si>
    <t xml:space="preserve">388050</t>
  </si>
  <si>
    <t xml:space="preserve">지투파워</t>
  </si>
  <si>
    <t xml:space="preserve">000080</t>
  </si>
  <si>
    <t xml:space="preserve">하이트진로</t>
  </si>
  <si>
    <t xml:space="preserve">163730</t>
  </si>
  <si>
    <t xml:space="preserve">핑거</t>
  </si>
  <si>
    <t xml:space="preserve">140430</t>
  </si>
  <si>
    <t xml:space="preserve">카티스</t>
  </si>
  <si>
    <t xml:space="preserve">062040</t>
  </si>
  <si>
    <t xml:space="preserve">산일전기</t>
  </si>
  <si>
    <t xml:space="preserve">000670</t>
  </si>
  <si>
    <t xml:space="preserve">영풍</t>
  </si>
  <si>
    <t xml:space="preserve">042660</t>
  </si>
  <si>
    <t xml:space="preserve">한화오션</t>
  </si>
  <si>
    <t xml:space="preserve">010140</t>
  </si>
  <si>
    <t xml:space="preserve">삼성중공업</t>
  </si>
  <si>
    <t xml:space="preserve">439090</t>
  </si>
  <si>
    <t xml:space="preserve">마녀공장</t>
  </si>
  <si>
    <t xml:space="preserve">073570</t>
  </si>
  <si>
    <t xml:space="preserve">리튬포어스</t>
  </si>
  <si>
    <t xml:space="preserve">178320</t>
  </si>
  <si>
    <t xml:space="preserve">서진시스템</t>
  </si>
  <si>
    <t xml:space="preserve">160190</t>
  </si>
  <si>
    <t xml:space="preserve">하이젠알앤엠</t>
  </si>
  <si>
    <t xml:space="preserve">042000</t>
  </si>
  <si>
    <r>
      <rPr>
        <sz val="11"/>
        <rFont val="WenQuanYi Zen Hei"/>
        <family val="2"/>
      </rPr>
      <t xml:space="preserve">카페</t>
    </r>
    <r>
      <rPr>
        <sz val="11"/>
        <rFont val="Arial"/>
        <family val="0"/>
        <charset val="1"/>
      </rPr>
      <t xml:space="preserve">24</t>
    </r>
  </si>
  <si>
    <t xml:space="preserve">328130</t>
  </si>
  <si>
    <t xml:space="preserve">루닛</t>
  </si>
  <si>
    <t xml:space="preserve">299660</t>
  </si>
  <si>
    <t xml:space="preserve">셀리드</t>
  </si>
  <si>
    <t xml:space="preserve">032820</t>
  </si>
  <si>
    <t xml:space="preserve">우리기술</t>
  </si>
  <si>
    <t xml:space="preserve">066570</t>
  </si>
  <si>
    <r>
      <rPr>
        <sz val="11"/>
        <rFont val="Arial"/>
        <family val="0"/>
        <charset val="1"/>
      </rPr>
      <t xml:space="preserve">LG</t>
    </r>
    <r>
      <rPr>
        <sz val="11"/>
        <rFont val="WenQuanYi Zen Hei"/>
        <family val="2"/>
      </rPr>
      <t xml:space="preserve">전자</t>
    </r>
  </si>
  <si>
    <t xml:space="preserve">443670</t>
  </si>
  <si>
    <t xml:space="preserve">에스피소프트</t>
  </si>
  <si>
    <t xml:space="preserve">035720</t>
  </si>
  <si>
    <t xml:space="preserve">카카오</t>
  </si>
  <si>
    <t xml:space="preserve">377300</t>
  </si>
  <si>
    <t xml:space="preserve">카카오페이</t>
  </si>
  <si>
    <t xml:space="preserve">376930</t>
  </si>
  <si>
    <t xml:space="preserve">노을</t>
  </si>
  <si>
    <t xml:space="preserve">323410</t>
  </si>
  <si>
    <t xml:space="preserve">카카오뱅크</t>
  </si>
  <si>
    <t xml:space="preserve">004020</t>
  </si>
  <si>
    <t xml:space="preserve">현대제철</t>
  </si>
  <si>
    <t xml:space="preserve">302440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</si>
  <si>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바이오사이언스</t>
    </r>
  </si>
  <si>
    <t xml:space="preserve">148150</t>
  </si>
  <si>
    <t xml:space="preserve">세경하이테크</t>
  </si>
  <si>
    <t xml:space="preserve">166480</t>
  </si>
  <si>
    <t xml:space="preserve">코아스템켐온</t>
  </si>
  <si>
    <t xml:space="preserve">006340</t>
  </si>
  <si>
    <t xml:space="preserve">대원전선</t>
  </si>
  <si>
    <t xml:space="preserve">321820</t>
  </si>
  <si>
    <t xml:space="preserve">아티스트컴퍼니</t>
  </si>
  <si>
    <t xml:space="preserve">333430</t>
  </si>
  <si>
    <t xml:space="preserve">일승</t>
  </si>
  <si>
    <t xml:space="preserve">389470</t>
  </si>
  <si>
    <t xml:space="preserve">인벤티지랩</t>
  </si>
  <si>
    <t xml:space="preserve">115450</t>
  </si>
  <si>
    <r>
      <rPr>
        <sz val="11"/>
        <rFont val="Arial"/>
        <family val="0"/>
        <charset val="1"/>
      </rPr>
      <t xml:space="preserve">HLB</t>
    </r>
    <r>
      <rPr>
        <sz val="11"/>
        <rFont val="WenQuanYi Zen Hei"/>
        <family val="2"/>
      </rPr>
      <t xml:space="preserve">테라퓨틱스</t>
    </r>
  </si>
  <si>
    <t xml:space="preserve">437730</t>
  </si>
  <si>
    <t xml:space="preserve">삼현</t>
  </si>
  <si>
    <t xml:space="preserve">466100</t>
  </si>
  <si>
    <t xml:space="preserve">클로봇</t>
  </si>
  <si>
    <t xml:space="preserve">474170</t>
  </si>
  <si>
    <t xml:space="preserve">루미르</t>
  </si>
  <si>
    <t xml:space="preserve">295310</t>
  </si>
  <si>
    <t xml:space="preserve">에이치브이엠</t>
  </si>
  <si>
    <t xml:space="preserve">455900</t>
  </si>
  <si>
    <t xml:space="preserve">엔젤로보틱스</t>
  </si>
  <si>
    <t xml:space="preserve">030530</t>
  </si>
  <si>
    <t xml:space="preserve">원익홀딩스</t>
  </si>
  <si>
    <t xml:space="preserve">378800</t>
  </si>
  <si>
    <t xml:space="preserve">샤페론</t>
  </si>
  <si>
    <t xml:space="preserve">009830</t>
  </si>
  <si>
    <t xml:space="preserve">한화솔루션</t>
  </si>
  <si>
    <t xml:space="preserve">089030</t>
  </si>
  <si>
    <t xml:space="preserve">테크윙</t>
  </si>
  <si>
    <t xml:space="preserve">096530</t>
  </si>
  <si>
    <t xml:space="preserve">씨젠</t>
  </si>
  <si>
    <t xml:space="preserve">323280</t>
  </si>
  <si>
    <t xml:space="preserve">태성</t>
  </si>
  <si>
    <t xml:space="preserve">078600</t>
  </si>
  <si>
    <t xml:space="preserve">대주전자재료</t>
  </si>
  <si>
    <t xml:space="preserve">351870</t>
  </si>
  <si>
    <t xml:space="preserve">차이커뮤니케이션</t>
  </si>
  <si>
    <t xml:space="preserve">003780</t>
  </si>
  <si>
    <t xml:space="preserve">진양산업</t>
  </si>
  <si>
    <t xml:space="preserve">394800</t>
  </si>
  <si>
    <t xml:space="preserve">쓰리빌리언</t>
  </si>
  <si>
    <t xml:space="preserve">047560</t>
  </si>
  <si>
    <t xml:space="preserve">이스트소프트</t>
  </si>
  <si>
    <t xml:space="preserve">267250</t>
  </si>
  <si>
    <r>
      <rPr>
        <sz val="11"/>
        <rFont val="Arial"/>
        <family val="0"/>
        <charset val="1"/>
      </rPr>
      <t xml:space="preserve">HD</t>
    </r>
    <r>
      <rPr>
        <sz val="11"/>
        <rFont val="WenQuanYi Zen Hei"/>
        <family val="2"/>
      </rPr>
      <t xml:space="preserve">현대</t>
    </r>
  </si>
  <si>
    <t xml:space="preserve">375500</t>
  </si>
  <si>
    <r>
      <rPr>
        <sz val="11"/>
        <rFont val="Arial"/>
        <family val="0"/>
        <charset val="1"/>
      </rPr>
      <t xml:space="preserve">DL</t>
    </r>
    <r>
      <rPr>
        <sz val="11"/>
        <rFont val="WenQuanYi Zen Hei"/>
        <family val="2"/>
      </rPr>
      <t xml:space="preserve">이앤씨</t>
    </r>
  </si>
  <si>
    <t xml:space="preserve">000990</t>
  </si>
  <si>
    <r>
      <rPr>
        <sz val="11"/>
        <rFont val="Arial"/>
        <family val="0"/>
        <charset val="1"/>
      </rPr>
      <t xml:space="preserve">DB</t>
    </r>
    <r>
      <rPr>
        <sz val="11"/>
        <rFont val="WenQuanYi Zen Hei"/>
        <family val="2"/>
      </rPr>
      <t xml:space="preserve">하이텍</t>
    </r>
  </si>
  <si>
    <t xml:space="preserve">424960</t>
  </si>
  <si>
    <t xml:space="preserve">스마트레이더시스템</t>
  </si>
  <si>
    <t xml:space="preserve">288330</t>
  </si>
  <si>
    <t xml:space="preserve">파라택시스코리아</t>
  </si>
  <si>
    <t xml:space="preserve">047050</t>
  </si>
  <si>
    <t xml:space="preserve">포스코인터내셔널</t>
  </si>
  <si>
    <t xml:space="preserve">456070</t>
  </si>
  <si>
    <t xml:space="preserve">이엔셀</t>
  </si>
  <si>
    <t xml:space="preserve">068760</t>
  </si>
  <si>
    <t xml:space="preserve">셀트리온제약</t>
  </si>
  <si>
    <t xml:space="preserve">459100</t>
  </si>
  <si>
    <t xml:space="preserve">위츠</t>
  </si>
  <si>
    <t xml:space="preserve">086960</t>
  </si>
  <si>
    <r>
      <rPr>
        <sz val="11"/>
        <rFont val="Arial"/>
        <family val="0"/>
        <charset val="1"/>
      </rPr>
      <t xml:space="preserve">MDS</t>
    </r>
    <r>
      <rPr>
        <sz val="11"/>
        <rFont val="WenQuanYi Zen Hei"/>
        <family val="2"/>
      </rPr>
      <t xml:space="preserve">테크</t>
    </r>
  </si>
  <si>
    <t xml:space="preserve">005010</t>
  </si>
  <si>
    <t xml:space="preserve">휴스틸</t>
  </si>
  <si>
    <t xml:space="preserve">253840</t>
  </si>
  <si>
    <t xml:space="preserve">수젠텍</t>
  </si>
  <si>
    <t xml:space="preserve">161890</t>
  </si>
  <si>
    <t xml:space="preserve">한국콜마</t>
  </si>
  <si>
    <t xml:space="preserve">452280</t>
  </si>
  <si>
    <t xml:space="preserve">한선엔지니어링</t>
  </si>
  <si>
    <t xml:space="preserve">035250</t>
  </si>
  <si>
    <t xml:space="preserve">강원랜드</t>
  </si>
  <si>
    <t xml:space="preserve">000270</t>
  </si>
  <si>
    <t xml:space="preserve">기아</t>
  </si>
  <si>
    <t xml:space="preserve">352480</t>
  </si>
  <si>
    <t xml:space="preserve">씨앤씨인터내셔널</t>
  </si>
  <si>
    <t xml:space="preserve">001450</t>
  </si>
  <si>
    <t xml:space="preserve">현대해상</t>
  </si>
  <si>
    <t xml:space="preserve">115500</t>
  </si>
  <si>
    <t xml:space="preserve">케이씨에스</t>
  </si>
  <si>
    <t xml:space="preserve">290690</t>
  </si>
  <si>
    <t xml:space="preserve">아리바이오홀딩스</t>
  </si>
  <si>
    <t xml:space="preserve">450140</t>
  </si>
  <si>
    <t xml:space="preserve">코오롱모빌리티그룹</t>
  </si>
  <si>
    <t xml:space="preserve">067310</t>
  </si>
  <si>
    <t xml:space="preserve">하나마이크론</t>
  </si>
  <si>
    <t xml:space="preserve">088340</t>
  </si>
  <si>
    <t xml:space="preserve">유라클</t>
  </si>
  <si>
    <t xml:space="preserve">000720</t>
  </si>
  <si>
    <t xml:space="preserve">현대건설</t>
  </si>
  <si>
    <t xml:space="preserve">388720</t>
  </si>
  <si>
    <t xml:space="preserve">유일로보틱스</t>
  </si>
  <si>
    <t xml:space="preserve">017960</t>
  </si>
  <si>
    <t xml:space="preserve">한국카본</t>
  </si>
  <si>
    <t xml:space="preserve">014160</t>
  </si>
  <si>
    <t xml:space="preserve">대영포장</t>
  </si>
  <si>
    <t xml:space="preserve">007110</t>
  </si>
  <si>
    <t xml:space="preserve">일신석재</t>
  </si>
  <si>
    <t xml:space="preserve">000910</t>
  </si>
  <si>
    <t xml:space="preserve">유니온</t>
  </si>
  <si>
    <t xml:space="preserve">241520</t>
  </si>
  <si>
    <r>
      <rPr>
        <sz val="11"/>
        <rFont val="Arial"/>
        <family val="0"/>
        <charset val="1"/>
      </rPr>
      <t xml:space="preserve">DSC</t>
    </r>
    <r>
      <rPr>
        <sz val="11"/>
        <rFont val="WenQuanYi Zen Hei"/>
        <family val="2"/>
      </rPr>
      <t xml:space="preserve">인베스트먼트</t>
    </r>
  </si>
  <si>
    <t xml:space="preserve">097230</t>
  </si>
  <si>
    <r>
      <rPr>
        <sz val="11"/>
        <rFont val="Arial"/>
        <family val="0"/>
        <charset val="1"/>
      </rPr>
      <t xml:space="preserve">HJ</t>
    </r>
    <r>
      <rPr>
        <sz val="11"/>
        <rFont val="WenQuanYi Zen Hei"/>
        <family val="2"/>
      </rPr>
      <t xml:space="preserve">중공업</t>
    </r>
  </si>
  <si>
    <t xml:space="preserve">071970</t>
  </si>
  <si>
    <r>
      <rPr>
        <sz val="11"/>
        <rFont val="Arial"/>
        <family val="0"/>
        <charset val="1"/>
      </rPr>
      <t xml:space="preserve">HD</t>
    </r>
    <r>
      <rPr>
        <sz val="11"/>
        <rFont val="WenQuanYi Zen Hei"/>
        <family val="2"/>
      </rPr>
      <t xml:space="preserve">현대마린엔진</t>
    </r>
  </si>
  <si>
    <t xml:space="preserve">382150</t>
  </si>
  <si>
    <t xml:space="preserve">온코크로스</t>
  </si>
  <si>
    <t xml:space="preserve">408900</t>
  </si>
  <si>
    <t xml:space="preserve">스튜디오미르</t>
  </si>
  <si>
    <t xml:space="preserve">411080</t>
  </si>
  <si>
    <t xml:space="preserve">샌즈랩</t>
  </si>
  <si>
    <t xml:space="preserve">347850</t>
  </si>
  <si>
    <t xml:space="preserve">디앤디파마텍</t>
  </si>
  <si>
    <t xml:space="preserve">052690</t>
  </si>
  <si>
    <t xml:space="preserve">한전기술</t>
  </si>
  <si>
    <t xml:space="preserve">489790</t>
  </si>
  <si>
    <t xml:space="preserve">한화비전</t>
  </si>
  <si>
    <t xml:space="preserve">008770</t>
  </si>
  <si>
    <t xml:space="preserve">호텔신라</t>
  </si>
  <si>
    <t xml:space="preserve">098460</t>
  </si>
  <si>
    <t xml:space="preserve">고영</t>
  </si>
  <si>
    <t xml:space="preserve">003490</t>
  </si>
  <si>
    <t xml:space="preserve">대한항공</t>
  </si>
  <si>
    <t xml:space="preserve">402340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</si>
  <si>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스퀘어</t>
    </r>
  </si>
  <si>
    <t xml:space="preserve">241710</t>
  </si>
  <si>
    <t xml:space="preserve">코스메카코리아</t>
  </si>
  <si>
    <t xml:space="preserve">092790</t>
  </si>
  <si>
    <t xml:space="preserve">넥스틸</t>
  </si>
  <si>
    <t xml:space="preserve">226950</t>
  </si>
  <si>
    <t xml:space="preserve">올릭스</t>
  </si>
  <si>
    <t xml:space="preserve">234920</t>
  </si>
  <si>
    <t xml:space="preserve">자이글</t>
  </si>
  <si>
    <t xml:space="preserve">294570</t>
  </si>
  <si>
    <t xml:space="preserve">쿠콘</t>
  </si>
  <si>
    <t xml:space="preserve">417180</t>
  </si>
  <si>
    <t xml:space="preserve">핑거스토리</t>
  </si>
  <si>
    <t xml:space="preserve">462860</t>
  </si>
  <si>
    <t xml:space="preserve">더즌</t>
  </si>
  <si>
    <t xml:space="preserve">011790</t>
  </si>
  <si>
    <t xml:space="preserve">SKC</t>
  </si>
  <si>
    <t xml:space="preserve">446540</t>
  </si>
  <si>
    <t xml:space="preserve">메가터치</t>
  </si>
  <si>
    <t xml:space="preserve">161000</t>
  </si>
  <si>
    <t xml:space="preserve">애경케미칼</t>
  </si>
  <si>
    <t xml:space="preserve">005070</t>
  </si>
  <si>
    <t xml:space="preserve">코스모신소재</t>
  </si>
  <si>
    <t xml:space="preserve">100090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</si>
  <si>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오션플랜트</t>
    </r>
  </si>
  <si>
    <t xml:space="preserve">005180</t>
  </si>
  <si>
    <t xml:space="preserve">빙그레</t>
  </si>
  <si>
    <t xml:space="preserve">014970</t>
  </si>
  <si>
    <t xml:space="preserve">삼륭물산</t>
  </si>
  <si>
    <t xml:space="preserve">071090</t>
  </si>
  <si>
    <t xml:space="preserve">하이스틸</t>
  </si>
  <si>
    <t xml:space="preserve">004990</t>
  </si>
  <si>
    <t xml:space="preserve">롯데지주</t>
  </si>
  <si>
    <t xml:space="preserve">066970</t>
  </si>
  <si>
    <t xml:space="preserve">엘앤에프</t>
  </si>
  <si>
    <t xml:space="preserve">213420</t>
  </si>
  <si>
    <t xml:space="preserve">덕산네오룩스</t>
  </si>
  <si>
    <t xml:space="preserve">068330</t>
  </si>
  <si>
    <t xml:space="preserve">일신바이오</t>
  </si>
  <si>
    <t xml:space="preserve">053030</t>
  </si>
  <si>
    <t xml:space="preserve">바이넥스</t>
  </si>
  <si>
    <t xml:space="preserve">476040</t>
  </si>
  <si>
    <t xml:space="preserve">오가노이드사이언스</t>
  </si>
  <si>
    <t xml:space="preserve">200670</t>
  </si>
  <si>
    <t xml:space="preserve">휴메딕스</t>
  </si>
  <si>
    <t xml:space="preserve">098070</t>
  </si>
  <si>
    <t xml:space="preserve">한텍</t>
  </si>
  <si>
    <t xml:space="preserve">348370</t>
  </si>
  <si>
    <t xml:space="preserve">엔켐</t>
  </si>
  <si>
    <t xml:space="preserve">234340</t>
  </si>
  <si>
    <t xml:space="preserve">헥토파이낸셜</t>
  </si>
  <si>
    <t xml:space="preserve">475150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</si>
  <si>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이터닉스</t>
    </r>
  </si>
  <si>
    <t xml:space="preserve">083650</t>
  </si>
  <si>
    <t xml:space="preserve">비에이치아이</t>
  </si>
  <si>
    <t xml:space="preserve">033500</t>
  </si>
  <si>
    <t xml:space="preserve">동성화인텍</t>
  </si>
  <si>
    <t xml:space="preserve">025980</t>
  </si>
  <si>
    <t xml:space="preserve">아난티</t>
  </si>
  <si>
    <t xml:space="preserve">033340</t>
  </si>
  <si>
    <t xml:space="preserve">좋은사람들</t>
  </si>
  <si>
    <t xml:space="preserve">033230</t>
  </si>
  <si>
    <t xml:space="preserve">인성정보</t>
  </si>
  <si>
    <t xml:space="preserve">009270</t>
  </si>
  <si>
    <t xml:space="preserve">신원</t>
  </si>
  <si>
    <t xml:space="preserve">122870</t>
  </si>
  <si>
    <t xml:space="preserve">와이지엔터테인먼트</t>
  </si>
  <si>
    <t xml:space="preserve">201490</t>
  </si>
  <si>
    <t xml:space="preserve">미투온</t>
  </si>
  <si>
    <t xml:space="preserve">249420</t>
  </si>
  <si>
    <t xml:space="preserve">일동제약</t>
  </si>
  <si>
    <t xml:space="preserve">047040</t>
  </si>
  <si>
    <t xml:space="preserve">대우건설</t>
  </si>
  <si>
    <t xml:space="preserve">441270</t>
  </si>
  <si>
    <t xml:space="preserve">파인엠텍</t>
  </si>
  <si>
    <t xml:space="preserve">376300</t>
  </si>
  <si>
    <t xml:space="preserve">디어유</t>
  </si>
  <si>
    <t xml:space="preserve">024720</t>
  </si>
  <si>
    <t xml:space="preserve">콜마홀딩스</t>
  </si>
  <si>
    <t xml:space="preserve">064260</t>
  </si>
  <si>
    <t xml:space="preserve">다날</t>
  </si>
  <si>
    <t xml:space="preserve">459510</t>
  </si>
  <si>
    <t xml:space="preserve">나우로보틱스</t>
  </si>
  <si>
    <t xml:space="preserve">082850</t>
  </si>
  <si>
    <t xml:space="preserve">우리바이오</t>
  </si>
  <si>
    <t xml:space="preserve">006730</t>
  </si>
  <si>
    <r>
      <rPr>
        <sz val="11"/>
        <rFont val="WenQuanYi Zen Hei"/>
        <family val="2"/>
      </rPr>
      <t xml:space="preserve">서부</t>
    </r>
    <r>
      <rPr>
        <sz val="11"/>
        <rFont val="Arial"/>
        <family val="0"/>
        <charset val="1"/>
      </rPr>
      <t xml:space="preserve">T&amp;D</t>
    </r>
  </si>
  <si>
    <t xml:space="preserve">475580</t>
  </si>
  <si>
    <t xml:space="preserve">에이럭스</t>
  </si>
  <si>
    <t xml:space="preserve">322000</t>
  </si>
  <si>
    <r>
      <rPr>
        <sz val="11"/>
        <rFont val="Arial"/>
        <family val="0"/>
        <charset val="1"/>
      </rPr>
      <t xml:space="preserve">HD</t>
    </r>
    <r>
      <rPr>
        <sz val="11"/>
        <rFont val="WenQuanYi Zen Hei"/>
        <family val="2"/>
      </rPr>
      <t xml:space="preserve">현대에너지솔루션</t>
    </r>
  </si>
  <si>
    <t xml:space="preserve">419530</t>
  </si>
  <si>
    <r>
      <rPr>
        <sz val="11"/>
        <rFont val="Arial"/>
        <family val="0"/>
        <charset val="1"/>
      </rPr>
      <t xml:space="preserve">SAMG</t>
    </r>
    <r>
      <rPr>
        <sz val="11"/>
        <rFont val="WenQuanYi Zen Hei"/>
        <family val="2"/>
      </rPr>
      <t xml:space="preserve">엔터</t>
    </r>
  </si>
  <si>
    <t xml:space="preserve">187660</t>
  </si>
  <si>
    <t xml:space="preserve">페니트리움바이오</t>
  </si>
  <si>
    <t xml:space="preserve">054540</t>
  </si>
  <si>
    <t xml:space="preserve">삼영엠텍</t>
  </si>
  <si>
    <t xml:space="preserve">018880</t>
  </si>
  <si>
    <t xml:space="preserve">한온시스템</t>
  </si>
  <si>
    <t xml:space="preserve">014940</t>
  </si>
  <si>
    <t xml:space="preserve">오리엔탈정공</t>
  </si>
  <si>
    <t xml:space="preserve">005690</t>
  </si>
  <si>
    <t xml:space="preserve">파미셀</t>
  </si>
  <si>
    <t xml:space="preserve">0008Z0</t>
  </si>
  <si>
    <t xml:space="preserve">에스엔시스</t>
  </si>
  <si>
    <t xml:space="preserve">218410</t>
  </si>
  <si>
    <t xml:space="preserve">RFHIC</t>
  </si>
  <si>
    <t xml:space="preserve">317830</t>
  </si>
  <si>
    <t xml:space="preserve">에스피시스템스</t>
  </si>
  <si>
    <t xml:space="preserve">452450</t>
  </si>
  <si>
    <t xml:space="preserve">피아이이</t>
  </si>
  <si>
    <t xml:space="preserve">024110</t>
  </si>
  <si>
    <t xml:space="preserve">기업은행</t>
  </si>
  <si>
    <t xml:space="preserve">082270</t>
  </si>
  <si>
    <t xml:space="preserve">젬백스</t>
  </si>
  <si>
    <t xml:space="preserve">456160</t>
  </si>
  <si>
    <t xml:space="preserve">지투지바이오</t>
  </si>
  <si>
    <t xml:space="preserve">005940</t>
  </si>
  <si>
    <r>
      <rPr>
        <sz val="11"/>
        <rFont val="Arial"/>
        <family val="0"/>
        <charset val="1"/>
      </rPr>
      <t xml:space="preserve">NH</t>
    </r>
    <r>
      <rPr>
        <sz val="11"/>
        <rFont val="WenQuanYi Zen Hei"/>
        <family val="2"/>
      </rPr>
      <t xml:space="preserve">투자증권</t>
    </r>
  </si>
  <si>
    <t xml:space="preserve">000120</t>
  </si>
  <si>
    <r>
      <rPr>
        <sz val="11"/>
        <rFont val="Arial"/>
        <family val="0"/>
        <charset val="1"/>
      </rPr>
      <t xml:space="preserve">CJ</t>
    </r>
    <r>
      <rPr>
        <sz val="11"/>
        <rFont val="WenQuanYi Zen Hei"/>
        <family val="2"/>
      </rPr>
      <t xml:space="preserve">대한통운</t>
    </r>
  </si>
  <si>
    <t xml:space="preserve">214150</t>
  </si>
  <si>
    <t xml:space="preserve">클래시스</t>
  </si>
  <si>
    <t xml:space="preserve">281820</t>
  </si>
  <si>
    <t xml:space="preserve">케이씨텍</t>
  </si>
  <si>
    <t xml:space="preserve">950160</t>
  </si>
  <si>
    <t xml:space="preserve">코오롱티슈진</t>
  </si>
  <si>
    <t xml:space="preserve">204620</t>
  </si>
  <si>
    <t xml:space="preserve">글로벌텍스프리</t>
  </si>
  <si>
    <t xml:space="preserve">389500</t>
  </si>
  <si>
    <t xml:space="preserve">에스비비테크</t>
  </si>
  <si>
    <t xml:space="preserve">014280</t>
  </si>
  <si>
    <t xml:space="preserve">금강공업</t>
  </si>
  <si>
    <t xml:space="preserve">488280</t>
  </si>
  <si>
    <t xml:space="preserve">에스투더블유</t>
  </si>
  <si>
    <t xml:space="preserve">017800</t>
  </si>
  <si>
    <t xml:space="preserve">현대엘리베이터</t>
  </si>
  <si>
    <t xml:space="preserve">125490</t>
  </si>
  <si>
    <t xml:space="preserve">한라캐스트</t>
  </si>
  <si>
    <t xml:space="preserve">476060</t>
  </si>
  <si>
    <t xml:space="preserve">온코닉테라퓨틱스</t>
  </si>
  <si>
    <t xml:space="preserve">105840</t>
  </si>
  <si>
    <t xml:space="preserve">우진</t>
  </si>
  <si>
    <t xml:space="preserve">475960</t>
  </si>
  <si>
    <t xml:space="preserve">토모큐브</t>
  </si>
  <si>
    <t xml:space="preserve">356890</t>
  </si>
  <si>
    <t xml:space="preserve">싸이버원</t>
  </si>
  <si>
    <t xml:space="preserve">439260</t>
  </si>
  <si>
    <t xml:space="preserve">대한조선</t>
  </si>
  <si>
    <t xml:space="preserve">474650</t>
  </si>
  <si>
    <t xml:space="preserve">링크솔루션</t>
  </si>
  <si>
    <t xml:space="preserve">021240</t>
  </si>
  <si>
    <t xml:space="preserve">코웨이</t>
  </si>
  <si>
    <t xml:space="preserve">195870</t>
  </si>
  <si>
    <t xml:space="preserve">해성디에스</t>
  </si>
  <si>
    <t xml:space="preserve">486990</t>
  </si>
  <si>
    <t xml:space="preserve">노타</t>
  </si>
  <si>
    <t xml:space="preserve">010170</t>
  </si>
  <si>
    <t xml:space="preserve">대한광통신</t>
  </si>
  <si>
    <t xml:space="preserve">101490</t>
  </si>
  <si>
    <t xml:space="preserve">에스앤에스텍</t>
  </si>
  <si>
    <t xml:space="preserve">234030</t>
  </si>
  <si>
    <t xml:space="preserve">싸이닉솔루션</t>
  </si>
  <si>
    <t xml:space="preserve">448900</t>
  </si>
  <si>
    <t xml:space="preserve">한국피아이엠</t>
  </si>
  <si>
    <t xml:space="preserve">099440</t>
  </si>
  <si>
    <t xml:space="preserve">스맥</t>
  </si>
  <si>
    <t xml:space="preserve">114190</t>
  </si>
  <si>
    <t xml:space="preserve">강원에너지</t>
  </si>
  <si>
    <t xml:space="preserve">100790</t>
  </si>
  <si>
    <t xml:space="preserve">미래에셋벤처투자</t>
  </si>
  <si>
    <t xml:space="preserve">003620</t>
  </si>
  <si>
    <r>
      <rPr>
        <sz val="11"/>
        <rFont val="Arial"/>
        <family val="0"/>
        <charset val="1"/>
      </rPr>
      <t xml:space="preserve">KG</t>
    </r>
    <r>
      <rPr>
        <sz val="11"/>
        <rFont val="WenQuanYi Zen Hei"/>
        <family val="2"/>
      </rPr>
      <t xml:space="preserve">모빌리티</t>
    </r>
  </si>
  <si>
    <t xml:space="preserve">081180</t>
  </si>
  <si>
    <t xml:space="preserve">쎄크</t>
  </si>
  <si>
    <t xml:space="preserve">499790</t>
  </si>
  <si>
    <r>
      <rPr>
        <sz val="11"/>
        <rFont val="Arial"/>
        <family val="0"/>
        <charset val="1"/>
      </rPr>
      <t xml:space="preserve">GS</t>
    </r>
    <r>
      <rPr>
        <sz val="11"/>
        <rFont val="WenQuanYi Zen Hei"/>
        <family val="2"/>
      </rPr>
      <t xml:space="preserve">피앤엘</t>
    </r>
  </si>
  <si>
    <t xml:space="preserve">009070</t>
  </si>
  <si>
    <t xml:space="preserve">KCTC</t>
  </si>
  <si>
    <t xml:space="preserve">128820</t>
  </si>
  <si>
    <t xml:space="preserve">대성산업</t>
  </si>
  <si>
    <t xml:space="preserve">008830</t>
  </si>
  <si>
    <t xml:space="preserve">대동기어</t>
  </si>
  <si>
    <t xml:space="preserve">0015N0</t>
  </si>
  <si>
    <t xml:space="preserve">아로마티카</t>
  </si>
  <si>
    <t xml:space="preserve">209640</t>
  </si>
  <si>
    <t xml:space="preserve">와이제이링크</t>
  </si>
  <si>
    <t xml:space="preserve">073240</t>
  </si>
  <si>
    <t xml:space="preserve">금호타이어</t>
  </si>
  <si>
    <t xml:space="preserve">089970</t>
  </si>
  <si>
    <t xml:space="preserve">브이엠</t>
  </si>
  <si>
    <t xml:space="preserve">052710</t>
  </si>
  <si>
    <t xml:space="preserve">아모텍</t>
  </si>
  <si>
    <t xml:space="preserve">331740</t>
  </si>
  <si>
    <t xml:space="preserve">아우토크립트</t>
  </si>
  <si>
    <t xml:space="preserve">088980</t>
  </si>
  <si>
    <t xml:space="preserve">맥쿼리인프라</t>
  </si>
  <si>
    <t xml:space="preserve">460930</t>
  </si>
  <si>
    <t xml:space="preserve">현대힘스</t>
  </si>
  <si>
    <t xml:space="preserve">457550</t>
  </si>
  <si>
    <t xml:space="preserve">우진엔텍</t>
  </si>
  <si>
    <t xml:space="preserve">000500</t>
  </si>
  <si>
    <t xml:space="preserve">가온전선</t>
  </si>
  <si>
    <t xml:space="preserve">053700</t>
  </si>
  <si>
    <t xml:space="preserve">삼보모터스</t>
  </si>
  <si>
    <t xml:space="preserve">147830</t>
  </si>
  <si>
    <t xml:space="preserve">제룡산업</t>
  </si>
  <si>
    <t xml:space="preserve">319400</t>
  </si>
  <si>
    <t xml:space="preserve">현대무벡스</t>
  </si>
  <si>
    <t xml:space="preserve">005850</t>
  </si>
  <si>
    <t xml:space="preserve">에스엘</t>
  </si>
  <si>
    <t xml:space="preserve">011210</t>
  </si>
  <si>
    <t xml:space="preserve">현대위아</t>
  </si>
  <si>
    <t xml:space="preserve">083450</t>
  </si>
  <si>
    <t xml:space="preserve">GST</t>
  </si>
  <si>
    <t xml:space="preserve">064400</t>
  </si>
  <si>
    <r>
      <rPr>
        <sz val="11"/>
        <rFont val="Arial"/>
        <family val="0"/>
        <charset val="1"/>
      </rPr>
      <t xml:space="preserve">LG</t>
    </r>
    <r>
      <rPr>
        <sz val="11"/>
        <rFont val="WenQuanYi Zen Hei"/>
        <family val="2"/>
      </rPr>
      <t xml:space="preserve">씨엔에스</t>
    </r>
  </si>
  <si>
    <t xml:space="preserve">322310</t>
  </si>
  <si>
    <t xml:space="preserve">오로스테크놀로지</t>
  </si>
  <si>
    <t xml:space="preserve">380540</t>
  </si>
  <si>
    <t xml:space="preserve">옵티코어</t>
  </si>
  <si>
    <t xml:space="preserve">0009K0</t>
  </si>
  <si>
    <t xml:space="preserve">에임드바이오</t>
  </si>
  <si>
    <t xml:space="preserve">484590</t>
  </si>
  <si>
    <t xml:space="preserve">삼양컴텍</t>
  </si>
  <si>
    <t xml:space="preserve">174900</t>
  </si>
  <si>
    <t xml:space="preserve">앱클론</t>
  </si>
  <si>
    <t xml:space="preserve">033160</t>
  </si>
  <si>
    <t xml:space="preserve">엠케이전자</t>
  </si>
  <si>
    <t xml:space="preserve">475400</t>
  </si>
  <si>
    <t xml:space="preserve">씨메스로보틱스</t>
  </si>
  <si>
    <t xml:space="preserve">368770</t>
  </si>
  <si>
    <t xml:space="preserve">파이버프로</t>
  </si>
  <si>
    <t xml:space="preserve">474610</t>
  </si>
  <si>
    <r>
      <rPr>
        <sz val="11"/>
        <rFont val="Arial"/>
        <family val="0"/>
        <charset val="1"/>
      </rPr>
      <t xml:space="preserve">RF</t>
    </r>
    <r>
      <rPr>
        <sz val="11"/>
        <rFont val="WenQuanYi Zen Hei"/>
        <family val="2"/>
      </rPr>
      <t xml:space="preserve">시스템즈</t>
    </r>
  </si>
  <si>
    <t xml:space="preserve">069540</t>
  </si>
  <si>
    <t xml:space="preserve">빛과전자</t>
  </si>
  <si>
    <t xml:space="preserve">389260</t>
  </si>
  <si>
    <t xml:space="preserve">대명에너지</t>
  </si>
  <si>
    <t xml:space="preserve">321370</t>
  </si>
  <si>
    <t xml:space="preserve">센서뷰</t>
  </si>
  <si>
    <t xml:space="preserve">322510</t>
  </si>
  <si>
    <t xml:space="preserve">제이엘케이</t>
  </si>
  <si>
    <t xml:space="preserve">018470</t>
  </si>
  <si>
    <t xml:space="preserve">조일알미늄</t>
  </si>
  <si>
    <t xml:space="preserve">458870</t>
  </si>
  <si>
    <t xml:space="preserve">씨어스</t>
  </si>
  <si>
    <t xml:space="preserve">000390</t>
  </si>
  <si>
    <r>
      <rPr>
        <sz val="11"/>
        <rFont val="Arial"/>
        <family val="0"/>
        <charset val="1"/>
      </rPr>
      <t xml:space="preserve">SP</t>
    </r>
    <r>
      <rPr>
        <sz val="11"/>
        <rFont val="WenQuanYi Zen Hei"/>
        <family val="2"/>
      </rPr>
      <t xml:space="preserve">삼화</t>
    </r>
  </si>
  <si>
    <t xml:space="preserve">425040</t>
  </si>
  <si>
    <t xml:space="preserve">티이엠씨</t>
  </si>
  <si>
    <t xml:space="preserve">183300</t>
  </si>
  <si>
    <t xml:space="preserve">코미코</t>
  </si>
  <si>
    <t xml:space="preserve">490470</t>
  </si>
  <si>
    <t xml:space="preserve">세미파이브</t>
  </si>
  <si>
    <t xml:space="preserve">007810</t>
  </si>
  <si>
    <t xml:space="preserve">코리아써키트</t>
  </si>
  <si>
    <t xml:space="preserve">076610</t>
  </si>
  <si>
    <t xml:space="preserve">해성옵틱스</t>
  </si>
  <si>
    <t xml:space="preserve">361390</t>
  </si>
  <si>
    <t xml:space="preserve">제노코</t>
  </si>
  <si>
    <t xml:space="preserve">215600</t>
  </si>
  <si>
    <t xml:space="preserve">신라젠</t>
  </si>
  <si>
    <t xml:space="preserve">274090</t>
  </si>
  <si>
    <t xml:space="preserve">켄코아에어로스페이스</t>
  </si>
  <si>
    <t xml:space="preserve">211270</t>
  </si>
  <si>
    <r>
      <rPr>
        <sz val="11"/>
        <rFont val="Arial"/>
        <family val="0"/>
        <charset val="1"/>
      </rPr>
      <t xml:space="preserve">AP</t>
    </r>
    <r>
      <rPr>
        <sz val="11"/>
        <rFont val="WenQuanYi Zen Hei"/>
        <family val="2"/>
      </rPr>
      <t xml:space="preserve">위성</t>
    </r>
  </si>
  <si>
    <t xml:space="preserve">077970</t>
  </si>
  <si>
    <r>
      <rPr>
        <sz val="11"/>
        <rFont val="Arial"/>
        <family val="0"/>
        <charset val="1"/>
      </rPr>
      <t xml:space="preserve">STX</t>
    </r>
    <r>
      <rPr>
        <sz val="11"/>
        <rFont val="WenQuanYi Zen Hei"/>
        <family val="2"/>
      </rPr>
      <t xml:space="preserve">엔진</t>
    </r>
  </si>
  <si>
    <t xml:space="preserve">060280</t>
  </si>
  <si>
    <t xml:space="preserve">큐렉소</t>
  </si>
  <si>
    <t xml:space="preserve">424870</t>
  </si>
  <si>
    <t xml:space="preserve">이뮨온시아</t>
  </si>
  <si>
    <t xml:space="preserve">086450</t>
  </si>
  <si>
    <t xml:space="preserve">동국제약</t>
  </si>
  <si>
    <t xml:space="preserve">001120</t>
  </si>
  <si>
    <r>
      <rPr>
        <sz val="11"/>
        <rFont val="Arial"/>
        <family val="0"/>
        <charset val="1"/>
      </rPr>
      <t xml:space="preserve">LX</t>
    </r>
    <r>
      <rPr>
        <sz val="11"/>
        <rFont val="WenQuanYi Zen Hei"/>
        <family val="2"/>
      </rPr>
      <t xml:space="preserve">인터내셔널</t>
    </r>
  </si>
  <si>
    <t xml:space="preserve">372320</t>
  </si>
  <si>
    <t xml:space="preserve">큐로셀</t>
  </si>
  <si>
    <t xml:space="preserve">014620</t>
  </si>
  <si>
    <t xml:space="preserve">성광벤드</t>
  </si>
  <si>
    <t xml:space="preserve">011170</t>
  </si>
  <si>
    <t xml:space="preserve">롯데케미칼</t>
  </si>
  <si>
    <t xml:space="preserve">138360</t>
  </si>
  <si>
    <t xml:space="preserve">앤로보틱스</t>
  </si>
  <si>
    <t xml:space="preserve">365340</t>
  </si>
  <si>
    <t xml:space="preserve">성일하이텍</t>
  </si>
  <si>
    <t xml:space="preserve">008970</t>
  </si>
  <si>
    <r>
      <rPr>
        <sz val="11"/>
        <rFont val="Arial"/>
        <family val="0"/>
        <charset val="1"/>
      </rPr>
      <t xml:space="preserve">KBI</t>
    </r>
    <r>
      <rPr>
        <sz val="11"/>
        <rFont val="WenQuanYi Zen Hei"/>
        <family val="2"/>
      </rPr>
      <t xml:space="preserve">동양철관</t>
    </r>
  </si>
  <si>
    <t xml:space="preserve">139130</t>
  </si>
  <si>
    <r>
      <rPr>
        <sz val="11"/>
        <rFont val="Arial"/>
        <family val="0"/>
        <charset val="1"/>
      </rPr>
      <t xml:space="preserve">iM</t>
    </r>
    <r>
      <rPr>
        <sz val="11"/>
        <rFont val="WenQuanYi Zen Hei"/>
        <family val="2"/>
      </rPr>
      <t xml:space="preserve">금융지주</t>
    </r>
  </si>
  <si>
    <t xml:space="preserve">025860</t>
  </si>
  <si>
    <t xml:space="preserve">남해화학</t>
  </si>
  <si>
    <t xml:space="preserve">125020</t>
  </si>
  <si>
    <t xml:space="preserve">티씨머티리얼즈</t>
  </si>
  <si>
    <t xml:space="preserve">417200</t>
  </si>
  <si>
    <r>
      <rPr>
        <sz val="11"/>
        <rFont val="Arial"/>
        <family val="0"/>
        <charset val="1"/>
      </rPr>
      <t xml:space="preserve">LS</t>
    </r>
    <r>
      <rPr>
        <sz val="11"/>
        <rFont val="WenQuanYi Zen Hei"/>
        <family val="2"/>
      </rPr>
      <t xml:space="preserve">머트리얼즈</t>
    </r>
  </si>
  <si>
    <t xml:space="preserve">006910</t>
  </si>
  <si>
    <t xml:space="preserve">보성파워텍</t>
  </si>
  <si>
    <t xml:space="preserve">012200</t>
  </si>
  <si>
    <t xml:space="preserve">계양전기</t>
  </si>
  <si>
    <t xml:space="preserve">0001A0</t>
  </si>
  <si>
    <t xml:space="preserve">덕양에너젠</t>
  </si>
  <si>
    <t xml:space="preserve">491000</t>
  </si>
  <si>
    <t xml:space="preserve">리브스메드</t>
  </si>
  <si>
    <t xml:space="preserve">230240</t>
  </si>
  <si>
    <t xml:space="preserve">에치에프알</t>
  </si>
  <si>
    <t xml:space="preserve">046120</t>
  </si>
  <si>
    <t xml:space="preserve">오르비텍</t>
  </si>
  <si>
    <t xml:space="preserve">065440</t>
  </si>
  <si>
    <t xml:space="preserve">이루온</t>
  </si>
  <si>
    <t xml:space="preserve">092200</t>
  </si>
  <si>
    <t xml:space="preserve">디아이씨</t>
  </si>
  <si>
    <t xml:space="preserve">347700</t>
  </si>
  <si>
    <t xml:space="preserve">스피어</t>
  </si>
  <si>
    <t xml:space="preserve">017900</t>
  </si>
  <si>
    <t xml:space="preserve">광전자</t>
  </si>
  <si>
    <t xml:space="preserve">456010</t>
  </si>
  <si>
    <t xml:space="preserve">아이씨티케이</t>
  </si>
  <si>
    <t xml:space="preserve">046970</t>
  </si>
  <si>
    <t xml:space="preserve">우리로</t>
  </si>
  <si>
    <t xml:space="preserve">242040</t>
  </si>
  <si>
    <r>
      <rPr>
        <sz val="11"/>
        <rFont val="WenQuanYi Zen Hei"/>
        <family val="2"/>
      </rPr>
      <t xml:space="preserve">나무</t>
    </r>
    <r>
      <rPr>
        <sz val="11"/>
        <rFont val="Arial"/>
        <family val="0"/>
        <charset val="1"/>
      </rPr>
      <t xml:space="preserve">AX</t>
    </r>
  </si>
  <si>
    <t xml:space="preserve">215790</t>
  </si>
  <si>
    <t xml:space="preserve">이노인스트루먼트</t>
  </si>
  <si>
    <t xml:space="preserve">290650</t>
  </si>
  <si>
    <t xml:space="preserve">엘앤씨바이오</t>
  </si>
  <si>
    <t xml:space="preserve">042520</t>
  </si>
  <si>
    <t xml:space="preserve">한스바이오메드</t>
  </si>
  <si>
    <t xml:space="preserve">181710</t>
  </si>
  <si>
    <t xml:space="preserve">NHN</t>
  </si>
  <si>
    <t xml:space="preserve">043260</t>
  </si>
  <si>
    <t xml:space="preserve">성호전자</t>
  </si>
  <si>
    <t xml:space="preserve">388790</t>
  </si>
  <si>
    <t xml:space="preserve">라이콤</t>
  </si>
  <si>
    <t xml:space="preserve">160980</t>
  </si>
  <si>
    <t xml:space="preserve">싸이맥스</t>
  </si>
  <si>
    <t xml:space="preserve">170920</t>
  </si>
  <si>
    <t xml:space="preserve">엘티씨</t>
  </si>
  <si>
    <t xml:space="preserve">093370</t>
  </si>
  <si>
    <t xml:space="preserve">후성</t>
  </si>
  <si>
    <t xml:space="preserve">279570</t>
  </si>
  <si>
    <t xml:space="preserve">케이뱅크</t>
  </si>
  <si>
    <t xml:space="preserve">081660</t>
  </si>
  <si>
    <t xml:space="preserve">미스토홀딩스</t>
  </si>
  <si>
    <t xml:space="preserve">074600</t>
  </si>
  <si>
    <r>
      <rPr>
        <sz val="11"/>
        <rFont val="WenQuanYi Zen Hei"/>
        <family val="2"/>
      </rPr>
      <t xml:space="preserve">원익</t>
    </r>
    <r>
      <rPr>
        <sz val="11"/>
        <rFont val="Arial"/>
        <family val="0"/>
        <charset val="1"/>
      </rPr>
      <t xml:space="preserve">QnC</t>
    </r>
  </si>
  <si>
    <t xml:space="preserve">030000</t>
  </si>
  <si>
    <t xml:space="preserve">제일기획</t>
  </si>
  <si>
    <t xml:space="preserve">029780</t>
  </si>
  <si>
    <t xml:space="preserve">삼성카드</t>
  </si>
  <si>
    <t xml:space="preserve">004310</t>
  </si>
  <si>
    <t xml:space="preserve">현대약품</t>
  </si>
  <si>
    <t xml:space="preserve">119850</t>
  </si>
  <si>
    <t xml:space="preserve">지엔씨에너지</t>
  </si>
  <si>
    <t xml:space="preserve">037350</t>
  </si>
  <si>
    <t xml:space="preserve">성도이엔지</t>
  </si>
  <si>
    <t xml:space="preserve">042940</t>
  </si>
  <si>
    <t xml:space="preserve">상지건설</t>
  </si>
  <si>
    <t xml:space="preserve">376900</t>
  </si>
  <si>
    <t xml:space="preserve">로킷헬스케어</t>
  </si>
  <si>
    <t xml:space="preserve">252990</t>
  </si>
  <si>
    <t xml:space="preserve">샘씨엔에스</t>
  </si>
  <si>
    <t xml:space="preserve">006660</t>
  </si>
  <si>
    <t xml:space="preserve">삼성공조</t>
  </si>
  <si>
    <t xml:space="preserve">049080</t>
  </si>
  <si>
    <t xml:space="preserve">기가레인</t>
  </si>
  <si>
    <t xml:space="preserve">058610</t>
  </si>
  <si>
    <t xml:space="preserve">에스피지</t>
  </si>
  <si>
    <t xml:space="preserve">032640</t>
  </si>
  <si>
    <r>
      <rPr>
        <sz val="11"/>
        <rFont val="Arial"/>
        <family val="0"/>
        <charset val="1"/>
      </rPr>
      <t xml:space="preserve">LG</t>
    </r>
    <r>
      <rPr>
        <sz val="11"/>
        <rFont val="WenQuanYi Zen Hei"/>
        <family val="2"/>
      </rPr>
      <t xml:space="preserve">유플러스</t>
    </r>
  </si>
  <si>
    <t xml:space="preserve">103140</t>
  </si>
  <si>
    <t xml:space="preserve">풍산</t>
  </si>
  <si>
    <t xml:space="preserve">439960</t>
  </si>
  <si>
    <t xml:space="preserve">코스모로보틱스</t>
  </si>
  <si>
    <t xml:space="preserve">217590</t>
  </si>
  <si>
    <t xml:space="preserve">티엠씨</t>
  </si>
  <si>
    <t xml:space="preserve">477850</t>
  </si>
  <si>
    <t xml:space="preserve">마키나락스</t>
  </si>
  <si>
    <t xml:space="preserve">067290</t>
  </si>
  <si>
    <r>
      <rPr>
        <sz val="11"/>
        <rFont val="Arial"/>
        <family val="0"/>
        <charset val="1"/>
      </rPr>
      <t xml:space="preserve">JW</t>
    </r>
    <r>
      <rPr>
        <sz val="11"/>
        <rFont val="WenQuanYi Zen Hei"/>
        <family val="2"/>
      </rPr>
      <t xml:space="preserve">신약</t>
    </r>
  </si>
  <si>
    <t xml:space="preserve">066430</t>
  </si>
  <si>
    <t xml:space="preserve">아이로보틱스</t>
  </si>
  <si>
    <t xml:space="preserve">058730</t>
  </si>
  <si>
    <t xml:space="preserve">다스코</t>
  </si>
  <si>
    <t xml:space="preserve">004710</t>
  </si>
  <si>
    <t xml:space="preserve">한솔테크닉스</t>
  </si>
  <si>
    <t xml:space="preserve">064290</t>
  </si>
  <si>
    <t xml:space="preserve">인텍플러스</t>
  </si>
  <si>
    <t xml:space="preserve">327260</t>
  </si>
  <si>
    <r>
      <rPr>
        <sz val="11"/>
        <rFont val="Arial"/>
        <family val="0"/>
        <charset val="1"/>
      </rPr>
      <t xml:space="preserve">RF</t>
    </r>
    <r>
      <rPr>
        <sz val="11"/>
        <rFont val="WenQuanYi Zen Hei"/>
        <family val="2"/>
      </rPr>
      <t xml:space="preserve">머트리얼즈</t>
    </r>
  </si>
  <si>
    <t xml:space="preserve">0039P0</t>
  </si>
  <si>
    <t xml:space="preserve">매드업</t>
  </si>
  <si>
    <t xml:space="preserve">131970</t>
  </si>
  <si>
    <t xml:space="preserve">두산테스나</t>
  </si>
  <si>
    <t xml:space="preserve">475040</t>
  </si>
  <si>
    <t xml:space="preserve">스트라드비젼</t>
  </si>
  <si>
    <t xml:space="preserve">009410</t>
  </si>
  <si>
    <t xml:space="preserve">태영건설</t>
  </si>
  <si>
    <t xml:space="preserve">214270</t>
  </si>
  <si>
    <t xml:space="preserve">FSN</t>
  </si>
  <si>
    <t xml:space="preserve">293490</t>
  </si>
  <si>
    <t xml:space="preserve">카카오게임즈</t>
  </si>
  <si>
    <t xml:space="preserve">066790</t>
  </si>
  <si>
    <t xml:space="preserve">씨씨에스</t>
  </si>
  <si>
    <t xml:space="preserve">267270</t>
  </si>
  <si>
    <r>
      <rPr>
        <sz val="11"/>
        <rFont val="Arial"/>
        <family val="0"/>
        <charset val="1"/>
      </rPr>
      <t xml:space="preserve">HD</t>
    </r>
    <r>
      <rPr>
        <sz val="11"/>
        <rFont val="WenQuanYi Zen Hei"/>
        <family val="2"/>
      </rPr>
      <t xml:space="preserve">건설기계</t>
    </r>
  </si>
  <si>
    <t xml:space="preserve">023530</t>
  </si>
  <si>
    <t xml:space="preserve">롯데쇼핑</t>
  </si>
  <si>
    <t xml:space="preserve">069960</t>
  </si>
  <si>
    <t xml:space="preserve">현대백화점</t>
  </si>
  <si>
    <t xml:space="preserve">032830</t>
  </si>
  <si>
    <t xml:space="preserve">삼성생명</t>
  </si>
  <si>
    <t xml:space="preserve">006260</t>
  </si>
  <si>
    <t xml:space="preserve">LS</t>
  </si>
  <si>
    <t xml:space="preserve">015750</t>
  </si>
  <si>
    <t xml:space="preserve">성우하이텍</t>
  </si>
  <si>
    <t xml:space="preserve">033780</t>
  </si>
  <si>
    <t xml:space="preserve">KT&amp;G</t>
  </si>
  <si>
    <t xml:space="preserve">086280</t>
  </si>
  <si>
    <t xml:space="preserve">현대글로비스</t>
  </si>
  <si>
    <t xml:space="preserve">010690</t>
  </si>
  <si>
    <t xml:space="preserve">화신</t>
  </si>
  <si>
    <t xml:space="preserve">011500</t>
  </si>
  <si>
    <t xml:space="preserve">한농화성</t>
  </si>
  <si>
    <t xml:space="preserve">000430</t>
  </si>
  <si>
    <t xml:space="preserve">대원강업</t>
  </si>
  <si>
    <t xml:space="preserve">394280</t>
  </si>
  <si>
    <t xml:space="preserve">오픈엣지테크놀로지</t>
  </si>
  <si>
    <t xml:space="preserve">001470</t>
  </si>
  <si>
    <t xml:space="preserve">삼부토건</t>
  </si>
  <si>
    <t xml:space="preserve">131290</t>
  </si>
  <si>
    <t xml:space="preserve">티에스이</t>
  </si>
  <si>
    <t xml:space="preserve">003530</t>
  </si>
  <si>
    <t xml:space="preserve">한화투자증권</t>
  </si>
  <si>
    <t xml:space="preserve">220260</t>
  </si>
  <si>
    <t xml:space="preserve">켐트로스</t>
  </si>
  <si>
    <t xml:space="preserve">281740</t>
  </si>
  <si>
    <t xml:space="preserve">레이크머티리얼즈</t>
  </si>
  <si>
    <t xml:space="preserve">095500</t>
  </si>
  <si>
    <t xml:space="preserve">미래나노텍</t>
  </si>
  <si>
    <t xml:space="preserve">011420</t>
  </si>
  <si>
    <t xml:space="preserve">갤럭시아에스엠</t>
  </si>
  <si>
    <t xml:space="preserve">900250</t>
  </si>
  <si>
    <t xml:space="preserve">크리스탈신소재</t>
  </si>
  <si>
    <t xml:space="preserve">054450</t>
  </si>
  <si>
    <t xml:space="preserve">텔레칩스</t>
  </si>
  <si>
    <t xml:space="preserve">330860</t>
  </si>
  <si>
    <t xml:space="preserve">네패스아크</t>
  </si>
  <si>
    <t xml:space="preserve">196170</t>
  </si>
  <si>
    <t xml:space="preserve">알테오젠</t>
  </si>
  <si>
    <t xml:space="preserve">011810</t>
  </si>
  <si>
    <t xml:space="preserve">STX</t>
  </si>
  <si>
    <t xml:space="preserve">001570</t>
  </si>
  <si>
    <t xml:space="preserve">금양</t>
  </si>
  <si>
    <t xml:space="preserve">393890</t>
  </si>
  <si>
    <t xml:space="preserve">더블유씨피</t>
  </si>
  <si>
    <t xml:space="preserve">418550</t>
  </si>
  <si>
    <t xml:space="preserve">제이오</t>
  </si>
  <si>
    <t xml:space="preserve">083310</t>
  </si>
  <si>
    <t xml:space="preserve">엘오티베큠</t>
  </si>
  <si>
    <t xml:space="preserve">248070</t>
  </si>
  <si>
    <t xml:space="preserve">솔루엠</t>
  </si>
  <si>
    <t xml:space="preserve">108490</t>
  </si>
  <si>
    <t xml:space="preserve">로보티즈</t>
  </si>
  <si>
    <t xml:space="preserve">053450</t>
  </si>
  <si>
    <t xml:space="preserve">세코닉스</t>
  </si>
  <si>
    <t xml:space="preserve">452300</t>
  </si>
  <si>
    <t xml:space="preserve">캡스톤파트너스</t>
  </si>
  <si>
    <t xml:space="preserve">348210</t>
  </si>
  <si>
    <t xml:space="preserve">넥스틴</t>
  </si>
  <si>
    <t xml:space="preserve">240810</t>
  </si>
  <si>
    <r>
      <rPr>
        <sz val="11"/>
        <rFont val="WenQuanYi Zen Hei"/>
        <family val="2"/>
      </rPr>
      <t xml:space="preserve">원익</t>
    </r>
    <r>
      <rPr>
        <sz val="11"/>
        <rFont val="Arial"/>
        <family val="0"/>
        <charset val="1"/>
      </rPr>
      <t xml:space="preserve">IPS</t>
    </r>
  </si>
  <si>
    <t xml:space="preserve">025320</t>
  </si>
  <si>
    <t xml:space="preserve">시노펙스</t>
  </si>
  <si>
    <t xml:space="preserve">168360</t>
  </si>
  <si>
    <t xml:space="preserve">펨트론</t>
  </si>
  <si>
    <t xml:space="preserve">064550</t>
  </si>
  <si>
    <t xml:space="preserve">바이오니아</t>
  </si>
  <si>
    <t xml:space="preserve">432720</t>
  </si>
  <si>
    <t xml:space="preserve">퀄리타스반도체</t>
  </si>
  <si>
    <t xml:space="preserve">092870</t>
  </si>
  <si>
    <t xml:space="preserve">엑시콘</t>
  </si>
  <si>
    <t xml:space="preserve">297890</t>
  </si>
  <si>
    <r>
      <rPr>
        <sz val="11"/>
        <rFont val="Arial"/>
        <family val="0"/>
        <charset val="1"/>
      </rPr>
      <t xml:space="preserve">HB</t>
    </r>
    <r>
      <rPr>
        <sz val="11"/>
        <rFont val="WenQuanYi Zen Hei"/>
        <family val="2"/>
      </rPr>
      <t xml:space="preserve">솔루션</t>
    </r>
  </si>
  <si>
    <t xml:space="preserve">085660</t>
  </si>
  <si>
    <t xml:space="preserve">차바이오텍</t>
  </si>
  <si>
    <t xml:space="preserve">300120</t>
  </si>
  <si>
    <t xml:space="preserve">라온피플</t>
  </si>
  <si>
    <t xml:space="preserve">361610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</si>
  <si>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아이이테크놀로지</t>
    </r>
  </si>
  <si>
    <t xml:space="preserve">010620</t>
  </si>
  <si>
    <r>
      <rPr>
        <sz val="11"/>
        <rFont val="Arial"/>
        <family val="0"/>
        <charset val="1"/>
      </rPr>
      <t xml:space="preserve">HD</t>
    </r>
    <r>
      <rPr>
        <sz val="11"/>
        <rFont val="WenQuanYi Zen Hei"/>
        <family val="2"/>
      </rPr>
      <t xml:space="preserve">현대미포</t>
    </r>
  </si>
  <si>
    <t xml:space="preserve">317850</t>
  </si>
  <si>
    <t xml:space="preserve">대모</t>
  </si>
  <si>
    <t xml:space="preserve">101160</t>
  </si>
  <si>
    <t xml:space="preserve">월덱스</t>
  </si>
  <si>
    <t xml:space="preserve">353200</t>
  </si>
  <si>
    <t xml:space="preserve">대덕전자</t>
  </si>
  <si>
    <t xml:space="preserve">278650</t>
  </si>
  <si>
    <r>
      <rPr>
        <sz val="11"/>
        <rFont val="Arial"/>
        <family val="0"/>
        <charset val="1"/>
      </rPr>
      <t xml:space="preserve">HLB</t>
    </r>
    <r>
      <rPr>
        <sz val="11"/>
        <rFont val="WenQuanYi Zen Hei"/>
        <family val="2"/>
      </rPr>
      <t xml:space="preserve">바이오스텝</t>
    </r>
  </si>
  <si>
    <t xml:space="preserve">048410</t>
  </si>
  <si>
    <t xml:space="preserve">현대바이오</t>
  </si>
  <si>
    <t xml:space="preserve">061970</t>
  </si>
  <si>
    <r>
      <rPr>
        <sz val="11"/>
        <rFont val="Arial"/>
        <family val="0"/>
        <charset val="1"/>
      </rPr>
      <t xml:space="preserve">LB</t>
    </r>
    <r>
      <rPr>
        <sz val="11"/>
        <rFont val="WenQuanYi Zen Hei"/>
        <family val="2"/>
      </rPr>
      <t xml:space="preserve">세미콘</t>
    </r>
  </si>
  <si>
    <t xml:space="preserve">000490</t>
  </si>
  <si>
    <t xml:space="preserve">대동</t>
  </si>
  <si>
    <t xml:space="preserve">060230</t>
  </si>
  <si>
    <t xml:space="preserve">제이케이시냅스</t>
  </si>
  <si>
    <t xml:space="preserve">015590</t>
  </si>
  <si>
    <t xml:space="preserve">DKME</t>
  </si>
  <si>
    <t xml:space="preserve">123410</t>
  </si>
  <si>
    <t xml:space="preserve">코리아에프티</t>
  </si>
  <si>
    <t xml:space="preserve">263600</t>
  </si>
  <si>
    <t xml:space="preserve">덕우전자</t>
  </si>
  <si>
    <t xml:space="preserve">036830</t>
  </si>
  <si>
    <t xml:space="preserve">솔브레인홀딩스</t>
  </si>
  <si>
    <t xml:space="preserve">036540</t>
  </si>
  <si>
    <r>
      <rPr>
        <sz val="11"/>
        <rFont val="Arial"/>
        <family val="0"/>
        <charset val="1"/>
      </rPr>
      <t xml:space="preserve">SFA</t>
    </r>
    <r>
      <rPr>
        <sz val="11"/>
        <rFont val="WenQuanYi Zen Hei"/>
        <family val="2"/>
      </rPr>
      <t xml:space="preserve">반도체</t>
    </r>
  </si>
  <si>
    <t xml:space="preserve">000680</t>
  </si>
  <si>
    <r>
      <rPr>
        <sz val="11"/>
        <rFont val="Arial"/>
        <family val="0"/>
        <charset val="1"/>
      </rPr>
      <t xml:space="preserve">LS</t>
    </r>
    <r>
      <rPr>
        <sz val="11"/>
        <rFont val="WenQuanYi Zen Hei"/>
        <family val="2"/>
      </rPr>
      <t xml:space="preserve">네트웍스</t>
    </r>
  </si>
  <si>
    <t xml:space="preserve">074610</t>
  </si>
  <si>
    <t xml:space="preserve">이엔플러스</t>
  </si>
  <si>
    <t xml:space="preserve">298830</t>
  </si>
  <si>
    <t xml:space="preserve">슈어소프트테크</t>
  </si>
  <si>
    <t xml:space="preserve">237690</t>
  </si>
  <si>
    <t xml:space="preserve">에스티팜</t>
  </si>
  <si>
    <t xml:space="preserve">034230</t>
  </si>
  <si>
    <t xml:space="preserve">파라다이스</t>
  </si>
  <si>
    <t xml:space="preserve">299030</t>
  </si>
  <si>
    <t xml:space="preserve">하나기술</t>
  </si>
  <si>
    <t xml:space="preserve">126700</t>
  </si>
  <si>
    <t xml:space="preserve">하이비젼시스템</t>
  </si>
  <si>
    <t xml:space="preserve">059090</t>
  </si>
  <si>
    <t xml:space="preserve">미코</t>
  </si>
  <si>
    <t xml:space="preserve">282720</t>
  </si>
  <si>
    <t xml:space="preserve">금양그린파워</t>
  </si>
  <si>
    <t xml:space="preserve">219130</t>
  </si>
  <si>
    <t xml:space="preserve">타이거일렉</t>
  </si>
  <si>
    <t xml:space="preserve">162300</t>
  </si>
  <si>
    <t xml:space="preserve">신스틸</t>
  </si>
  <si>
    <t xml:space="preserve">338220</t>
  </si>
  <si>
    <t xml:space="preserve">뷰노</t>
  </si>
  <si>
    <t xml:space="preserve">006880</t>
  </si>
  <si>
    <t xml:space="preserve">신송홀딩스</t>
  </si>
  <si>
    <t xml:space="preserve">020150</t>
  </si>
  <si>
    <t xml:space="preserve">롯데에너지머티리얼즈</t>
  </si>
  <si>
    <t xml:space="preserve">294630</t>
  </si>
  <si>
    <t xml:space="preserve">서남</t>
  </si>
  <si>
    <t xml:space="preserve">304360</t>
  </si>
  <si>
    <t xml:space="preserve">에스바이오메딕스</t>
  </si>
  <si>
    <t xml:space="preserve">336370</t>
  </si>
  <si>
    <t xml:space="preserve">솔루스첨단소재</t>
  </si>
  <si>
    <t xml:space="preserve">452430</t>
  </si>
  <si>
    <t xml:space="preserve">사피엔반도체</t>
  </si>
  <si>
    <t xml:space="preserve">003720</t>
  </si>
  <si>
    <t xml:space="preserve">삼영</t>
  </si>
  <si>
    <t xml:space="preserve">023160</t>
  </si>
  <si>
    <t xml:space="preserve">태광</t>
  </si>
  <si>
    <t xml:space="preserve">108320</t>
  </si>
  <si>
    <r>
      <rPr>
        <sz val="11"/>
        <rFont val="Arial"/>
        <family val="0"/>
        <charset val="1"/>
      </rPr>
      <t xml:space="preserve">LX</t>
    </r>
    <r>
      <rPr>
        <sz val="11"/>
        <rFont val="WenQuanYi Zen Hei"/>
        <family val="2"/>
      </rPr>
      <t xml:space="preserve">세미콘</t>
    </r>
  </si>
  <si>
    <t xml:space="preserve">900340</t>
  </si>
  <si>
    <t xml:space="preserve">윙입푸드</t>
  </si>
  <si>
    <t xml:space="preserve">220100</t>
  </si>
  <si>
    <t xml:space="preserve">퓨쳐켐</t>
  </si>
  <si>
    <t xml:space="preserve">060370</t>
  </si>
  <si>
    <r>
      <rPr>
        <sz val="11"/>
        <rFont val="Arial"/>
        <family val="0"/>
        <charset val="1"/>
      </rPr>
      <t xml:space="preserve">LS</t>
    </r>
    <r>
      <rPr>
        <sz val="11"/>
        <rFont val="WenQuanYi Zen Hei"/>
        <family val="2"/>
      </rPr>
      <t xml:space="preserve">마린솔루션</t>
    </r>
  </si>
  <si>
    <t xml:space="preserve">007460</t>
  </si>
  <si>
    <t xml:space="preserve">에이프로젠</t>
  </si>
  <si>
    <t xml:space="preserve">019990</t>
  </si>
  <si>
    <t xml:space="preserve">에너토크</t>
  </si>
  <si>
    <t xml:space="preserve">461030</t>
  </si>
  <si>
    <t xml:space="preserve">아이엠비디엑스</t>
  </si>
  <si>
    <t xml:space="preserve">270660</t>
  </si>
  <si>
    <t xml:space="preserve">에브리봇</t>
  </si>
  <si>
    <t xml:space="preserve">039560</t>
  </si>
  <si>
    <t xml:space="preserve">다산네트웍스</t>
  </si>
  <si>
    <t xml:space="preserve">152550</t>
  </si>
  <si>
    <r>
      <rPr>
        <sz val="11"/>
        <rFont val="WenQuanYi Zen Hei"/>
        <family val="2"/>
      </rPr>
      <t xml:space="preserve">한국</t>
    </r>
    <r>
      <rPr>
        <sz val="11"/>
        <rFont val="Arial"/>
        <family val="0"/>
        <charset val="1"/>
      </rPr>
      <t xml:space="preserve">ANKOR</t>
    </r>
    <r>
      <rPr>
        <sz val="11"/>
        <rFont val="WenQuanYi Zen Hei"/>
        <family val="2"/>
      </rPr>
      <t xml:space="preserve">유전</t>
    </r>
  </si>
  <si>
    <t xml:space="preserve">465770</t>
  </si>
  <si>
    <r>
      <rPr>
        <sz val="11"/>
        <rFont val="Arial"/>
        <family val="0"/>
        <charset val="1"/>
      </rPr>
      <t xml:space="preserve">STX</t>
    </r>
    <r>
      <rPr>
        <sz val="11"/>
        <rFont val="WenQuanYi Zen Hei"/>
        <family val="2"/>
      </rPr>
      <t xml:space="preserve">그린로지스</t>
    </r>
  </si>
  <si>
    <t xml:space="preserve">005860</t>
  </si>
  <si>
    <t xml:space="preserve">한일사료</t>
  </si>
  <si>
    <t xml:space="preserve">340570</t>
  </si>
  <si>
    <t xml:space="preserve">티앤엘</t>
  </si>
  <si>
    <t xml:space="preserve">419050</t>
  </si>
  <si>
    <t xml:space="preserve">삼기에너지솔루션즈</t>
  </si>
  <si>
    <t xml:space="preserve">001250</t>
  </si>
  <si>
    <r>
      <rPr>
        <sz val="11"/>
        <rFont val="Arial"/>
        <family val="0"/>
        <charset val="1"/>
      </rPr>
      <t xml:space="preserve">GS</t>
    </r>
    <r>
      <rPr>
        <sz val="11"/>
        <rFont val="WenQuanYi Zen Hei"/>
        <family val="2"/>
      </rPr>
      <t xml:space="preserve">글로벌</t>
    </r>
  </si>
  <si>
    <t xml:space="preserve">031980</t>
  </si>
  <si>
    <t xml:space="preserve">피에스케이홀딩스</t>
  </si>
  <si>
    <t xml:space="preserve">145170</t>
  </si>
  <si>
    <t xml:space="preserve">노브랜드</t>
  </si>
  <si>
    <t xml:space="preserve">336060</t>
  </si>
  <si>
    <t xml:space="preserve">웨이버스</t>
  </si>
  <si>
    <t xml:space="preserve">078140</t>
  </si>
  <si>
    <t xml:space="preserve">대봉엘에스</t>
  </si>
  <si>
    <t xml:space="preserve">121600</t>
  </si>
  <si>
    <t xml:space="preserve">나노신소재</t>
  </si>
  <si>
    <t xml:space="preserve">099220</t>
  </si>
  <si>
    <t xml:space="preserve">SDN</t>
  </si>
  <si>
    <t xml:space="preserve">383310</t>
  </si>
  <si>
    <t xml:space="preserve">에코프로에이치엔</t>
  </si>
  <si>
    <t xml:space="preserve">028670</t>
  </si>
  <si>
    <t xml:space="preserve">팬오션</t>
  </si>
  <si>
    <t xml:space="preserve">254490</t>
  </si>
  <si>
    <t xml:space="preserve">미래반도체</t>
  </si>
  <si>
    <t xml:space="preserve">009470</t>
  </si>
  <si>
    <t xml:space="preserve">삼화전기</t>
  </si>
  <si>
    <t xml:space="preserve">365330</t>
  </si>
  <si>
    <t xml:space="preserve">에스와이스틸텍</t>
  </si>
  <si>
    <t xml:space="preserve">149980</t>
  </si>
  <si>
    <t xml:space="preserve">하이로닉</t>
  </si>
  <si>
    <t xml:space="preserve">003350</t>
  </si>
  <si>
    <t xml:space="preserve">한국화장품제조</t>
  </si>
  <si>
    <t xml:space="preserve">208370</t>
  </si>
  <si>
    <t xml:space="preserve">셀바스헬스케어</t>
  </si>
  <si>
    <t xml:space="preserve">071050</t>
  </si>
  <si>
    <t xml:space="preserve">한국금융지주</t>
  </si>
  <si>
    <t xml:space="preserve">138610</t>
  </si>
  <si>
    <t xml:space="preserve">나이벡</t>
  </si>
  <si>
    <t xml:space="preserve">000520</t>
  </si>
  <si>
    <t xml:space="preserve">삼일제약</t>
  </si>
  <si>
    <t xml:space="preserve">205470</t>
  </si>
  <si>
    <t xml:space="preserve">휴마시스</t>
  </si>
  <si>
    <t xml:space="preserve">317690</t>
  </si>
  <si>
    <t xml:space="preserve">퀀타매트릭스</t>
  </si>
  <si>
    <t xml:space="preserve">041440</t>
  </si>
  <si>
    <t xml:space="preserve">현대에버다임</t>
  </si>
  <si>
    <t xml:space="preserve">308430</t>
  </si>
  <si>
    <t xml:space="preserve">셀비온</t>
  </si>
  <si>
    <t xml:space="preserve">025550</t>
  </si>
  <si>
    <t xml:space="preserve">한국선재</t>
  </si>
  <si>
    <t xml:space="preserve">464500</t>
  </si>
  <si>
    <t xml:space="preserve">아이언디바이스</t>
  </si>
  <si>
    <t xml:space="preserve">007390</t>
  </si>
  <si>
    <t xml:space="preserve">네이처셀</t>
  </si>
  <si>
    <t xml:space="preserve">065500</t>
  </si>
  <si>
    <t xml:space="preserve">오리엔트정공</t>
  </si>
  <si>
    <t xml:space="preserve">013360</t>
  </si>
  <si>
    <t xml:space="preserve">일성건설</t>
  </si>
  <si>
    <t xml:space="preserve">050890</t>
  </si>
  <si>
    <t xml:space="preserve">쏠리드</t>
  </si>
  <si>
    <t xml:space="preserve">358570</t>
  </si>
  <si>
    <t xml:space="preserve">지아이이노베이션</t>
  </si>
  <si>
    <t xml:space="preserve">479960</t>
  </si>
  <si>
    <t xml:space="preserve">위너스일렉</t>
  </si>
  <si>
    <t xml:space="preserve">079900</t>
  </si>
  <si>
    <t xml:space="preserve">전진건설로봇</t>
  </si>
  <si>
    <t xml:space="preserve">267320</t>
  </si>
  <si>
    <t xml:space="preserve">나인테크</t>
  </si>
  <si>
    <t xml:space="preserve">240550</t>
  </si>
  <si>
    <t xml:space="preserve">동방메디컬</t>
  </si>
  <si>
    <t xml:space="preserve">053580</t>
  </si>
  <si>
    <t xml:space="preserve">웹케시</t>
  </si>
  <si>
    <t xml:space="preserve">010770</t>
  </si>
  <si>
    <t xml:space="preserve">평화홀딩스</t>
  </si>
  <si>
    <t xml:space="preserve">052220</t>
  </si>
  <si>
    <t xml:space="preserve">iMBC</t>
  </si>
  <si>
    <t xml:space="preserve">010060</t>
  </si>
  <si>
    <r>
      <rPr>
        <sz val="11"/>
        <rFont val="Arial"/>
        <family val="0"/>
        <charset val="1"/>
      </rPr>
      <t xml:space="preserve">OCI</t>
    </r>
    <r>
      <rPr>
        <sz val="11"/>
        <rFont val="WenQuanYi Zen Hei"/>
        <family val="2"/>
      </rPr>
      <t xml:space="preserve">홀딩스</t>
    </r>
  </si>
  <si>
    <t xml:space="preserve">089850</t>
  </si>
  <si>
    <t xml:space="preserve">유비벨록스</t>
  </si>
  <si>
    <t xml:space="preserve">253450</t>
  </si>
  <si>
    <t xml:space="preserve">스튜디오드래곤</t>
  </si>
  <si>
    <t xml:space="preserve">096770</t>
  </si>
  <si>
    <r>
      <rPr>
        <sz val="11"/>
        <rFont val="Arial"/>
        <family val="0"/>
        <charset val="1"/>
      </rPr>
      <t xml:space="preserve">SK</t>
    </r>
    <r>
      <rPr>
        <sz val="11"/>
        <rFont val="WenQuanYi Zen Hei"/>
        <family val="2"/>
      </rPr>
      <t xml:space="preserve">이노베이션</t>
    </r>
  </si>
  <si>
    <t xml:space="preserve">226590</t>
  </si>
  <si>
    <t xml:space="preserve">엠디바이스</t>
  </si>
  <si>
    <t xml:space="preserve">098120</t>
  </si>
  <si>
    <t xml:space="preserve">마이크로컨텍솔</t>
  </si>
  <si>
    <t xml:space="preserve">008730</t>
  </si>
  <si>
    <t xml:space="preserve">율촌화학</t>
  </si>
  <si>
    <t xml:space="preserve">045390</t>
  </si>
  <si>
    <t xml:space="preserve">대아티아이</t>
  </si>
  <si>
    <t xml:space="preserve">011930</t>
  </si>
  <si>
    <t xml:space="preserve">신성이엔지</t>
  </si>
  <si>
    <t xml:space="preserve">300080</t>
  </si>
  <si>
    <t xml:space="preserve">플리토</t>
  </si>
  <si>
    <t xml:space="preserve">014990</t>
  </si>
  <si>
    <t xml:space="preserve">인디에프</t>
  </si>
  <si>
    <t xml:space="preserve">363260</t>
  </si>
  <si>
    <t xml:space="preserve">모비데이즈</t>
  </si>
  <si>
    <t xml:space="preserve">001270</t>
  </si>
  <si>
    <t xml:space="preserve">부국증권</t>
  </si>
  <si>
    <t xml:space="preserve">463020</t>
  </si>
  <si>
    <r>
      <rPr>
        <sz val="11"/>
        <rFont val="WenQuanYi Zen Hei"/>
        <family val="2"/>
      </rPr>
      <t xml:space="preserve">뉴엔</t>
    </r>
    <r>
      <rPr>
        <sz val="11"/>
        <rFont val="Arial"/>
        <family val="0"/>
        <charset val="1"/>
      </rPr>
      <t xml:space="preserve">AI</t>
    </r>
  </si>
  <si>
    <t xml:space="preserve">036620</t>
  </si>
  <si>
    <t xml:space="preserve">감성코퍼레이션</t>
  </si>
  <si>
    <t xml:space="preserve">094940</t>
  </si>
  <si>
    <t xml:space="preserve">푸른로보틱스</t>
  </si>
  <si>
    <t xml:space="preserve">064820</t>
  </si>
  <si>
    <t xml:space="preserve">케이프</t>
  </si>
  <si>
    <t xml:space="preserve">051600</t>
  </si>
  <si>
    <r>
      <rPr>
        <sz val="11"/>
        <rFont val="WenQuanYi Zen Hei"/>
        <family val="2"/>
      </rPr>
      <t xml:space="preserve">한전</t>
    </r>
    <r>
      <rPr>
        <sz val="11"/>
        <rFont val="Arial"/>
        <family val="0"/>
        <charset val="1"/>
      </rPr>
      <t xml:space="preserve">KPS</t>
    </r>
  </si>
  <si>
    <t xml:space="preserve">078930</t>
  </si>
  <si>
    <t xml:space="preserve">GS</t>
  </si>
  <si>
    <t xml:space="preserve">073010</t>
  </si>
  <si>
    <t xml:space="preserve">케이에스피</t>
  </si>
  <si>
    <t xml:space="preserve">382900</t>
  </si>
  <si>
    <t xml:space="preserve">범한퓨얼셀</t>
  </si>
  <si>
    <t xml:space="preserve">052400</t>
  </si>
  <si>
    <t xml:space="preserve">코나아이</t>
  </si>
  <si>
    <t xml:space="preserve">475830</t>
  </si>
  <si>
    <t xml:space="preserve">오름테라퓨틱</t>
  </si>
  <si>
    <t xml:space="preserve">200230</t>
  </si>
  <si>
    <r>
      <rPr>
        <sz val="11"/>
        <rFont val="WenQuanYi Zen Hei"/>
        <family val="2"/>
      </rPr>
      <t xml:space="preserve">텔콘</t>
    </r>
    <r>
      <rPr>
        <sz val="11"/>
        <rFont val="Arial"/>
        <family val="0"/>
        <charset val="1"/>
      </rPr>
      <t xml:space="preserve">RF</t>
    </r>
    <r>
      <rPr>
        <sz val="11"/>
        <rFont val="WenQuanYi Zen Hei"/>
        <family val="2"/>
      </rPr>
      <t xml:space="preserve">제약</t>
    </r>
  </si>
  <si>
    <t xml:space="preserve">484810</t>
  </si>
  <si>
    <t xml:space="preserve">티엑스알로보틱스</t>
  </si>
  <si>
    <t xml:space="preserve">120110</t>
  </si>
  <si>
    <t xml:space="preserve">코오롱인더</t>
  </si>
  <si>
    <t xml:space="preserve">078520</t>
  </si>
  <si>
    <t xml:space="preserve">에이블씨엔씨</t>
  </si>
  <si>
    <t xml:space="preserve">256840</t>
  </si>
  <si>
    <t xml:space="preserve">한국비엔씨</t>
  </si>
  <si>
    <t xml:space="preserve">056080</t>
  </si>
  <si>
    <t xml:space="preserve">유진로봇</t>
  </si>
  <si>
    <t xml:space="preserve">348340</t>
  </si>
  <si>
    <t xml:space="preserve">뉴로메카</t>
  </si>
  <si>
    <t xml:space="preserve">393970</t>
  </si>
  <si>
    <t xml:space="preserve">대진첨단소재</t>
  </si>
  <si>
    <t xml:space="preserve">099320</t>
  </si>
  <si>
    <t xml:space="preserve">쎄트렉아이</t>
  </si>
  <si>
    <t xml:space="preserve">215100</t>
  </si>
  <si>
    <t xml:space="preserve">로보로보</t>
  </si>
  <si>
    <t xml:space="preserve">038500</t>
  </si>
  <si>
    <t xml:space="preserve">삼표시멘트</t>
  </si>
  <si>
    <t xml:space="preserve">460940</t>
  </si>
  <si>
    <t xml:space="preserve">피앤에스로보틱스</t>
  </si>
  <si>
    <t xml:space="preserve">417010</t>
  </si>
  <si>
    <t xml:space="preserve">나노팀</t>
  </si>
  <si>
    <t xml:space="preserve">494120</t>
  </si>
  <si>
    <t xml:space="preserve">큐리오시스</t>
  </si>
  <si>
    <t xml:space="preserve">003380</t>
  </si>
  <si>
    <t xml:space="preserve">하림지주</t>
  </si>
  <si>
    <t xml:space="preserve">416180</t>
  </si>
  <si>
    <t xml:space="preserve">신성에스티</t>
  </si>
  <si>
    <t xml:space="preserve">468530</t>
  </si>
  <si>
    <t xml:space="preserve">프로티나</t>
  </si>
  <si>
    <t xml:space="preserve">033640</t>
  </si>
  <si>
    <t xml:space="preserve">네패스</t>
  </si>
  <si>
    <t xml:space="preserve">001430</t>
  </si>
  <si>
    <t xml:space="preserve">세아베스틸지주</t>
  </si>
  <si>
    <t xml:space="preserve">003570</t>
  </si>
  <si>
    <r>
      <rPr>
        <sz val="11"/>
        <rFont val="Arial"/>
        <family val="0"/>
        <charset val="1"/>
      </rPr>
      <t xml:space="preserve">SNT</t>
    </r>
    <r>
      <rPr>
        <sz val="11"/>
        <rFont val="WenQuanYi Zen Hei"/>
        <family val="2"/>
      </rPr>
      <t xml:space="preserve">다이내믹스</t>
    </r>
  </si>
  <si>
    <t xml:space="preserve">024740</t>
  </si>
  <si>
    <t xml:space="preserve">한일단조</t>
  </si>
  <si>
    <t xml:space="preserve">417840</t>
  </si>
  <si>
    <t xml:space="preserve">저스템</t>
  </si>
  <si>
    <t xml:space="preserve">389020</t>
  </si>
  <si>
    <t xml:space="preserve">자람테크놀로지</t>
  </si>
  <si>
    <t xml:space="preserve">013580</t>
  </si>
  <si>
    <t xml:space="preserve">계룡건설</t>
  </si>
  <si>
    <t xml:space="preserve">003310</t>
  </si>
  <si>
    <t xml:space="preserve">대주산업</t>
  </si>
  <si>
    <t xml:space="preserve">012860</t>
  </si>
  <si>
    <t xml:space="preserve">모베이스전자</t>
  </si>
  <si>
    <t xml:space="preserve">0004V0</t>
  </si>
  <si>
    <t xml:space="preserve">엔비알모션</t>
  </si>
  <si>
    <t xml:space="preserve">033240</t>
  </si>
  <si>
    <t xml:space="preserve">자화전자</t>
  </si>
  <si>
    <t xml:space="preserve">005440</t>
  </si>
  <si>
    <t xml:space="preserve">현대지에프홀딩스</t>
  </si>
  <si>
    <t xml:space="preserve">307180</t>
  </si>
  <si>
    <t xml:space="preserve">아이엘</t>
  </si>
  <si>
    <t xml:space="preserve">044490</t>
  </si>
  <si>
    <t xml:space="preserve">태웅</t>
  </si>
  <si>
    <t xml:space="preserve">289930</t>
  </si>
  <si>
    <t xml:space="preserve">웨이비스</t>
  </si>
  <si>
    <t xml:space="preserve">200470</t>
  </si>
  <si>
    <t xml:space="preserve">에이팩트</t>
  </si>
  <si>
    <t xml:space="preserve">357580</t>
  </si>
  <si>
    <t xml:space="preserve">아모센스</t>
  </si>
  <si>
    <t xml:space="preserve">052020</t>
  </si>
  <si>
    <t xml:space="preserve">에스티큐브</t>
  </si>
  <si>
    <t xml:space="preserve">049630</t>
  </si>
  <si>
    <t xml:space="preserve">재영솔루텍</t>
  </si>
  <si>
    <t xml:space="preserve">041830</t>
  </si>
  <si>
    <t xml:space="preserve">인바디</t>
  </si>
  <si>
    <t xml:space="preserve">082920</t>
  </si>
  <si>
    <t xml:space="preserve">비츠로셀</t>
  </si>
  <si>
    <t xml:space="preserve">079650</t>
  </si>
  <si>
    <t xml:space="preserve">서산</t>
  </si>
  <si>
    <t xml:space="preserve">126340</t>
  </si>
  <si>
    <t xml:space="preserve">비나텍</t>
  </si>
  <si>
    <t xml:space="preserve">138080</t>
  </si>
  <si>
    <t xml:space="preserve">오이솔루션</t>
  </si>
  <si>
    <t xml:space="preserve">027360</t>
  </si>
  <si>
    <r>
      <rPr>
        <sz val="11"/>
        <rFont val="WenQuanYi Zen Hei"/>
        <family val="2"/>
      </rPr>
      <t xml:space="preserve">아주</t>
    </r>
    <r>
      <rPr>
        <sz val="11"/>
        <rFont val="Arial"/>
        <family val="0"/>
        <charset val="1"/>
      </rPr>
      <t xml:space="preserve">IB</t>
    </r>
    <r>
      <rPr>
        <sz val="11"/>
        <rFont val="WenQuanYi Zen Hei"/>
        <family val="2"/>
      </rPr>
      <t xml:space="preserve">투자</t>
    </r>
  </si>
  <si>
    <t xml:space="preserve">078350</t>
  </si>
  <si>
    <t xml:space="preserve">한양디지텍</t>
  </si>
  <si>
    <t xml:space="preserve">332570</t>
  </si>
  <si>
    <r>
      <rPr>
        <sz val="11"/>
        <rFont val="Arial"/>
        <family val="0"/>
        <charset val="1"/>
      </rPr>
      <t xml:space="preserve">PS</t>
    </r>
    <r>
      <rPr>
        <sz val="11"/>
        <rFont val="WenQuanYi Zen Hei"/>
        <family val="2"/>
      </rPr>
      <t xml:space="preserve">일렉트로닉스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</si>
</sst>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%"/>
    <numFmt numFmtId="167" formatCode="#,##0;[RED]\-#,##0"/>
    <numFmt numFmtId="168" formatCode="0.0%;[RED]\-0.0%"/>
    <numFmt numFmtId="169" formatCode="0.0"/>
    <numFmt numFmtId="170" formatCode="0.0%"/>
    <numFmt numFmtId="171" formatCode="#,##0"/>
    <numFmt numFmtId="172" formatCode="@"/>
    <numFmt numFmtId="173" formatCode="yyyy\-mm\-dd"/>
    <numFmt numFmtId="174" formatCode="#,##0,,,\억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WenQuanYi Zen Hei"/>
      <family val="2"/>
    </font>
    <font>
      <sz val="11"/>
      <name val="WenQuanYi Zen Hei"/>
      <family val="2"/>
    </font>
    <font>
      <b val="true"/>
      <sz val="12"/>
      <color rgb="FF1F3864"/>
      <name val="Arial"/>
      <family val="0"/>
      <charset val="1"/>
    </font>
    <font>
      <b val="true"/>
      <sz val="14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14.9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4.9" hidden="false" customHeight="false" outlineLevel="0" collapsed="false">
      <c r="A5" s="5" t="s">
        <v>3</v>
      </c>
    </row>
    <row r="6" customFormat="false" ht="14.9" hidden="false" customHeight="false" outlineLevel="0" collapsed="false">
      <c r="A6" s="3" t="s">
        <v>4</v>
      </c>
    </row>
    <row r="7" customFormat="false" ht="14.9" hidden="false" customHeight="false" outlineLevel="0" collapsed="false">
      <c r="A7" s="3" t="s">
        <v>5</v>
      </c>
    </row>
    <row r="8" customFormat="false" ht="14.9" hidden="false" customHeight="false" outlineLevel="0" collapsed="false">
      <c r="A8" s="3" t="s">
        <v>6</v>
      </c>
    </row>
    <row r="9" customFormat="false" ht="14.9" hidden="false" customHeight="false" outlineLevel="0" collapsed="false">
      <c r="A9" s="5" t="s">
        <v>7</v>
      </c>
    </row>
    <row r="10" customFormat="false" ht="14.9" hidden="false" customHeight="false" outlineLevel="0" collapsed="false">
      <c r="A10" s="5" t="s">
        <v>8</v>
      </c>
    </row>
    <row r="11" customFormat="false" ht="14.9" hidden="false" customHeight="false" outlineLevel="0" collapsed="false">
      <c r="A11" s="5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10</v>
      </c>
    </row>
    <row r="14" customFormat="false" ht="14.9" hidden="false" customHeight="false" outlineLevel="0" collapsed="false">
      <c r="A14" s="5" t="s">
        <v>11</v>
      </c>
    </row>
    <row r="15" customFormat="false" ht="14.9" hidden="false" customHeight="false" outlineLevel="0" collapsed="false">
      <c r="A15" s="5" t="s">
        <v>12</v>
      </c>
    </row>
    <row r="16" customFormat="false" ht="14.9" hidden="false" customHeight="false" outlineLevel="0" collapsed="false">
      <c r="A16" s="5" t="s">
        <v>13</v>
      </c>
    </row>
    <row r="17" customFormat="false" ht="14.9" hidden="false" customHeight="false" outlineLevel="0" collapsed="false">
      <c r="A17" s="5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15</v>
      </c>
    </row>
    <row r="20" customFormat="false" ht="14.9" hidden="false" customHeight="false" outlineLevel="0" collapsed="false">
      <c r="A20" s="5" t="s">
        <v>16</v>
      </c>
    </row>
    <row r="21" customFormat="false" ht="14.9" hidden="false" customHeight="false" outlineLevel="0" collapsed="false">
      <c r="A21" s="5" t="s">
        <v>17</v>
      </c>
    </row>
    <row r="22" customFormat="false" ht="14.9" hidden="false" customHeight="false" outlineLevel="0" collapsed="false">
      <c r="A22" s="5" t="s">
        <v>18</v>
      </c>
    </row>
    <row r="23" customFormat="false" ht="14.9" hidden="false" customHeight="false" outlineLevel="0" collapsed="false">
      <c r="A23" s="5" t="s">
        <v>19</v>
      </c>
    </row>
    <row r="24" customFormat="false" ht="14.9" hidden="false" customHeight="false" outlineLevel="0" collapsed="false">
      <c r="A24" s="5" t="s">
        <v>20</v>
      </c>
    </row>
    <row r="25" customFormat="false" ht="15" hidden="false" customHeight="false" outlineLevel="0" collapsed="false">
      <c r="A25" s="3"/>
    </row>
    <row r="26" customFormat="false" ht="16.4" hidden="false" customHeight="false" outlineLevel="0" collapsed="false">
      <c r="A26" s="4" t="s">
        <v>21</v>
      </c>
    </row>
    <row r="27" customFormat="false" ht="14.9" hidden="false" customHeight="false" outlineLevel="0" collapsed="false">
      <c r="A27" s="5" t="s">
        <v>22</v>
      </c>
    </row>
    <row r="28" customFormat="false" ht="14.9" hidden="false" customHeight="false" outlineLevel="0" collapsed="false">
      <c r="A28" s="3" t="s">
        <v>23</v>
      </c>
    </row>
    <row r="29" customFormat="false" ht="14.9" hidden="false" customHeight="false" outlineLevel="0" collapsed="false">
      <c r="A29" s="5" t="s">
        <v>24</v>
      </c>
    </row>
    <row r="30" customFormat="false" ht="14.9" hidden="false" customHeight="false" outlineLevel="0" collapsed="false">
      <c r="A30" s="5" t="s">
        <v>25</v>
      </c>
    </row>
    <row r="31" customFormat="false" ht="15" hidden="false" customHeight="false" outlineLevel="0" collapsed="false">
      <c r="A31" s="3"/>
    </row>
    <row r="32" customFormat="false" ht="14.9" hidden="false" customHeight="false" outlineLevel="0" collapsed="false">
      <c r="A3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8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6" t="s">
        <v>27</v>
      </c>
    </row>
    <row r="2" customFormat="false" ht="15" hidden="false" customHeight="false" outlineLevel="0" collapsed="false">
      <c r="A2" s="2" t="s">
        <v>28</v>
      </c>
    </row>
    <row r="4" customFormat="false" ht="28.35" hidden="false" customHeight="false" outlineLevel="0" collapsed="false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8" t="s">
        <v>40</v>
      </c>
      <c r="M4" s="7" t="s">
        <v>41</v>
      </c>
    </row>
    <row r="5" customFormat="false" ht="15" hidden="false" customHeight="false" outlineLevel="0" collapsed="false">
      <c r="A5" s="9" t="s">
        <v>42</v>
      </c>
      <c r="B5" s="10" t="n">
        <f aca="false">COUNTIFS(거래내역!$A$2:$A$896,2024)</f>
        <v>334</v>
      </c>
      <c r="C5" s="10" t="n">
        <f aca="false">COUNTIFS(거래내역!$A$2:$A$896,2024,거래내역!$L$2:$L$896,"익절")</f>
        <v>68</v>
      </c>
      <c r="D5" s="10" t="n">
        <f aca="false">COUNTIFS(거래내역!$A$2:$A$896,2024,거래내역!$L$2:$L$896,"손절")</f>
        <v>257</v>
      </c>
      <c r="E5" s="10" t="n">
        <f aca="false">COUNTIFS(거래내역!$A$2:$A$896,2024,거래내역!$L$2:$L$896,"보유중")</f>
        <v>9</v>
      </c>
      <c r="F5" s="11" t="n">
        <f aca="false">IFERROR(C5/(C5+D5),0)</f>
        <v>0.209230769230769</v>
      </c>
      <c r="G5" s="12" t="n">
        <f aca="false">SUMIFS(거래내역!$N$2:$N$896,거래내역!$A$2:$A$896,2024,거래내역!$L$2:$L$896,"&lt;&gt;보유중")</f>
        <v>-24273</v>
      </c>
      <c r="H5" s="13" t="n">
        <f aca="false">IFERROR(AVERAGEIFS(거래내역!$O$2:$O$896,거래내역!$A$2:$A$896,2024,거래내역!$L$2:$L$896,"&lt;&gt;보유중"),0)</f>
        <v>0.000380925923459616</v>
      </c>
      <c r="I5" s="14" t="n">
        <f aca="false">IFERROR(AVERAGEIFS(거래내역!$M$2:$M$896,거래내역!$A$2:$A$896,2024,거래내역!$L$2:$L$896,"&lt;&gt;보유중"),0)</f>
        <v>6.07692307692308</v>
      </c>
      <c r="J5" s="15" t="n">
        <f aca="false">IFERROR(AVERAGEIFS(거래내역!$P$2:$P$896,거래내역!$A$2:$A$896,2024),0)</f>
        <v>0.188731477929205</v>
      </c>
      <c r="K5" s="16" t="n">
        <v>-0.004432</v>
      </c>
      <c r="L5" s="16" t="n">
        <v>-0.190324</v>
      </c>
      <c r="M5" s="17" t="n">
        <v>995568</v>
      </c>
    </row>
    <row r="6" customFormat="false" ht="15" hidden="false" customHeight="false" outlineLevel="0" collapsed="false">
      <c r="A6" s="9" t="s">
        <v>43</v>
      </c>
      <c r="B6" s="10" t="n">
        <f aca="false">COUNTIFS(거래내역!$A$2:$A$896,2025)</f>
        <v>279</v>
      </c>
      <c r="C6" s="10" t="n">
        <f aca="false">COUNTIFS(거래내역!$A$2:$A$896,2025,거래내역!$L$2:$L$896,"익절")</f>
        <v>77</v>
      </c>
      <c r="D6" s="10" t="n">
        <f aca="false">COUNTIFS(거래내역!$A$2:$A$896,2025,거래내역!$L$2:$L$896,"손절")</f>
        <v>192</v>
      </c>
      <c r="E6" s="10" t="n">
        <f aca="false">COUNTIFS(거래내역!$A$2:$A$896,2025,거래내역!$L$2:$L$896,"보유중")</f>
        <v>10</v>
      </c>
      <c r="F6" s="11" t="n">
        <f aca="false">IFERROR(C6/(C6+D6),0)</f>
        <v>0.286245353159851</v>
      </c>
      <c r="G6" s="12" t="n">
        <f aca="false">SUMIFS(거래내역!$N$2:$N$896,거래내역!$A$2:$A$896,2025,거래내역!$L$2:$L$896,"&lt;&gt;보유중")</f>
        <v>517185</v>
      </c>
      <c r="H6" s="13" t="n">
        <f aca="false">IFERROR(AVERAGEIFS(거래내역!$O$2:$O$896,거래내역!$A$2:$A$896,2025,거래내역!$L$2:$L$896,"&lt;&gt;보유중"),0)</f>
        <v>0.0213397829231828</v>
      </c>
      <c r="I6" s="14" t="n">
        <f aca="false">IFERROR(AVERAGEIFS(거래내역!$M$2:$M$896,거래내역!$A$2:$A$896,2025,거래내역!$L$2:$L$896,"&lt;&gt;보유중"),0)</f>
        <v>6.82899628252788</v>
      </c>
      <c r="J6" s="15" t="n">
        <f aca="false">IFERROR(AVERAGEIFS(거래내역!$P$2:$P$896,거래내역!$A$2:$A$896,2025),0)</f>
        <v>0.135100861676842</v>
      </c>
      <c r="K6" s="16" t="n">
        <v>0.544703</v>
      </c>
      <c r="L6" s="16" t="n">
        <v>-0.079692</v>
      </c>
      <c r="M6" s="17" t="n">
        <v>1544703</v>
      </c>
    </row>
    <row r="7" customFormat="false" ht="15" hidden="false" customHeight="false" outlineLevel="0" collapsed="false">
      <c r="A7" s="9" t="s">
        <v>44</v>
      </c>
      <c r="B7" s="10" t="n">
        <f aca="false">COUNTIFS(거래내역!$A$2:$A$896,2026)</f>
        <v>282</v>
      </c>
      <c r="C7" s="10" t="n">
        <f aca="false">COUNTIFS(거래내역!$A$2:$A$896,2026,거래내역!$L$2:$L$896,"익절")</f>
        <v>60</v>
      </c>
      <c r="D7" s="10" t="n">
        <f aca="false">COUNTIFS(거래내역!$A$2:$A$896,2026,거래내역!$L$2:$L$896,"손절")</f>
        <v>212</v>
      </c>
      <c r="E7" s="10" t="n">
        <f aca="false">COUNTIFS(거래내역!$A$2:$A$896,2026,거래내역!$L$2:$L$896,"보유중")</f>
        <v>10</v>
      </c>
      <c r="F7" s="11" t="n">
        <f aca="false">IFERROR(C7/(C7+D7),0)</f>
        <v>0.220588235294118</v>
      </c>
      <c r="G7" s="12" t="n">
        <f aca="false">SUMIFS(거래내역!$N$2:$N$896,거래내역!$A$2:$A$896,2026,거래내역!$L$2:$L$896,"&lt;&gt;보유중")</f>
        <v>48187</v>
      </c>
      <c r="H7" s="13" t="n">
        <f aca="false">IFERROR(AVERAGEIFS(거래내역!$O$2:$O$896,거래내역!$A$2:$A$896,2026,거래내역!$L$2:$L$896,"&lt;&gt;보유중"),0)</f>
        <v>0.00207985200972088</v>
      </c>
      <c r="I7" s="14" t="n">
        <f aca="false">IFERROR(AVERAGEIFS(거래내역!$M$2:$M$896,거래내역!$A$2:$A$896,2026,거래내역!$L$2:$L$896,"&lt;&gt;보유중"),0)</f>
        <v>3.73161764705882</v>
      </c>
      <c r="J7" s="15" t="n">
        <f aca="false">IFERROR(AVERAGEIFS(거래내역!$P$2:$P$896,거래내역!$A$2:$A$896,2026),0)</f>
        <v>0.0945483841624389</v>
      </c>
      <c r="K7" s="16" t="n">
        <v>0.074987</v>
      </c>
      <c r="L7" s="16" t="n">
        <v>-0.229714</v>
      </c>
      <c r="M7" s="17" t="n">
        <v>1074987</v>
      </c>
    </row>
    <row r="8" customFormat="false" ht="15" hidden="false" customHeight="false" outlineLevel="0" collapsed="false">
      <c r="A8" s="18" t="s">
        <v>45</v>
      </c>
      <c r="B8" s="19" t="n">
        <f aca="false">SUM(B5:B7)</f>
        <v>895</v>
      </c>
      <c r="C8" s="19" t="n">
        <f aca="false">SUM(C5:C7)</f>
        <v>205</v>
      </c>
      <c r="D8" s="19" t="n">
        <f aca="false">SUM(D5:D7)</f>
        <v>661</v>
      </c>
      <c r="E8" s="19" t="n">
        <f aca="false">SUM(E5:E7)</f>
        <v>29</v>
      </c>
      <c r="F8" s="20" t="n">
        <f aca="false">IFERROR(C8/(C8+D8),0)</f>
        <v>0.236720554272517</v>
      </c>
      <c r="G8" s="21" t="n">
        <f aca="false">SUM(G5:G7)</f>
        <v>541099</v>
      </c>
      <c r="H8" s="22" t="n">
        <f aca="false">IFERROR(AVERAGEIFS(거래내역!$O$2:$O$896,거래내역!$L$2:$L$896,"&lt;&gt;보유중"),0)</f>
        <v>0.00742485251513235</v>
      </c>
      <c r="I8" s="23" t="n">
        <f aca="false">IFERROR(AVERAGEIFS(거래내역!$M$2:$M$896,거래내역!$L$2:$L$896,"&lt;&gt;보유중"),0)</f>
        <v>5.57390300230947</v>
      </c>
      <c r="J8" s="24" t="n">
        <f aca="false">IFERROR(AVERAGE(거래내역!$P$2:$P$896),0)</f>
        <v>0.142337540078214</v>
      </c>
      <c r="K8" s="22" t="n">
        <f aca="false">SUM(K5:K7)</f>
        <v>0.615258</v>
      </c>
      <c r="L8" s="22"/>
      <c r="M8" s="25"/>
    </row>
    <row r="10" customFormat="false" ht="15" hidden="false" customHeight="false" outlineLevel="0" collapsed="false">
      <c r="A10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7"/>
    <col collapsed="false" customWidth="true" hidden="false" outlineLevel="0" max="6" min="5" style="0" width="8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19.4" hidden="false" customHeight="false" outlineLevel="0" collapsed="false">
      <c r="A1" s="6" t="s">
        <v>47</v>
      </c>
    </row>
    <row r="3" customFormat="false" ht="15" hidden="false" customHeight="false" outlineLevel="0" collapsed="false">
      <c r="A3" s="7" t="s">
        <v>48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49</v>
      </c>
      <c r="I3" s="7" t="s">
        <v>50</v>
      </c>
    </row>
    <row r="4" customFormat="false" ht="15" hidden="false" customHeight="false" outlineLevel="0" collapsed="false">
      <c r="A4" s="9" t="s">
        <v>51</v>
      </c>
      <c r="B4" s="10" t="n">
        <f aca="false">COUNTIFS(거래내역!$B$2:$B$896,A4)</f>
        <v>48</v>
      </c>
      <c r="C4" s="10" t="n">
        <f aca="false">COUNTIFS(거래내역!$B$2:$B$896,A4,거래내역!$L$2:$L$896,"익절")</f>
        <v>14</v>
      </c>
      <c r="D4" s="10" t="n">
        <f aca="false">COUNTIFS(거래내역!$B$2:$B$896,A4,거래내역!$L$2:$L$896,"손절")</f>
        <v>34</v>
      </c>
      <c r="E4" s="10" t="n">
        <f aca="false">COUNTIFS(거래내역!$B$2:$B$896,A4,거래내역!$L$2:$L$896,"보유중")</f>
        <v>0</v>
      </c>
      <c r="F4" s="11" t="n">
        <f aca="false">IFERROR(C4/(C4+D4),0)</f>
        <v>0.291666666666667</v>
      </c>
      <c r="G4" s="12" t="n">
        <f aca="false">SUMIFS(거래내역!$N$2:$N$896,거래내역!$B$2:$B$896,A4,거래내역!$L$2:$L$896,"&lt;&gt;보유중")</f>
        <v>85513</v>
      </c>
      <c r="H4" s="13" t="n">
        <f aca="false">IFERROR(AVERAGEIFS(거래내역!$O$2:$O$896,거래내역!$B$2:$B$896,A4,거래내역!$L$2:$L$896,"&lt;&gt;보유중"),0)</f>
        <v>0.0210155718639035</v>
      </c>
      <c r="I4" s="12" t="n">
        <f aca="false">G4</f>
        <v>85513</v>
      </c>
    </row>
    <row r="5" customFormat="false" ht="15" hidden="false" customHeight="false" outlineLevel="0" collapsed="false">
      <c r="A5" s="9" t="s">
        <v>52</v>
      </c>
      <c r="B5" s="10" t="n">
        <f aca="false">COUNTIFS(거래내역!$B$2:$B$896,A5)</f>
        <v>22</v>
      </c>
      <c r="C5" s="10" t="n">
        <f aca="false">COUNTIFS(거래내역!$B$2:$B$896,A5,거래내역!$L$2:$L$896,"익절")</f>
        <v>6</v>
      </c>
      <c r="D5" s="10" t="n">
        <f aca="false">COUNTIFS(거래내역!$B$2:$B$896,A5,거래내역!$L$2:$L$896,"손절")</f>
        <v>16</v>
      </c>
      <c r="E5" s="10" t="n">
        <f aca="false">COUNTIFS(거래내역!$B$2:$B$896,A5,거래내역!$L$2:$L$896,"보유중")</f>
        <v>0</v>
      </c>
      <c r="F5" s="11" t="n">
        <f aca="false">IFERROR(C5/(C5+D5),0)</f>
        <v>0.272727272727273</v>
      </c>
      <c r="G5" s="12" t="n">
        <f aca="false">SUMIFS(거래내역!$N$2:$N$896,거래내역!$B$2:$B$896,A5,거래내역!$L$2:$L$896,"&lt;&gt;보유중")</f>
        <v>13065</v>
      </c>
      <c r="H5" s="13" t="n">
        <f aca="false">IFERROR(AVERAGEIFS(거래내역!$O$2:$O$896,거래내역!$B$2:$B$896,A5,거래내역!$L$2:$L$896,"&lt;&gt;보유중"),0)</f>
        <v>0.017305577399469</v>
      </c>
      <c r="I5" s="12" t="n">
        <f aca="false">I4+G5</f>
        <v>98578</v>
      </c>
    </row>
    <row r="6" customFormat="false" ht="15" hidden="false" customHeight="false" outlineLevel="0" collapsed="false">
      <c r="A6" s="9" t="s">
        <v>53</v>
      </c>
      <c r="B6" s="10" t="n">
        <f aca="false">COUNTIFS(거래내역!$B$2:$B$896,A6)</f>
        <v>32</v>
      </c>
      <c r="C6" s="10" t="n">
        <f aca="false">COUNTIFS(거래내역!$B$2:$B$896,A6,거래내역!$L$2:$L$896,"익절")</f>
        <v>9</v>
      </c>
      <c r="D6" s="10" t="n">
        <f aca="false">COUNTIFS(거래내역!$B$2:$B$896,A6,거래내역!$L$2:$L$896,"손절")</f>
        <v>23</v>
      </c>
      <c r="E6" s="10" t="n">
        <f aca="false">COUNTIFS(거래내역!$B$2:$B$896,A6,거래내역!$L$2:$L$896,"보유중")</f>
        <v>0</v>
      </c>
      <c r="F6" s="11" t="n">
        <f aca="false">IFERROR(C6/(C6+D6),0)</f>
        <v>0.28125</v>
      </c>
      <c r="G6" s="12" t="n">
        <f aca="false">SUMIFS(거래내역!$N$2:$N$896,거래내역!$B$2:$B$896,A6,거래내역!$L$2:$L$896,"&lt;&gt;보유중")</f>
        <v>46413</v>
      </c>
      <c r="H6" s="13" t="n">
        <f aca="false">IFERROR(AVERAGEIFS(거래내역!$O$2:$O$896,거래내역!$B$2:$B$896,A6,거래내역!$L$2:$L$896,"&lt;&gt;보유중"),0)</f>
        <v>0.0187699824535269</v>
      </c>
      <c r="I6" s="12" t="n">
        <f aca="false">I5+G6</f>
        <v>144991</v>
      </c>
    </row>
    <row r="7" customFormat="false" ht="15" hidden="false" customHeight="false" outlineLevel="0" collapsed="false">
      <c r="A7" s="9" t="s">
        <v>54</v>
      </c>
      <c r="B7" s="10" t="n">
        <f aca="false">COUNTIFS(거래내역!$B$2:$B$896,A7)</f>
        <v>34</v>
      </c>
      <c r="C7" s="10" t="n">
        <f aca="false">COUNTIFS(거래내역!$B$2:$B$896,A7,거래내역!$L$2:$L$896,"익절")</f>
        <v>2</v>
      </c>
      <c r="D7" s="10" t="n">
        <f aca="false">COUNTIFS(거래내역!$B$2:$B$896,A7,거래내역!$L$2:$L$896,"손절")</f>
        <v>32</v>
      </c>
      <c r="E7" s="10" t="n">
        <f aca="false">COUNTIFS(거래내역!$B$2:$B$896,A7,거래내역!$L$2:$L$896,"보유중")</f>
        <v>0</v>
      </c>
      <c r="F7" s="11" t="n">
        <f aca="false">IFERROR(C7/(C7+D7),0)</f>
        <v>0.0588235294117647</v>
      </c>
      <c r="G7" s="12" t="n">
        <f aca="false">SUMIFS(거래내역!$N$2:$N$896,거래내역!$B$2:$B$896,A7,거래내역!$L$2:$L$896,"&lt;&gt;보유중")</f>
        <v>-105883</v>
      </c>
      <c r="H7" s="13" t="n">
        <f aca="false">IFERROR(AVERAGEIFS(거래내역!$O$2:$O$896,거래내역!$B$2:$B$896,A7,거래내역!$L$2:$L$896,"&lt;&gt;보유중"),0)</f>
        <v>-0.0362694999188891</v>
      </c>
      <c r="I7" s="12" t="n">
        <f aca="false">I6+G7</f>
        <v>39108</v>
      </c>
    </row>
    <row r="8" customFormat="false" ht="15" hidden="false" customHeight="false" outlineLevel="0" collapsed="false">
      <c r="A8" s="9" t="s">
        <v>55</v>
      </c>
      <c r="B8" s="10" t="n">
        <f aca="false">COUNTIFS(거래내역!$B$2:$B$896,A8)</f>
        <v>19</v>
      </c>
      <c r="C8" s="10" t="n">
        <f aca="false">COUNTIFS(거래내역!$B$2:$B$896,A8,거래내역!$L$2:$L$896,"익절")</f>
        <v>5</v>
      </c>
      <c r="D8" s="10" t="n">
        <f aca="false">COUNTIFS(거래내역!$B$2:$B$896,A8,거래내역!$L$2:$L$896,"손절")</f>
        <v>14</v>
      </c>
      <c r="E8" s="10" t="n">
        <f aca="false">COUNTIFS(거래내역!$B$2:$B$896,A8,거래내역!$L$2:$L$896,"보유중")</f>
        <v>0</v>
      </c>
      <c r="F8" s="11" t="n">
        <f aca="false">IFERROR(C8/(C8+D8),0)</f>
        <v>0.263157894736842</v>
      </c>
      <c r="G8" s="12" t="n">
        <f aca="false">SUMIFS(거래내역!$N$2:$N$896,거래내역!$B$2:$B$896,A8,거래내역!$L$2:$L$896,"&lt;&gt;보유중")</f>
        <v>20028</v>
      </c>
      <c r="H8" s="13" t="n">
        <f aca="false">IFERROR(AVERAGEIFS(거래내역!$O$2:$O$896,거래내역!$B$2:$B$896,A8,거래내역!$L$2:$L$896,"&lt;&gt;보유중"),0)</f>
        <v>0.0142678406149725</v>
      </c>
      <c r="I8" s="12" t="n">
        <f aca="false">I7+G8</f>
        <v>59136</v>
      </c>
    </row>
    <row r="9" customFormat="false" ht="15" hidden="false" customHeight="false" outlineLevel="0" collapsed="false">
      <c r="A9" s="9" t="s">
        <v>56</v>
      </c>
      <c r="B9" s="10" t="n">
        <f aca="false">COUNTIFS(거래내역!$B$2:$B$896,A9)</f>
        <v>23</v>
      </c>
      <c r="C9" s="10" t="n">
        <f aca="false">COUNTIFS(거래내역!$B$2:$B$896,A9,거래내역!$L$2:$L$896,"익절")</f>
        <v>4</v>
      </c>
      <c r="D9" s="10" t="n">
        <f aca="false">COUNTIFS(거래내역!$B$2:$B$896,A9,거래내역!$L$2:$L$896,"손절")</f>
        <v>18</v>
      </c>
      <c r="E9" s="10" t="n">
        <f aca="false">COUNTIFS(거래내역!$B$2:$B$896,A9,거래내역!$L$2:$L$896,"보유중")</f>
        <v>1</v>
      </c>
      <c r="F9" s="11" t="n">
        <f aca="false">IFERROR(C9/(C9+D9),0)</f>
        <v>0.181818181818182</v>
      </c>
      <c r="G9" s="12" t="n">
        <f aca="false">SUMIFS(거래내역!$N$2:$N$896,거래내역!$B$2:$B$896,A9,거래내역!$L$2:$L$896,"&lt;&gt;보유중")</f>
        <v>-7476</v>
      </c>
      <c r="H9" s="13" t="n">
        <f aca="false">IFERROR(AVERAGEIFS(거래내역!$O$2:$O$896,거래내역!$B$2:$B$896,A9,거래내역!$L$2:$L$896,"&lt;&gt;보유중"),0)</f>
        <v>-0.00614649344043347</v>
      </c>
      <c r="I9" s="12" t="n">
        <f aca="false">I8+G9</f>
        <v>51660</v>
      </c>
    </row>
    <row r="10" customFormat="false" ht="15" hidden="false" customHeight="false" outlineLevel="0" collapsed="false">
      <c r="A10" s="9" t="s">
        <v>57</v>
      </c>
      <c r="B10" s="10" t="n">
        <f aca="false">COUNTIFS(거래내역!$B$2:$B$896,A10)</f>
        <v>18</v>
      </c>
      <c r="C10" s="10" t="n">
        <f aca="false">COUNTIFS(거래내역!$B$2:$B$896,A10,거래내역!$L$2:$L$896,"익절")</f>
        <v>3</v>
      </c>
      <c r="D10" s="10" t="n">
        <f aca="false">COUNTIFS(거래내역!$B$2:$B$896,A10,거래내역!$L$2:$L$896,"손절")</f>
        <v>15</v>
      </c>
      <c r="E10" s="10" t="n">
        <f aca="false">COUNTIFS(거래내역!$B$2:$B$896,A10,거래내역!$L$2:$L$896,"보유중")</f>
        <v>0</v>
      </c>
      <c r="F10" s="11" t="n">
        <f aca="false">IFERROR(C10/(C10+D10),0)</f>
        <v>0.166666666666667</v>
      </c>
      <c r="G10" s="12" t="n">
        <f aca="false">SUMIFS(거래내역!$N$2:$N$896,거래내역!$B$2:$B$896,A10,거래내역!$L$2:$L$896,"&lt;&gt;보유중")</f>
        <v>-18201</v>
      </c>
      <c r="H10" s="13" t="n">
        <f aca="false">IFERROR(AVERAGEIFS(거래내역!$O$2:$O$896,거래내역!$B$2:$B$896,A10,거래내역!$L$2:$L$896,"&lt;&gt;보유중"),0)</f>
        <v>-0.0109370161376689</v>
      </c>
      <c r="I10" s="12" t="n">
        <f aca="false">I9+G10</f>
        <v>33459</v>
      </c>
    </row>
    <row r="11" customFormat="false" ht="15" hidden="false" customHeight="false" outlineLevel="0" collapsed="false">
      <c r="A11" s="9" t="s">
        <v>58</v>
      </c>
      <c r="B11" s="10" t="n">
        <f aca="false">COUNTIFS(거래내역!$B$2:$B$896,A11)</f>
        <v>24</v>
      </c>
      <c r="C11" s="10" t="n">
        <f aca="false">COUNTIFS(거래내역!$B$2:$B$896,A11,거래내역!$L$2:$L$896,"익절")</f>
        <v>5</v>
      </c>
      <c r="D11" s="10" t="n">
        <f aca="false">COUNTIFS(거래내역!$B$2:$B$896,A11,거래내역!$L$2:$L$896,"손절")</f>
        <v>19</v>
      </c>
      <c r="E11" s="10" t="n">
        <f aca="false">COUNTIFS(거래내역!$B$2:$B$896,A11,거래내역!$L$2:$L$896,"보유중")</f>
        <v>0</v>
      </c>
      <c r="F11" s="11" t="n">
        <f aca="false">IFERROR(C11/(C11+D11),0)</f>
        <v>0.208333333333333</v>
      </c>
      <c r="G11" s="12" t="n">
        <f aca="false">SUMIFS(거래내역!$N$2:$N$896,거래내역!$B$2:$B$896,A11,거래내역!$L$2:$L$896,"&lt;&gt;보유중")</f>
        <v>-2293</v>
      </c>
      <c r="H11" s="13" t="n">
        <f aca="false">IFERROR(AVERAGEIFS(거래내역!$O$2:$O$896,거래내역!$B$2:$B$896,A11,거래내역!$L$2:$L$896,"&lt;&gt;보유중"),0)</f>
        <v>-0.000971850607617821</v>
      </c>
      <c r="I11" s="12" t="n">
        <f aca="false">I10+G11</f>
        <v>31166</v>
      </c>
    </row>
    <row r="12" customFormat="false" ht="15" hidden="false" customHeight="false" outlineLevel="0" collapsed="false">
      <c r="A12" s="9" t="s">
        <v>59</v>
      </c>
      <c r="B12" s="10" t="n">
        <f aca="false">COUNTIFS(거래내역!$B$2:$B$896,A12)</f>
        <v>20</v>
      </c>
      <c r="C12" s="10" t="n">
        <f aca="false">COUNTIFS(거래내역!$B$2:$B$896,A12,거래내역!$L$2:$L$896,"익절")</f>
        <v>2</v>
      </c>
      <c r="D12" s="10" t="n">
        <f aca="false">COUNTIFS(거래내역!$B$2:$B$896,A12,거래내역!$L$2:$L$896,"손절")</f>
        <v>18</v>
      </c>
      <c r="E12" s="10" t="n">
        <f aca="false">COUNTIFS(거래내역!$B$2:$B$896,A12,거래내역!$L$2:$L$896,"보유중")</f>
        <v>0</v>
      </c>
      <c r="F12" s="11" t="n">
        <f aca="false">IFERROR(C12/(C12+D12),0)</f>
        <v>0.1</v>
      </c>
      <c r="G12" s="12" t="n">
        <f aca="false">SUMIFS(거래내역!$N$2:$N$896,거래내역!$B$2:$B$896,A12,거래내역!$L$2:$L$896,"&lt;&gt;보유중")</f>
        <v>-42390</v>
      </c>
      <c r="H12" s="13" t="n">
        <f aca="false">IFERROR(AVERAGEIFS(거래내역!$O$2:$O$896,거래내역!$B$2:$B$896,A12,거래내역!$L$2:$L$896,"&lt;&gt;보유중"),0)</f>
        <v>-0.0262600930636156</v>
      </c>
      <c r="I12" s="12" t="n">
        <f aca="false">I11+G12</f>
        <v>-11224</v>
      </c>
    </row>
    <row r="13" customFormat="false" ht="15" hidden="false" customHeight="false" outlineLevel="0" collapsed="false">
      <c r="A13" s="9" t="s">
        <v>60</v>
      </c>
      <c r="B13" s="10" t="n">
        <f aca="false">COUNTIFS(거래내역!$B$2:$B$896,A13)</f>
        <v>27</v>
      </c>
      <c r="C13" s="10" t="n">
        <f aca="false">COUNTIFS(거래내역!$B$2:$B$896,A13,거래내역!$L$2:$L$896,"익절")</f>
        <v>5</v>
      </c>
      <c r="D13" s="10" t="n">
        <f aca="false">COUNTIFS(거래내역!$B$2:$B$896,A13,거래내역!$L$2:$L$896,"손절")</f>
        <v>22</v>
      </c>
      <c r="E13" s="10" t="n">
        <f aca="false">COUNTIFS(거래내역!$B$2:$B$896,A13,거래내역!$L$2:$L$896,"보유중")</f>
        <v>0</v>
      </c>
      <c r="F13" s="11" t="n">
        <f aca="false">IFERROR(C13/(C13+D13),0)</f>
        <v>0.185185185185185</v>
      </c>
      <c r="G13" s="12" t="n">
        <f aca="false">SUMIFS(거래내역!$N$2:$N$896,거래내역!$B$2:$B$896,A13,거래내역!$L$2:$L$896,"&lt;&gt;보유중")</f>
        <v>-15496</v>
      </c>
      <c r="H13" s="13" t="n">
        <f aca="false">IFERROR(AVERAGEIFS(거래내역!$O$2:$O$896,거래내역!$B$2:$B$896,A13,거래내역!$L$2:$L$896,"&lt;&gt;보유중"),0)</f>
        <v>-0.00481593487739689</v>
      </c>
      <c r="I13" s="12" t="n">
        <f aca="false">I12+G13</f>
        <v>-26720</v>
      </c>
    </row>
    <row r="14" customFormat="false" ht="15" hidden="false" customHeight="false" outlineLevel="0" collapsed="false">
      <c r="A14" s="9" t="s">
        <v>61</v>
      </c>
      <c r="B14" s="10" t="n">
        <f aca="false">COUNTIFS(거래내역!$B$2:$B$896,A14)</f>
        <v>31</v>
      </c>
      <c r="C14" s="10" t="n">
        <f aca="false">COUNTIFS(거래내역!$B$2:$B$896,A14,거래내역!$L$2:$L$896,"익절")</f>
        <v>8</v>
      </c>
      <c r="D14" s="10" t="n">
        <f aca="false">COUNTIFS(거래내역!$B$2:$B$896,A14,거래내역!$L$2:$L$896,"손절")</f>
        <v>23</v>
      </c>
      <c r="E14" s="10" t="n">
        <f aca="false">COUNTIFS(거래내역!$B$2:$B$896,A14,거래내역!$L$2:$L$896,"보유중")</f>
        <v>0</v>
      </c>
      <c r="F14" s="11" t="n">
        <f aca="false">IFERROR(C14/(C14+D14),0)</f>
        <v>0.258064516129032</v>
      </c>
      <c r="G14" s="12" t="n">
        <f aca="false">SUMIFS(거래내역!$N$2:$N$896,거래내역!$B$2:$B$896,A14,거래내역!$L$2:$L$896,"&lt;&gt;보유중")</f>
        <v>40501</v>
      </c>
      <c r="H14" s="13" t="n">
        <f aca="false">IFERROR(AVERAGEIFS(거래내역!$O$2:$O$896,거래내역!$B$2:$B$896,A14,거래내역!$L$2:$L$896,"&lt;&gt;보유중"),0)</f>
        <v>0.0176125143250076</v>
      </c>
      <c r="I14" s="12" t="n">
        <f aca="false">I13+G14</f>
        <v>13781</v>
      </c>
    </row>
    <row r="15" customFormat="false" ht="15" hidden="false" customHeight="false" outlineLevel="0" collapsed="false">
      <c r="A15" s="9" t="s">
        <v>62</v>
      </c>
      <c r="B15" s="10" t="n">
        <f aca="false">COUNTIFS(거래내역!$B$2:$B$896,A15)</f>
        <v>36</v>
      </c>
      <c r="C15" s="10" t="n">
        <f aca="false">COUNTIFS(거래내역!$B$2:$B$896,A15,거래내역!$L$2:$L$896,"익절")</f>
        <v>5</v>
      </c>
      <c r="D15" s="10" t="n">
        <f aca="false">COUNTIFS(거래내역!$B$2:$B$896,A15,거래내역!$L$2:$L$896,"손절")</f>
        <v>23</v>
      </c>
      <c r="E15" s="10" t="n">
        <f aca="false">COUNTIFS(거래내역!$B$2:$B$896,A15,거래내역!$L$2:$L$896,"보유중")</f>
        <v>8</v>
      </c>
      <c r="F15" s="11" t="n">
        <f aca="false">IFERROR(C15/(C15+D15),0)</f>
        <v>0.178571428571429</v>
      </c>
      <c r="G15" s="12" t="n">
        <f aca="false">SUMIFS(거래내역!$N$2:$N$896,거래내역!$B$2:$B$896,A15,거래내역!$L$2:$L$896,"&lt;&gt;보유중")</f>
        <v>-38054</v>
      </c>
      <c r="H15" s="13" t="n">
        <f aca="false">IFERROR(AVERAGEIFS(거래내역!$O$2:$O$896,거래내역!$B$2:$B$896,A15,거래내역!$L$2:$L$896,"&lt;&gt;보유중"),0)</f>
        <v>-0.0156991757303294</v>
      </c>
      <c r="I15" s="12" t="n">
        <f aca="false">I14+G15</f>
        <v>-24273</v>
      </c>
    </row>
    <row r="16" customFormat="false" ht="15" hidden="false" customHeight="false" outlineLevel="0" collapsed="false">
      <c r="A16" s="9" t="s">
        <v>63</v>
      </c>
      <c r="B16" s="10" t="n">
        <f aca="false">COUNTIFS(거래내역!$B$2:$B$896,A16)</f>
        <v>29</v>
      </c>
      <c r="C16" s="10" t="n">
        <f aca="false">COUNTIFS(거래내역!$B$2:$B$896,A16,거래내역!$L$2:$L$896,"익절")</f>
        <v>12</v>
      </c>
      <c r="D16" s="10" t="n">
        <f aca="false">COUNTIFS(거래내역!$B$2:$B$896,A16,거래내역!$L$2:$L$896,"손절")</f>
        <v>17</v>
      </c>
      <c r="E16" s="10" t="n">
        <f aca="false">COUNTIFS(거래내역!$B$2:$B$896,A16,거래내역!$L$2:$L$896,"보유중")</f>
        <v>0</v>
      </c>
      <c r="F16" s="11" t="n">
        <f aca="false">IFERROR(C16/(C16+D16),0)</f>
        <v>0.413793103448276</v>
      </c>
      <c r="G16" s="12" t="n">
        <f aca="false">SUMIFS(거래내역!$N$2:$N$896,거래내역!$B$2:$B$896,A16,거래내역!$L$2:$L$896,"&lt;&gt;보유중")</f>
        <v>141777</v>
      </c>
      <c r="H16" s="13" t="n">
        <f aca="false">IFERROR(AVERAGEIFS(거래내역!$O$2:$O$896,거래내역!$B$2:$B$896,A16,거래내역!$L$2:$L$896,"&lt;&gt;보유중"),0)</f>
        <v>0.0524970631993426</v>
      </c>
      <c r="I16" s="12" t="n">
        <f aca="false">I15+G16</f>
        <v>117504</v>
      </c>
    </row>
    <row r="17" customFormat="false" ht="15" hidden="false" customHeight="false" outlineLevel="0" collapsed="false">
      <c r="A17" s="9" t="s">
        <v>64</v>
      </c>
      <c r="B17" s="10" t="n">
        <f aca="false">COUNTIFS(거래내역!$B$2:$B$896,A17)</f>
        <v>24</v>
      </c>
      <c r="C17" s="10" t="n">
        <f aca="false">COUNTIFS(거래내역!$B$2:$B$896,A17,거래내역!$L$2:$L$896,"익절")</f>
        <v>6</v>
      </c>
      <c r="D17" s="10" t="n">
        <f aca="false">COUNTIFS(거래내역!$B$2:$B$896,A17,거래내역!$L$2:$L$896,"손절")</f>
        <v>18</v>
      </c>
      <c r="E17" s="10" t="n">
        <f aca="false">COUNTIFS(거래내역!$B$2:$B$896,A17,거래내역!$L$2:$L$896,"보유중")</f>
        <v>0</v>
      </c>
      <c r="F17" s="11" t="n">
        <f aca="false">IFERROR(C17/(C17+D17),0)</f>
        <v>0.25</v>
      </c>
      <c r="G17" s="12" t="n">
        <f aca="false">SUMIFS(거래내역!$N$2:$N$896,거래내역!$B$2:$B$896,A17,거래내역!$L$2:$L$896,"&lt;&gt;보유중")</f>
        <v>9212</v>
      </c>
      <c r="H17" s="13" t="n">
        <f aca="false">IFERROR(AVERAGEIFS(거래내역!$O$2:$O$896,거래내역!$B$2:$B$896,A17,거래내역!$L$2:$L$896,"&lt;&gt;보유중"),0)</f>
        <v>0.0105873275009272</v>
      </c>
      <c r="I17" s="12" t="n">
        <f aca="false">I16+G17</f>
        <v>126716</v>
      </c>
    </row>
    <row r="18" customFormat="false" ht="15" hidden="false" customHeight="false" outlineLevel="0" collapsed="false">
      <c r="A18" s="9" t="s">
        <v>65</v>
      </c>
      <c r="B18" s="10" t="n">
        <f aca="false">COUNTIFS(거래내역!$B$2:$B$896,A18)</f>
        <v>22</v>
      </c>
      <c r="C18" s="10" t="n">
        <f aca="false">COUNTIFS(거래내역!$B$2:$B$896,A18,거래내역!$L$2:$L$896,"익절")</f>
        <v>2</v>
      </c>
      <c r="D18" s="10" t="n">
        <f aca="false">COUNTIFS(거래내역!$B$2:$B$896,A18,거래내역!$L$2:$L$896,"손절")</f>
        <v>20</v>
      </c>
      <c r="E18" s="10" t="n">
        <f aca="false">COUNTIFS(거래내역!$B$2:$B$896,A18,거래내역!$L$2:$L$896,"보유중")</f>
        <v>0</v>
      </c>
      <c r="F18" s="11" t="n">
        <f aca="false">IFERROR(C18/(C18+D18),0)</f>
        <v>0.0909090909090909</v>
      </c>
      <c r="G18" s="12" t="n">
        <f aca="false">SUMIFS(거래내역!$N$2:$N$896,거래내역!$B$2:$B$896,A18,거래내역!$L$2:$L$896,"&lt;&gt;보유중")</f>
        <v>-56514</v>
      </c>
      <c r="H18" s="13" t="n">
        <f aca="false">IFERROR(AVERAGEIFS(거래내역!$O$2:$O$896,거래내역!$B$2:$B$896,A18,거래내역!$L$2:$L$896,"&lt;&gt;보유중"),0)</f>
        <v>-0.0317844175106239</v>
      </c>
      <c r="I18" s="12" t="n">
        <f aca="false">I17+G18</f>
        <v>70202</v>
      </c>
    </row>
    <row r="19" customFormat="false" ht="15" hidden="false" customHeight="false" outlineLevel="0" collapsed="false">
      <c r="A19" s="9" t="s">
        <v>66</v>
      </c>
      <c r="B19" s="10" t="n">
        <f aca="false">COUNTIFS(거래내역!$B$2:$B$896,A19)</f>
        <v>29</v>
      </c>
      <c r="C19" s="10" t="n">
        <f aca="false">COUNTIFS(거래내역!$B$2:$B$896,A19,거래내역!$L$2:$L$896,"익절")</f>
        <v>17</v>
      </c>
      <c r="D19" s="10" t="n">
        <f aca="false">COUNTIFS(거래내역!$B$2:$B$896,A19,거래내역!$L$2:$L$896,"손절")</f>
        <v>12</v>
      </c>
      <c r="E19" s="10" t="n">
        <f aca="false">COUNTIFS(거래내역!$B$2:$B$896,A19,거래내역!$L$2:$L$896,"보유중")</f>
        <v>0</v>
      </c>
      <c r="F19" s="11" t="n">
        <f aca="false">IFERROR(C19/(C19+D19),0)</f>
        <v>0.586206896551724</v>
      </c>
      <c r="G19" s="12" t="n">
        <f aca="false">SUMIFS(거래내역!$N$2:$N$896,거래내역!$B$2:$B$896,A19,거래내역!$L$2:$L$896,"&lt;&gt;보유중")</f>
        <v>273039</v>
      </c>
      <c r="H19" s="13" t="n">
        <f aca="false">IFERROR(AVERAGEIFS(거래내역!$O$2:$O$896,거래내역!$B$2:$B$896,A19,거래내역!$L$2:$L$896,"&lt;&gt;보유중"),0)</f>
        <v>0.104168684243213</v>
      </c>
      <c r="I19" s="12" t="n">
        <f aca="false">I18+G19</f>
        <v>343241</v>
      </c>
    </row>
    <row r="20" customFormat="false" ht="15" hidden="false" customHeight="false" outlineLevel="0" collapsed="false">
      <c r="A20" s="9" t="s">
        <v>67</v>
      </c>
      <c r="B20" s="10" t="n">
        <f aca="false">COUNTIFS(거래내역!$B$2:$B$896,A20)</f>
        <v>13</v>
      </c>
      <c r="C20" s="10" t="n">
        <f aca="false">COUNTIFS(거래내역!$B$2:$B$896,A20,거래내역!$L$2:$L$896,"익절")</f>
        <v>5</v>
      </c>
      <c r="D20" s="10" t="n">
        <f aca="false">COUNTIFS(거래내역!$B$2:$B$896,A20,거래내역!$L$2:$L$896,"손절")</f>
        <v>8</v>
      </c>
      <c r="E20" s="10" t="n">
        <f aca="false">COUNTIFS(거래내역!$B$2:$B$896,A20,거래내역!$L$2:$L$896,"보유중")</f>
        <v>0</v>
      </c>
      <c r="F20" s="11" t="n">
        <f aca="false">IFERROR(C20/(C20+D20),0)</f>
        <v>0.384615384615385</v>
      </c>
      <c r="G20" s="12" t="n">
        <f aca="false">SUMIFS(거래내역!$N$2:$N$896,거래내역!$B$2:$B$896,A20,거래내역!$L$2:$L$896,"&lt;&gt;보유중")</f>
        <v>47890</v>
      </c>
      <c r="H20" s="13" t="n">
        <f aca="false">IFERROR(AVERAGEIFS(거래내역!$O$2:$O$896,거래내역!$B$2:$B$896,A20,거래내역!$L$2:$L$896,"&lt;&gt;보유중"),0)</f>
        <v>0.0452960491661033</v>
      </c>
      <c r="I20" s="12" t="n">
        <f aca="false">I19+G20</f>
        <v>391131</v>
      </c>
    </row>
    <row r="21" customFormat="false" ht="15" hidden="false" customHeight="false" outlineLevel="0" collapsed="false">
      <c r="A21" s="9" t="s">
        <v>68</v>
      </c>
      <c r="B21" s="10" t="n">
        <f aca="false">COUNTIFS(거래내역!$B$2:$B$896,A21)</f>
        <v>20</v>
      </c>
      <c r="C21" s="10" t="n">
        <f aca="false">COUNTIFS(거래내역!$B$2:$B$896,A21,거래내역!$L$2:$L$896,"익절")</f>
        <v>6</v>
      </c>
      <c r="D21" s="10" t="n">
        <f aca="false">COUNTIFS(거래내역!$B$2:$B$896,A21,거래내역!$L$2:$L$896,"손절")</f>
        <v>13</v>
      </c>
      <c r="E21" s="10" t="n">
        <f aca="false">COUNTIFS(거래내역!$B$2:$B$896,A21,거래내역!$L$2:$L$896,"보유중")</f>
        <v>1</v>
      </c>
      <c r="F21" s="11" t="n">
        <f aca="false">IFERROR(C21/(C21+D21),0)</f>
        <v>0.315789473684211</v>
      </c>
      <c r="G21" s="12" t="n">
        <f aca="false">SUMIFS(거래내역!$N$2:$N$896,거래내역!$B$2:$B$896,A21,거래내역!$L$2:$L$896,"&lt;&gt;보유중")</f>
        <v>40930</v>
      </c>
      <c r="H21" s="13" t="n">
        <f aca="false">IFERROR(AVERAGEIFS(거래내역!$O$2:$O$896,거래내역!$B$2:$B$896,A21,거래내역!$L$2:$L$896,"&lt;&gt;보유중"),0)</f>
        <v>0.0275988562607985</v>
      </c>
      <c r="I21" s="12" t="n">
        <f aca="false">I20+G21</f>
        <v>432061</v>
      </c>
    </row>
    <row r="22" customFormat="false" ht="15" hidden="false" customHeight="false" outlineLevel="0" collapsed="false">
      <c r="A22" s="9" t="s">
        <v>69</v>
      </c>
      <c r="B22" s="10" t="n">
        <f aca="false">COUNTIFS(거래내역!$B$2:$B$896,A22)</f>
        <v>40</v>
      </c>
      <c r="C22" s="10" t="n">
        <f aca="false">COUNTIFS(거래내역!$B$2:$B$896,A22,거래내역!$L$2:$L$896,"익절")</f>
        <v>8</v>
      </c>
      <c r="D22" s="10" t="n">
        <f aca="false">COUNTIFS(거래내역!$B$2:$B$896,A22,거래내역!$L$2:$L$896,"손절")</f>
        <v>32</v>
      </c>
      <c r="E22" s="10" t="n">
        <f aca="false">COUNTIFS(거래내역!$B$2:$B$896,A22,거래내역!$L$2:$L$896,"보유중")</f>
        <v>0</v>
      </c>
      <c r="F22" s="11" t="n">
        <f aca="false">IFERROR(C22/(C22+D22),0)</f>
        <v>0.2</v>
      </c>
      <c r="G22" s="12" t="n">
        <f aca="false">SUMIFS(거래내역!$N$2:$N$896,거래내역!$B$2:$B$896,A22,거래내역!$L$2:$L$896,"&lt;&gt;보유중")</f>
        <v>12235</v>
      </c>
      <c r="H22" s="13" t="n">
        <f aca="false">IFERROR(AVERAGEIFS(거래내역!$O$2:$O$896,거래내역!$B$2:$B$896,A22,거래내역!$L$2:$L$896,"&lt;&gt;보유중"),0)</f>
        <v>-0.000611458169851502</v>
      </c>
      <c r="I22" s="12" t="n">
        <f aca="false">I21+G22</f>
        <v>444296</v>
      </c>
    </row>
    <row r="23" customFormat="false" ht="15" hidden="false" customHeight="false" outlineLevel="0" collapsed="false">
      <c r="A23" s="9" t="s">
        <v>70</v>
      </c>
      <c r="B23" s="10" t="n">
        <f aca="false">COUNTIFS(거래내역!$B$2:$B$896,A23)</f>
        <v>19</v>
      </c>
      <c r="C23" s="10" t="n">
        <f aca="false">COUNTIFS(거래내역!$B$2:$B$896,A23,거래내역!$L$2:$L$896,"익절")</f>
        <v>1</v>
      </c>
      <c r="D23" s="10" t="n">
        <f aca="false">COUNTIFS(거래내역!$B$2:$B$896,A23,거래내역!$L$2:$L$896,"손절")</f>
        <v>18</v>
      </c>
      <c r="E23" s="10" t="n">
        <f aca="false">COUNTIFS(거래내역!$B$2:$B$896,A23,거래내역!$L$2:$L$896,"보유중")</f>
        <v>0</v>
      </c>
      <c r="F23" s="11" t="n">
        <f aca="false">IFERROR(C23/(C23+D23),0)</f>
        <v>0.0526315789473684</v>
      </c>
      <c r="G23" s="12" t="n">
        <f aca="false">SUMIFS(거래내역!$N$2:$N$896,거래내역!$B$2:$B$896,A23,거래내역!$L$2:$L$896,"&lt;&gt;보유중")</f>
        <v>-63565</v>
      </c>
      <c r="H23" s="13" t="n">
        <f aca="false">IFERROR(AVERAGEIFS(거래내역!$O$2:$O$896,거래내역!$B$2:$B$896,A23,거래내역!$L$2:$L$896,"&lt;&gt;보유중"),0)</f>
        <v>-0.0369387764002278</v>
      </c>
      <c r="I23" s="12" t="n">
        <f aca="false">I22+G23</f>
        <v>380731</v>
      </c>
    </row>
    <row r="24" customFormat="false" ht="15" hidden="false" customHeight="false" outlineLevel="0" collapsed="false">
      <c r="A24" s="9" t="s">
        <v>71</v>
      </c>
      <c r="B24" s="10" t="n">
        <f aca="false">COUNTIFS(거래내역!$B$2:$B$896,A24)</f>
        <v>19</v>
      </c>
      <c r="C24" s="10" t="n">
        <f aca="false">COUNTIFS(거래내역!$B$2:$B$896,A24,거래내역!$L$2:$L$896,"익절")</f>
        <v>5</v>
      </c>
      <c r="D24" s="10" t="n">
        <f aca="false">COUNTIFS(거래내역!$B$2:$B$896,A24,거래내역!$L$2:$L$896,"손절")</f>
        <v>13</v>
      </c>
      <c r="E24" s="10" t="n">
        <f aca="false">COUNTIFS(거래내역!$B$2:$B$896,A24,거래내역!$L$2:$L$896,"보유중")</f>
        <v>1</v>
      </c>
      <c r="F24" s="11" t="n">
        <f aca="false">IFERROR(C24/(C24+D24),0)</f>
        <v>0.277777777777778</v>
      </c>
      <c r="G24" s="12" t="n">
        <f aca="false">SUMIFS(거래내역!$N$2:$N$896,거래내역!$B$2:$B$896,A24,거래내역!$L$2:$L$896,"&lt;&gt;보유중")</f>
        <v>31905</v>
      </c>
      <c r="H24" s="13" t="n">
        <f aca="false">IFERROR(AVERAGEIFS(거래내역!$O$2:$O$896,거래내역!$B$2:$B$896,A24,거래내역!$L$2:$L$896,"&lt;&gt;보유중"),0)</f>
        <v>0.0207430672992457</v>
      </c>
      <c r="I24" s="12" t="n">
        <f aca="false">I23+G24</f>
        <v>412636</v>
      </c>
    </row>
    <row r="25" customFormat="false" ht="15" hidden="false" customHeight="false" outlineLevel="0" collapsed="false">
      <c r="A25" s="9" t="s">
        <v>72</v>
      </c>
      <c r="B25" s="10" t="n">
        <f aca="false">COUNTIFS(거래내역!$B$2:$B$896,A25)</f>
        <v>23</v>
      </c>
      <c r="C25" s="10" t="n">
        <f aca="false">COUNTIFS(거래내역!$B$2:$B$896,A25,거래내역!$L$2:$L$896,"익절")</f>
        <v>8</v>
      </c>
      <c r="D25" s="10" t="n">
        <f aca="false">COUNTIFS(거래내역!$B$2:$B$896,A25,거래내역!$L$2:$L$896,"손절")</f>
        <v>14</v>
      </c>
      <c r="E25" s="10" t="n">
        <f aca="false">COUNTIFS(거래내역!$B$2:$B$896,A25,거래내역!$L$2:$L$896,"보유중")</f>
        <v>1</v>
      </c>
      <c r="F25" s="11" t="n">
        <f aca="false">IFERROR(C25/(C25+D25),0)</f>
        <v>0.363636363636364</v>
      </c>
      <c r="G25" s="12" t="n">
        <f aca="false">SUMIFS(거래내역!$N$2:$N$896,거래내역!$B$2:$B$896,A25,거래내역!$L$2:$L$896,"&lt;&gt;보유중")</f>
        <v>88052</v>
      </c>
      <c r="H25" s="13" t="n">
        <f aca="false">IFERROR(AVERAGEIFS(거래내역!$O$2:$O$896,거래내역!$B$2:$B$896,A25,거래내역!$L$2:$L$896,"&lt;&gt;보유중"),0)</f>
        <v>0.0468104879162143</v>
      </c>
      <c r="I25" s="12" t="n">
        <f aca="false">I24+G25</f>
        <v>500688</v>
      </c>
    </row>
    <row r="26" customFormat="false" ht="15" hidden="false" customHeight="false" outlineLevel="0" collapsed="false">
      <c r="A26" s="9" t="s">
        <v>73</v>
      </c>
      <c r="B26" s="10" t="n">
        <f aca="false">COUNTIFS(거래내역!$B$2:$B$896,A26)</f>
        <v>23</v>
      </c>
      <c r="C26" s="10" t="n">
        <f aca="false">COUNTIFS(거래내역!$B$2:$B$896,A26,거래내역!$L$2:$L$896,"익절")</f>
        <v>4</v>
      </c>
      <c r="D26" s="10" t="n">
        <f aca="false">COUNTIFS(거래내역!$B$2:$B$896,A26,거래내역!$L$2:$L$896,"손절")</f>
        <v>15</v>
      </c>
      <c r="E26" s="10" t="n">
        <f aca="false">COUNTIFS(거래내역!$B$2:$B$896,A26,거래내역!$L$2:$L$896,"보유중")</f>
        <v>4</v>
      </c>
      <c r="F26" s="11" t="n">
        <f aca="false">IFERROR(C26/(C26+D26),0)</f>
        <v>0.210526315789474</v>
      </c>
      <c r="G26" s="12" t="n">
        <f aca="false">SUMIFS(거래내역!$N$2:$N$896,거래내역!$B$2:$B$896,A26,거래내역!$L$2:$L$896,"&lt;&gt;보유중")</f>
        <v>-9455</v>
      </c>
      <c r="H26" s="13" t="n">
        <f aca="false">IFERROR(AVERAGEIFS(거래내역!$O$2:$O$896,거래내역!$B$2:$B$896,A26,거래내역!$L$2:$L$896,"&lt;&gt;보유중"),0)</f>
        <v>-0.00727811025944395</v>
      </c>
      <c r="I26" s="12" t="n">
        <f aca="false">I25+G26</f>
        <v>491233</v>
      </c>
    </row>
    <row r="27" customFormat="false" ht="15" hidden="false" customHeight="false" outlineLevel="0" collapsed="false">
      <c r="A27" s="9" t="s">
        <v>74</v>
      </c>
      <c r="B27" s="10" t="n">
        <f aca="false">COUNTIFS(거래내역!$B$2:$B$896,A27)</f>
        <v>18</v>
      </c>
      <c r="C27" s="10" t="n">
        <f aca="false">COUNTIFS(거래내역!$B$2:$B$896,A27,거래내역!$L$2:$L$896,"익절")</f>
        <v>3</v>
      </c>
      <c r="D27" s="10" t="n">
        <f aca="false">COUNTIFS(거래내역!$B$2:$B$896,A27,거래내역!$L$2:$L$896,"손절")</f>
        <v>12</v>
      </c>
      <c r="E27" s="10" t="n">
        <f aca="false">COUNTIFS(거래내역!$B$2:$B$896,A27,거래내역!$L$2:$L$896,"보유중")</f>
        <v>3</v>
      </c>
      <c r="F27" s="11" t="n">
        <f aca="false">IFERROR(C27/(C27+D27),0)</f>
        <v>0.2</v>
      </c>
      <c r="G27" s="12" t="n">
        <f aca="false">SUMIFS(거래내역!$N$2:$N$896,거래내역!$B$2:$B$896,A27,거래내역!$L$2:$L$896,"&lt;&gt;보유중")</f>
        <v>1679</v>
      </c>
      <c r="H27" s="13" t="n">
        <f aca="false">IFERROR(AVERAGEIFS(거래내역!$O$2:$O$896,거래내역!$B$2:$B$896,A27,거래내역!$L$2:$L$896,"&lt;&gt;보유중"),0)</f>
        <v>-0.000639828307754555</v>
      </c>
      <c r="I27" s="12" t="n">
        <f aca="false">I26+G27</f>
        <v>492912</v>
      </c>
    </row>
    <row r="28" customFormat="false" ht="15" hidden="false" customHeight="false" outlineLevel="0" collapsed="false">
      <c r="A28" s="9" t="s">
        <v>75</v>
      </c>
      <c r="B28" s="10" t="n">
        <f aca="false">COUNTIFS(거래내역!$B$2:$B$896,A28)</f>
        <v>37</v>
      </c>
      <c r="C28" s="10" t="n">
        <f aca="false">COUNTIFS(거래내역!$B$2:$B$896,A28,거래내역!$L$2:$L$896,"익절")</f>
        <v>14</v>
      </c>
      <c r="D28" s="10" t="n">
        <f aca="false">COUNTIFS(거래내역!$B$2:$B$896,A28,거래내역!$L$2:$L$896,"손절")</f>
        <v>23</v>
      </c>
      <c r="E28" s="10" t="n">
        <f aca="false">COUNTIFS(거래내역!$B$2:$B$896,A28,거래내역!$L$2:$L$896,"보유중")</f>
        <v>0</v>
      </c>
      <c r="F28" s="11" t="n">
        <f aca="false">IFERROR(C28/(C28+D28),0)</f>
        <v>0.378378378378378</v>
      </c>
      <c r="G28" s="12" t="n">
        <f aca="false">SUMIFS(거래내역!$N$2:$N$896,거래내역!$B$2:$B$896,A28,거래내역!$L$2:$L$896,"&lt;&gt;보유중")</f>
        <v>138879</v>
      </c>
      <c r="H28" s="13" t="n">
        <f aca="false">IFERROR(AVERAGEIFS(거래내역!$O$2:$O$896,거래내역!$B$2:$B$896,A28,거래내역!$L$2:$L$896,"&lt;&gt;보유중"),0)</f>
        <v>0.0420883628968635</v>
      </c>
      <c r="I28" s="12" t="n">
        <f aca="false">I27+G28</f>
        <v>631791</v>
      </c>
    </row>
    <row r="29" customFormat="false" ht="15" hidden="false" customHeight="false" outlineLevel="0" collapsed="false">
      <c r="A29" s="9" t="s">
        <v>76</v>
      </c>
      <c r="B29" s="10" t="n">
        <f aca="false">COUNTIFS(거래내역!$B$2:$B$896,A29)</f>
        <v>33</v>
      </c>
      <c r="C29" s="10" t="n">
        <f aca="false">COUNTIFS(거래내역!$B$2:$B$896,A29,거래내역!$L$2:$L$896,"익절")</f>
        <v>10</v>
      </c>
      <c r="D29" s="10" t="n">
        <f aca="false">COUNTIFS(거래내역!$B$2:$B$896,A29,거래내역!$L$2:$L$896,"손절")</f>
        <v>23</v>
      </c>
      <c r="E29" s="10" t="n">
        <f aca="false">COUNTIFS(거래내역!$B$2:$B$896,A29,거래내역!$L$2:$L$896,"보유중")</f>
        <v>0</v>
      </c>
      <c r="F29" s="11" t="n">
        <f aca="false">IFERROR(C29/(C29+D29),0)</f>
        <v>0.303030303030303</v>
      </c>
      <c r="G29" s="12" t="n">
        <f aca="false">SUMIFS(거래내역!$N$2:$N$896,거래내역!$B$2:$B$896,A29,거래내역!$L$2:$L$896,"&lt;&gt;보유중")</f>
        <v>67343</v>
      </c>
      <c r="H29" s="13" t="n">
        <f aca="false">IFERROR(AVERAGEIFS(거래내역!$O$2:$O$896,거래내역!$B$2:$B$896,A29,거래내역!$L$2:$L$896,"&lt;&gt;보유중"),0)</f>
        <v>0.0233465953086879</v>
      </c>
      <c r="I29" s="12" t="n">
        <f aca="false">I28+G29</f>
        <v>699134</v>
      </c>
    </row>
    <row r="30" customFormat="false" ht="15" hidden="false" customHeight="false" outlineLevel="0" collapsed="false">
      <c r="A30" s="9" t="s">
        <v>77</v>
      </c>
      <c r="B30" s="10" t="n">
        <f aca="false">COUNTIFS(거래내역!$B$2:$B$896,A30)</f>
        <v>38</v>
      </c>
      <c r="C30" s="10" t="n">
        <f aca="false">COUNTIFS(거래내역!$B$2:$B$896,A30,거래내역!$L$2:$L$896,"익절")</f>
        <v>7</v>
      </c>
      <c r="D30" s="10" t="n">
        <f aca="false">COUNTIFS(거래내역!$B$2:$B$896,A30,거래내역!$L$2:$L$896,"손절")</f>
        <v>31</v>
      </c>
      <c r="E30" s="10" t="n">
        <f aca="false">COUNTIFS(거래내역!$B$2:$B$896,A30,거래내역!$L$2:$L$896,"보유중")</f>
        <v>0</v>
      </c>
      <c r="F30" s="11" t="n">
        <f aca="false">IFERROR(C30/(C30+D30),0)</f>
        <v>0.184210526315789</v>
      </c>
      <c r="G30" s="12" t="n">
        <f aca="false">SUMIFS(거래내역!$N$2:$N$896,거래내역!$B$2:$B$896,A30,거래내역!$L$2:$L$896,"&lt;&gt;보유중")</f>
        <v>-18098</v>
      </c>
      <c r="H30" s="13" t="n">
        <f aca="false">IFERROR(AVERAGEIFS(거래내역!$O$2:$O$896,거래내역!$B$2:$B$896,A30,거래내역!$L$2:$L$896,"&lt;&gt;보유중"),0)</f>
        <v>-0.00723797425594503</v>
      </c>
      <c r="I30" s="12" t="n">
        <f aca="false">I29+G30</f>
        <v>681036</v>
      </c>
    </row>
    <row r="31" customFormat="false" ht="15" hidden="false" customHeight="false" outlineLevel="0" collapsed="false">
      <c r="A31" s="9" t="s">
        <v>78</v>
      </c>
      <c r="B31" s="10" t="n">
        <f aca="false">COUNTIFS(거래내역!$B$2:$B$896,A31)</f>
        <v>40</v>
      </c>
      <c r="C31" s="10" t="n">
        <f aca="false">COUNTIFS(거래내역!$B$2:$B$896,A31,거래내역!$L$2:$L$896,"익절")</f>
        <v>12</v>
      </c>
      <c r="D31" s="10" t="n">
        <f aca="false">COUNTIFS(거래내역!$B$2:$B$896,A31,거래내역!$L$2:$L$896,"손절")</f>
        <v>28</v>
      </c>
      <c r="E31" s="10" t="n">
        <f aca="false">COUNTIFS(거래내역!$B$2:$B$896,A31,거래내역!$L$2:$L$896,"보유중")</f>
        <v>0</v>
      </c>
      <c r="F31" s="11" t="n">
        <f aca="false">IFERROR(C31/(C31+D31),0)</f>
        <v>0.3</v>
      </c>
      <c r="G31" s="12" t="n">
        <f aca="false">SUMIFS(거래내역!$N$2:$N$896,거래내역!$B$2:$B$896,A31,거래내역!$L$2:$L$896,"&lt;&gt;보유중")</f>
        <v>62481</v>
      </c>
      <c r="H31" s="13" t="n">
        <f aca="false">IFERROR(AVERAGEIFS(거래내역!$O$2:$O$896,거래내역!$B$2:$B$896,A31,거래내역!$L$2:$L$896,"&lt;&gt;보유중"),0)</f>
        <v>0.0240306599057548</v>
      </c>
      <c r="I31" s="12" t="n">
        <f aca="false">I30+G31</f>
        <v>743517</v>
      </c>
    </row>
    <row r="32" customFormat="false" ht="15" hidden="false" customHeight="false" outlineLevel="0" collapsed="false">
      <c r="A32" s="9" t="s">
        <v>79</v>
      </c>
      <c r="B32" s="10" t="n">
        <f aca="false">COUNTIFS(거래내역!$B$2:$B$896,A32)</f>
        <v>20</v>
      </c>
      <c r="C32" s="10" t="n">
        <f aca="false">COUNTIFS(거래내역!$B$2:$B$896,A32,거래내역!$L$2:$L$896,"익절")</f>
        <v>6</v>
      </c>
      <c r="D32" s="10" t="n">
        <f aca="false">COUNTIFS(거래내역!$B$2:$B$896,A32,거래내역!$L$2:$L$896,"손절")</f>
        <v>14</v>
      </c>
      <c r="E32" s="10" t="n">
        <f aca="false">COUNTIFS(거래내역!$B$2:$B$896,A32,거래내역!$L$2:$L$896,"보유중")</f>
        <v>0</v>
      </c>
      <c r="F32" s="11" t="n">
        <f aca="false">IFERROR(C32/(C32+D32),0)</f>
        <v>0.3</v>
      </c>
      <c r="G32" s="12" t="n">
        <f aca="false">SUMIFS(거래내역!$N$2:$N$896,거래내역!$B$2:$B$896,A32,거래내역!$L$2:$L$896,"&lt;&gt;보유중")</f>
        <v>26714</v>
      </c>
      <c r="H32" s="13" t="n">
        <f aca="false">IFERROR(AVERAGEIFS(거래내역!$O$2:$O$896,거래내역!$B$2:$B$896,A32,거래내역!$L$2:$L$896,"&lt;&gt;보유중"),0)</f>
        <v>0.0239177964833539</v>
      </c>
      <c r="I32" s="12" t="n">
        <f aca="false">I31+G32</f>
        <v>770231</v>
      </c>
    </row>
    <row r="33" customFormat="false" ht="15" hidden="false" customHeight="false" outlineLevel="0" collapsed="false">
      <c r="A33" s="9" t="s">
        <v>80</v>
      </c>
      <c r="B33" s="10" t="n">
        <f aca="false">COUNTIFS(거래내역!$B$2:$B$896,A33)</f>
        <v>29</v>
      </c>
      <c r="C33" s="10" t="n">
        <f aca="false">COUNTIFS(거래내역!$B$2:$B$896,A33,거래내역!$L$2:$L$896,"익절")</f>
        <v>2</v>
      </c>
      <c r="D33" s="10" t="n">
        <f aca="false">COUNTIFS(거래내역!$B$2:$B$896,A33,거래내역!$L$2:$L$896,"손절")</f>
        <v>27</v>
      </c>
      <c r="E33" s="10" t="n">
        <f aca="false">COUNTIFS(거래내역!$B$2:$B$896,A33,거래내역!$L$2:$L$896,"보유중")</f>
        <v>0</v>
      </c>
      <c r="F33" s="11" t="n">
        <f aca="false">IFERROR(C33/(C33+D33),0)</f>
        <v>0.0689655172413793</v>
      </c>
      <c r="G33" s="12" t="n">
        <f aca="false">SUMIFS(거래내역!$N$2:$N$896,거래내역!$B$2:$B$896,A33,거래내역!$L$2:$L$896,"&lt;&gt;보유중")</f>
        <v>-75859</v>
      </c>
      <c r="H33" s="13" t="n">
        <f aca="false">IFERROR(AVERAGEIFS(거래내역!$O$2:$O$896,거래내역!$B$2:$B$896,A33,거래내역!$L$2:$L$896,"&lt;&gt;보유중"),0)</f>
        <v>-0.0337931093255868</v>
      </c>
      <c r="I33" s="12" t="n">
        <f aca="false">I32+G33</f>
        <v>694372</v>
      </c>
    </row>
    <row r="34" customFormat="false" ht="15" hidden="false" customHeight="false" outlineLevel="0" collapsed="false">
      <c r="A34" s="9" t="s">
        <v>81</v>
      </c>
      <c r="B34" s="10" t="n">
        <f aca="false">COUNTIFS(거래내역!$B$2:$B$896,A34)</f>
        <v>27</v>
      </c>
      <c r="C34" s="10" t="n">
        <f aca="false">COUNTIFS(거래내역!$B$2:$B$896,A34,거래내역!$L$2:$L$896,"익절")</f>
        <v>1</v>
      </c>
      <c r="D34" s="10" t="n">
        <f aca="false">COUNTIFS(거래내역!$B$2:$B$896,A34,거래내역!$L$2:$L$896,"손절")</f>
        <v>25</v>
      </c>
      <c r="E34" s="10" t="n">
        <f aca="false">COUNTIFS(거래내역!$B$2:$B$896,A34,거래내역!$L$2:$L$896,"보유중")</f>
        <v>1</v>
      </c>
      <c r="F34" s="11" t="n">
        <f aca="false">IFERROR(C34/(C34+D34),0)</f>
        <v>0.0384615384615385</v>
      </c>
      <c r="G34" s="12" t="n">
        <f aca="false">SUMIFS(거래내역!$N$2:$N$896,거래내역!$B$2:$B$896,A34,거래내역!$L$2:$L$896,"&lt;&gt;보유중")</f>
        <v>-102574</v>
      </c>
      <c r="H34" s="13" t="n">
        <f aca="false">IFERROR(AVERAGEIFS(거래내역!$O$2:$O$896,거래내역!$B$2:$B$896,A34,거래내역!$L$2:$L$896,"&lt;&gt;보유중"),0)</f>
        <v>-0.0515339032646362</v>
      </c>
      <c r="I34" s="12" t="n">
        <f aca="false">I33+G34</f>
        <v>591798</v>
      </c>
    </row>
    <row r="35" customFormat="false" ht="15" hidden="false" customHeight="false" outlineLevel="0" collapsed="false">
      <c r="A35" s="9" t="s">
        <v>82</v>
      </c>
      <c r="B35" s="10" t="n">
        <f aca="false">COUNTIFS(거래내역!$B$2:$B$896,A35)</f>
        <v>30</v>
      </c>
      <c r="C35" s="10" t="n">
        <f aca="false">COUNTIFS(거래내역!$B$2:$B$896,A35,거래내역!$L$2:$L$896,"익절")</f>
        <v>2</v>
      </c>
      <c r="D35" s="10" t="n">
        <f aca="false">COUNTIFS(거래내역!$B$2:$B$896,A35,거래내역!$L$2:$L$896,"손절")</f>
        <v>27</v>
      </c>
      <c r="E35" s="10" t="n">
        <f aca="false">COUNTIFS(거래내역!$B$2:$B$896,A35,거래내역!$L$2:$L$896,"보유중")</f>
        <v>1</v>
      </c>
      <c r="F35" s="11" t="n">
        <f aca="false">IFERROR(C35/(C35+D35),0)</f>
        <v>0.0689655172413793</v>
      </c>
      <c r="G35" s="12" t="n">
        <f aca="false">SUMIFS(거래내역!$N$2:$N$896,거래내역!$B$2:$B$896,A35,거래내역!$L$2:$L$896,"&lt;&gt;보유중")</f>
        <v>-89616</v>
      </c>
      <c r="H35" s="13" t="n">
        <f aca="false">IFERROR(AVERAGEIFS(거래내역!$O$2:$O$896,거래내역!$B$2:$B$896,A35,거래내역!$L$2:$L$896,"&lt;&gt;보유중"),0)</f>
        <v>-0.0377003523638826</v>
      </c>
      <c r="I35" s="12" t="n">
        <f aca="false">I34+G35</f>
        <v>502182</v>
      </c>
    </row>
    <row r="36" customFormat="false" ht="15" hidden="false" customHeight="false" outlineLevel="0" collapsed="false">
      <c r="A36" s="9" t="s">
        <v>83</v>
      </c>
      <c r="B36" s="10" t="n">
        <f aca="false">COUNTIFS(거래내역!$B$2:$B$896,A36)</f>
        <v>28</v>
      </c>
      <c r="C36" s="10" t="n">
        <f aca="false">COUNTIFS(거래내역!$B$2:$B$896,A36,거래내역!$L$2:$L$896,"익절")</f>
        <v>6</v>
      </c>
      <c r="D36" s="10" t="n">
        <f aca="false">COUNTIFS(거래내역!$B$2:$B$896,A36,거래내역!$L$2:$L$896,"손절")</f>
        <v>14</v>
      </c>
      <c r="E36" s="10" t="n">
        <f aca="false">COUNTIFS(거래내역!$B$2:$B$896,A36,거래내역!$L$2:$L$896,"보유중")</f>
        <v>8</v>
      </c>
      <c r="F36" s="11" t="n">
        <f aca="false">IFERROR(C36/(C36+D36),0)</f>
        <v>0.3</v>
      </c>
      <c r="G36" s="12" t="n">
        <f aca="false">SUMIFS(거래내역!$N$2:$N$896,거래내역!$B$2:$B$896,A36,거래내역!$L$2:$L$896,"&lt;&gt;보유중")</f>
        <v>38917</v>
      </c>
      <c r="H36" s="13" t="n">
        <f aca="false">IFERROR(AVERAGEIFS(거래내역!$O$2:$O$896,거래내역!$B$2:$B$896,A36,거래내역!$L$2:$L$896,"&lt;&gt;보유중"),0)</f>
        <v>0.0243332621988609</v>
      </c>
      <c r="I36" s="12" t="n">
        <f aca="false">I35+G36</f>
        <v>541099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7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10" min="8" style="0" width="12"/>
  </cols>
  <sheetData>
    <row r="1" customFormat="false" ht="19.4" hidden="false" customHeight="false" outlineLevel="0" collapsed="false">
      <c r="A1" s="6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26" t="s">
        <v>86</v>
      </c>
    </row>
    <row r="5" customFormat="false" ht="15" hidden="false" customHeight="false" outlineLevel="0" collapsed="false">
      <c r="A5" s="7" t="s">
        <v>87</v>
      </c>
      <c r="B5" s="7" t="s">
        <v>88</v>
      </c>
      <c r="C5" s="7" t="s">
        <v>31</v>
      </c>
      <c r="D5" s="7" t="s">
        <v>32</v>
      </c>
      <c r="E5" s="7" t="s">
        <v>34</v>
      </c>
      <c r="F5" s="7" t="s">
        <v>89</v>
      </c>
      <c r="G5" s="7" t="s">
        <v>49</v>
      </c>
      <c r="H5" s="8" t="s">
        <v>90</v>
      </c>
      <c r="I5" s="8" t="s">
        <v>91</v>
      </c>
      <c r="J5" s="8" t="s">
        <v>92</v>
      </c>
    </row>
    <row r="6" customFormat="false" ht="15" hidden="false" customHeight="false" outlineLevel="0" collapsed="false">
      <c r="A6" s="3" t="s">
        <v>93</v>
      </c>
      <c r="B6" s="10" t="n">
        <f aca="false">COUNTIFS(거래내역!$AB$2:$AB$896,A6,거래내역!$L$2:$L$896,"&lt;&gt;보유중")</f>
        <v>523</v>
      </c>
      <c r="C6" s="10" t="n">
        <f aca="false">COUNTIFS(거래내역!$AB$2:$AB$896,A6,거래내역!$L$2:$L$896,"익절")</f>
        <v>137</v>
      </c>
      <c r="D6" s="10" t="n">
        <f aca="false">COUNTIFS(거래내역!$AB$2:$AB$896,A6,거래내역!$L$2:$L$896,"손절")</f>
        <v>386</v>
      </c>
      <c r="E6" s="11" t="n">
        <f aca="false">IFERROR(C6/(C6+D6),0)</f>
        <v>0.261950286806883</v>
      </c>
      <c r="F6" s="12" t="n">
        <f aca="false">SUMIFS(거래내역!$N$2:$N$896,거래내역!$AB$2:$AB$896,A6,거래내역!$L$2:$L$896,"&lt;&gt;보유중")</f>
        <v>548508</v>
      </c>
      <c r="G6" s="13" t="n">
        <f aca="false">IFERROR(AVERAGEIFS(거래내역!$O$2:$O$896,거래내역!$AB$2:$AB$896,A6,거래내역!$L$2:$L$896,"&lt;&gt;보유중"),0)</f>
        <v>0.0135763522624777</v>
      </c>
      <c r="H6" s="12" t="n">
        <f aca="false">SUMIFS(거래내역!$N$2:$N$896,거래내역!$AB$2:$AB$896,$A6,거래내역!$L$2:$L$896,"&lt;&gt;보유중",거래내역!$A$2:$A$896,2024)</f>
        <v>-9727</v>
      </c>
      <c r="I6" s="12" t="n">
        <f aca="false">SUMIFS(거래내역!$N$2:$N$896,거래내역!$AB$2:$AB$896,$A6,거래내역!$L$2:$L$896,"&lt;&gt;보유중",거래내역!$A$2:$A$896,2025)</f>
        <v>357260</v>
      </c>
      <c r="J6" s="12" t="n">
        <f aca="false">SUMIFS(거래내역!$N$2:$N$896,거래내역!$AB$2:$AB$896,$A6,거래내역!$L$2:$L$896,"&lt;&gt;보유중",거래내역!$A$2:$A$896,2026)</f>
        <v>200975</v>
      </c>
    </row>
    <row r="7" customFormat="false" ht="15" hidden="false" customHeight="false" outlineLevel="0" collapsed="false">
      <c r="A7" s="3" t="s">
        <v>94</v>
      </c>
      <c r="B7" s="10" t="n">
        <f aca="false">COUNTIFS(거래내역!$AB$2:$AB$896,A7,거래내역!$L$2:$L$896,"&lt;&gt;보유중")</f>
        <v>343</v>
      </c>
      <c r="C7" s="10" t="n">
        <f aca="false">COUNTIFS(거래내역!$AB$2:$AB$896,A7,거래내역!$L$2:$L$896,"익절")</f>
        <v>68</v>
      </c>
      <c r="D7" s="10" t="n">
        <f aca="false">COUNTIFS(거래내역!$AB$2:$AB$896,A7,거래내역!$L$2:$L$896,"손절")</f>
        <v>275</v>
      </c>
      <c r="E7" s="11" t="n">
        <f aca="false">IFERROR(C7/(C7+D7),0)</f>
        <v>0.198250728862974</v>
      </c>
      <c r="F7" s="12" t="n">
        <f aca="false">SUMIFS(거래내역!$N$2:$N$896,거래내역!$AB$2:$AB$896,A7,거래내역!$L$2:$L$896,"&lt;&gt;보유중")</f>
        <v>-7409</v>
      </c>
      <c r="G7" s="13" t="n">
        <f aca="false">IFERROR(AVERAGEIFS(거래내역!$O$2:$O$896,거래내역!$AB$2:$AB$896,A7,거래내역!$L$2:$L$896,"&lt;&gt;보유중"),0)</f>
        <v>-0.00195483951944961</v>
      </c>
      <c r="H7" s="12" t="n">
        <f aca="false">SUMIFS(거래내역!$N$2:$N$896,거래내역!$AB$2:$AB$896,$A7,거래내역!$L$2:$L$896,"&lt;&gt;보유중",거래내역!$A$2:$A$896,2024)</f>
        <v>-14546</v>
      </c>
      <c r="I7" s="12" t="n">
        <f aca="false">SUMIFS(거래내역!$N$2:$N$896,거래내역!$AB$2:$AB$896,$A7,거래내역!$L$2:$L$896,"&lt;&gt;보유중",거래내역!$A$2:$A$896,2025)</f>
        <v>159925</v>
      </c>
      <c r="J7" s="12" t="n">
        <f aca="false">SUMIFS(거래내역!$N$2:$N$896,거래내역!$AB$2:$AB$896,$A7,거래내역!$L$2:$L$896,"&lt;&gt;보유중",거래내역!$A$2:$A$896,2026)</f>
        <v>-152788</v>
      </c>
    </row>
    <row r="9" customFormat="false" ht="15" hidden="false" customHeight="false" outlineLevel="0" collapsed="false">
      <c r="A9" s="26" t="s">
        <v>95</v>
      </c>
    </row>
    <row r="10" customFormat="false" ht="15" hidden="false" customHeight="false" outlineLevel="0" collapsed="false">
      <c r="A10" s="7" t="s">
        <v>87</v>
      </c>
      <c r="B10" s="7" t="s">
        <v>88</v>
      </c>
      <c r="C10" s="7" t="s">
        <v>31</v>
      </c>
      <c r="D10" s="7" t="s">
        <v>32</v>
      </c>
      <c r="E10" s="7" t="s">
        <v>34</v>
      </c>
      <c r="F10" s="7" t="s">
        <v>89</v>
      </c>
      <c r="G10" s="7" t="s">
        <v>49</v>
      </c>
      <c r="H10" s="8" t="s">
        <v>90</v>
      </c>
      <c r="I10" s="8" t="s">
        <v>91</v>
      </c>
      <c r="J10" s="8" t="s">
        <v>92</v>
      </c>
    </row>
    <row r="11" customFormat="false" ht="15" hidden="false" customHeight="false" outlineLevel="0" collapsed="false">
      <c r="A11" s="5" t="s">
        <v>96</v>
      </c>
      <c r="B11" s="10" t="n">
        <f aca="false">COUNTIFS(거래내역!$AA$2:$AA$896,A11,거래내역!$L$2:$L$896,"&lt;&gt;보유중")</f>
        <v>335</v>
      </c>
      <c r="C11" s="10" t="n">
        <f aca="false">COUNTIFS(거래내역!$AA$2:$AA$896,A11,거래내역!$L$2:$L$896,"익절")</f>
        <v>73</v>
      </c>
      <c r="D11" s="10" t="n">
        <f aca="false">COUNTIFS(거래내역!$AA$2:$AA$896,A11,거래내역!$L$2:$L$896,"손절")</f>
        <v>262</v>
      </c>
      <c r="E11" s="11" t="n">
        <f aca="false">IFERROR(C11/(C11+D11),0)</f>
        <v>0.217910447761194</v>
      </c>
      <c r="F11" s="12" t="n">
        <f aca="false">SUMIFS(거래내역!$N$2:$N$896,거래내역!$AA$2:$AA$896,A11,거래내역!$L$2:$L$896,"&lt;&gt;보유중")</f>
        <v>134005</v>
      </c>
      <c r="G11" s="13" t="n">
        <f aca="false">IFERROR(AVERAGEIFS(거래내역!$O$2:$O$896,거래내역!$AA$2:$AA$896,A11,거래내역!$L$2:$L$896,"&lt;&gt;보유중"),0)</f>
        <v>0.00312783496122946</v>
      </c>
      <c r="H11" s="12" t="n">
        <f aca="false">SUMIFS(거래내역!$N$2:$N$896,거래내역!$AA$2:$AA$896,$A11,거래내역!$L$2:$L$896,"&lt;&gt;보유중",거래내역!$A$2:$A$896,2024)</f>
        <v>17644</v>
      </c>
      <c r="I11" s="12" t="n">
        <f aca="false">SUMIFS(거래내역!$N$2:$N$896,거래내역!$AA$2:$AA$896,$A11,거래내역!$L$2:$L$896,"&lt;&gt;보유중",거래내역!$A$2:$A$896,2025)</f>
        <v>207168</v>
      </c>
      <c r="J11" s="12" t="n">
        <f aca="false">SUMIFS(거래내역!$N$2:$N$896,거래내역!$AA$2:$AA$896,$A11,거래내역!$L$2:$L$896,"&lt;&gt;보유중",거래내역!$A$2:$A$896,2026)</f>
        <v>-90807</v>
      </c>
    </row>
    <row r="12" customFormat="false" ht="15" hidden="false" customHeight="false" outlineLevel="0" collapsed="false">
      <c r="A12" s="5" t="s">
        <v>97</v>
      </c>
      <c r="B12" s="10" t="n">
        <f aca="false">COUNTIFS(거래내역!$AA$2:$AA$896,A12,거래내역!$L$2:$L$896,"&lt;&gt;보유중")</f>
        <v>531</v>
      </c>
      <c r="C12" s="10" t="n">
        <f aca="false">COUNTIFS(거래내역!$AA$2:$AA$896,A12,거래내역!$L$2:$L$896,"익절")</f>
        <v>132</v>
      </c>
      <c r="D12" s="10" t="n">
        <f aca="false">COUNTIFS(거래내역!$AA$2:$AA$896,A12,거래내역!$L$2:$L$896,"손절")</f>
        <v>399</v>
      </c>
      <c r="E12" s="11" t="n">
        <f aca="false">IFERROR(C12/(C12+D12),0)</f>
        <v>0.248587570621469</v>
      </c>
      <c r="F12" s="12" t="n">
        <f aca="false">SUMIFS(거래내역!$N$2:$N$896,거래내역!$AA$2:$AA$896,A12,거래내역!$L$2:$L$896,"&lt;&gt;보유중")</f>
        <v>407094</v>
      </c>
      <c r="G12" s="13" t="n">
        <f aca="false">IFERROR(AVERAGEIFS(거래내역!$O$2:$O$896,거래내역!$AA$2:$AA$896,A12,거래내역!$L$2:$L$896,"&lt;&gt;보유중"),0)</f>
        <v>0.0101357769606267</v>
      </c>
      <c r="H12" s="12" t="n">
        <f aca="false">SUMIFS(거래내역!$N$2:$N$896,거래내역!$AA$2:$AA$896,$A12,거래내역!$L$2:$L$896,"&lt;&gt;보유중",거래내역!$A$2:$A$896,2024)</f>
        <v>-41917</v>
      </c>
      <c r="I12" s="12" t="n">
        <f aca="false">SUMIFS(거래내역!$N$2:$N$896,거래내역!$AA$2:$AA$896,$A12,거래내역!$L$2:$L$896,"&lt;&gt;보유중",거래내역!$A$2:$A$896,2025)</f>
        <v>310017</v>
      </c>
      <c r="J12" s="12" t="n">
        <f aca="false">SUMIFS(거래내역!$N$2:$N$896,거래내역!$AA$2:$AA$896,$A12,거래내역!$L$2:$L$896,"&lt;&gt;보유중",거래내역!$A$2:$A$896,2026)</f>
        <v>138994</v>
      </c>
    </row>
    <row r="14" customFormat="false" ht="15" hidden="false" customHeight="false" outlineLevel="0" collapsed="false">
      <c r="A14" s="26" t="s">
        <v>98</v>
      </c>
    </row>
    <row r="15" customFormat="false" ht="15" hidden="false" customHeight="false" outlineLevel="0" collapsed="false">
      <c r="A15" s="7" t="s">
        <v>87</v>
      </c>
      <c r="B15" s="7" t="s">
        <v>88</v>
      </c>
      <c r="C15" s="7" t="s">
        <v>31</v>
      </c>
      <c r="D15" s="7" t="s">
        <v>32</v>
      </c>
      <c r="E15" s="7" t="s">
        <v>34</v>
      </c>
      <c r="F15" s="7" t="s">
        <v>89</v>
      </c>
      <c r="G15" s="7" t="s">
        <v>49</v>
      </c>
      <c r="H15" s="8" t="s">
        <v>90</v>
      </c>
      <c r="I15" s="8" t="s">
        <v>91</v>
      </c>
      <c r="J15" s="8" t="s">
        <v>92</v>
      </c>
    </row>
    <row r="16" customFormat="false" ht="15" hidden="false" customHeight="false" outlineLevel="0" collapsed="false">
      <c r="A16" s="3" t="s">
        <v>99</v>
      </c>
      <c r="B16" s="10" t="n">
        <f aca="false">COUNTIFS(거래내역!$AC$2:$AC$896,A16,거래내역!$L$2:$L$896,"&lt;&gt;보유중")</f>
        <v>96</v>
      </c>
      <c r="C16" s="10" t="n">
        <f aca="false">COUNTIFS(거래내역!$AC$2:$AC$896,A16,거래내역!$L$2:$L$896,"익절")</f>
        <v>31</v>
      </c>
      <c r="D16" s="10" t="n">
        <f aca="false">COUNTIFS(거래내역!$AC$2:$AC$896,A16,거래내역!$L$2:$L$896,"손절")</f>
        <v>65</v>
      </c>
      <c r="E16" s="11" t="n">
        <f aca="false">IFERROR(C16/(C16+D16),0)</f>
        <v>0.322916666666667</v>
      </c>
      <c r="F16" s="12" t="n">
        <f aca="false">SUMIFS(거래내역!$N$2:$N$896,거래내역!$AC$2:$AC$896,A16,거래내역!$L$2:$L$896,"&lt;&gt;보유중")</f>
        <v>213936</v>
      </c>
      <c r="G16" s="13" t="n">
        <f aca="false">IFERROR(AVERAGEIFS(거래내역!$O$2:$O$896,거래내역!$AC$2:$AC$896,A16,거래내역!$L$2:$L$896,"&lt;&gt;보유중"),0)</f>
        <v>0.0297246541518065</v>
      </c>
      <c r="H16" s="12" t="n">
        <f aca="false">SUMIFS(거래내역!$N$2:$N$896,거래내역!$AC$2:$AC$896,$A16,거래내역!$L$2:$L$896,"&lt;&gt;보유중",거래내역!$A$2:$A$896,2024)</f>
        <v>23453</v>
      </c>
      <c r="I16" s="12" t="n">
        <f aca="false">SUMIFS(거래내역!$N$2:$N$896,거래내역!$AC$2:$AC$896,$A16,거래내역!$L$2:$L$896,"&lt;&gt;보유중",거래내역!$A$2:$A$896,2025)</f>
        <v>97937</v>
      </c>
      <c r="J16" s="12" t="n">
        <f aca="false">SUMIFS(거래내역!$N$2:$N$896,거래내역!$AC$2:$AC$896,$A16,거래내역!$L$2:$L$896,"&lt;&gt;보유중",거래내역!$A$2:$A$896,2026)</f>
        <v>92546</v>
      </c>
    </row>
    <row r="17" customFormat="false" ht="15" hidden="false" customHeight="false" outlineLevel="0" collapsed="false">
      <c r="A17" s="3" t="s">
        <v>100</v>
      </c>
      <c r="B17" s="10" t="n">
        <f aca="false">COUNTIFS(거래내역!$AC$2:$AC$896,A17,거래내역!$L$2:$L$896,"&lt;&gt;보유중")</f>
        <v>0</v>
      </c>
      <c r="C17" s="10" t="n">
        <f aca="false">COUNTIFS(거래내역!$AC$2:$AC$896,A17,거래내역!$L$2:$L$896,"익절")</f>
        <v>0</v>
      </c>
      <c r="D17" s="10" t="n">
        <f aca="false">COUNTIFS(거래내역!$AC$2:$AC$896,A17,거래내역!$L$2:$L$896,"손절")</f>
        <v>0</v>
      </c>
      <c r="E17" s="11" t="n">
        <f aca="false">IFERROR(C17/(C17+D17),0)</f>
        <v>0</v>
      </c>
      <c r="F17" s="12" t="n">
        <f aca="false">SUMIFS(거래내역!$N$2:$N$896,거래내역!$AC$2:$AC$896,A17,거래내역!$L$2:$L$896,"&lt;&gt;보유중")</f>
        <v>0</v>
      </c>
      <c r="G17" s="13" t="n">
        <f aca="false">IFERROR(AVERAGEIFS(거래내역!$O$2:$O$896,거래내역!$AC$2:$AC$896,A17,거래내역!$L$2:$L$896,"&lt;&gt;보유중"),0)</f>
        <v>0</v>
      </c>
      <c r="H17" s="12" t="n">
        <f aca="false">SUMIFS(거래내역!$N$2:$N$896,거래내역!$AC$2:$AC$896,$A17,거래내역!$L$2:$L$896,"&lt;&gt;보유중",거래내역!$A$2:$A$896,2024)</f>
        <v>0</v>
      </c>
      <c r="I17" s="12" t="n">
        <f aca="false">SUMIFS(거래내역!$N$2:$N$896,거래내역!$AC$2:$AC$896,$A17,거래내역!$L$2:$L$896,"&lt;&gt;보유중",거래내역!$A$2:$A$896,2025)</f>
        <v>0</v>
      </c>
      <c r="J17" s="12" t="n">
        <f aca="false">SUMIFS(거래내역!$N$2:$N$896,거래내역!$AC$2:$AC$896,$A17,거래내역!$L$2:$L$896,"&lt;&gt;보유중",거래내역!$A$2:$A$896,2026)</f>
        <v>0</v>
      </c>
    </row>
    <row r="18" customFormat="false" ht="15" hidden="false" customHeight="false" outlineLevel="0" collapsed="false">
      <c r="A18" s="3" t="s">
        <v>101</v>
      </c>
      <c r="B18" s="10" t="n">
        <f aca="false">COUNTIFS(거래내역!$AC$2:$AC$896,A18,거래내역!$L$2:$L$896,"&lt;&gt;보유중")</f>
        <v>0</v>
      </c>
      <c r="C18" s="10" t="n">
        <f aca="false">COUNTIFS(거래내역!$AC$2:$AC$896,A18,거래내역!$L$2:$L$896,"익절")</f>
        <v>0</v>
      </c>
      <c r="D18" s="10" t="n">
        <f aca="false">COUNTIFS(거래내역!$AC$2:$AC$896,A18,거래내역!$L$2:$L$896,"손절")</f>
        <v>0</v>
      </c>
      <c r="E18" s="11" t="n">
        <f aca="false">IFERROR(C18/(C18+D18),0)</f>
        <v>0</v>
      </c>
      <c r="F18" s="12" t="n">
        <f aca="false">SUMIFS(거래내역!$N$2:$N$896,거래내역!$AC$2:$AC$896,A18,거래내역!$L$2:$L$896,"&lt;&gt;보유중")</f>
        <v>0</v>
      </c>
      <c r="G18" s="13" t="n">
        <f aca="false">IFERROR(AVERAGEIFS(거래내역!$O$2:$O$896,거래내역!$AC$2:$AC$896,A18,거래내역!$L$2:$L$896,"&lt;&gt;보유중"),0)</f>
        <v>0</v>
      </c>
      <c r="H18" s="12" t="n">
        <f aca="false">SUMIFS(거래내역!$N$2:$N$896,거래내역!$AC$2:$AC$896,$A18,거래내역!$L$2:$L$896,"&lt;&gt;보유중",거래내역!$A$2:$A$896,2024)</f>
        <v>0</v>
      </c>
      <c r="I18" s="12" t="n">
        <f aca="false">SUMIFS(거래내역!$N$2:$N$896,거래내역!$AC$2:$AC$896,$A18,거래내역!$L$2:$L$896,"&lt;&gt;보유중",거래내역!$A$2:$A$896,2025)</f>
        <v>0</v>
      </c>
      <c r="J18" s="12" t="n">
        <f aca="false">SUMIFS(거래내역!$N$2:$N$896,거래내역!$AC$2:$AC$896,$A18,거래내역!$L$2:$L$896,"&lt;&gt;보유중",거래내역!$A$2:$A$896,2026)</f>
        <v>0</v>
      </c>
    </row>
    <row r="19" customFormat="false" ht="15" hidden="false" customHeight="false" outlineLevel="0" collapsed="false">
      <c r="A19" s="3" t="s">
        <v>102</v>
      </c>
      <c r="B19" s="10" t="n">
        <f aca="false">COUNTIFS(거래내역!$AC$2:$AC$896,A19,거래내역!$L$2:$L$896,"&lt;&gt;보유중")</f>
        <v>0</v>
      </c>
      <c r="C19" s="10" t="n">
        <f aca="false">COUNTIFS(거래내역!$AC$2:$AC$896,A19,거래내역!$L$2:$L$896,"익절")</f>
        <v>0</v>
      </c>
      <c r="D19" s="10" t="n">
        <f aca="false">COUNTIFS(거래내역!$AC$2:$AC$896,A19,거래내역!$L$2:$L$896,"손절")</f>
        <v>0</v>
      </c>
      <c r="E19" s="11" t="n">
        <f aca="false">IFERROR(C19/(C19+D19),0)</f>
        <v>0</v>
      </c>
      <c r="F19" s="12" t="n">
        <f aca="false">SUMIFS(거래내역!$N$2:$N$896,거래내역!$AC$2:$AC$896,A19,거래내역!$L$2:$L$896,"&lt;&gt;보유중")</f>
        <v>0</v>
      </c>
      <c r="G19" s="13" t="n">
        <f aca="false">IFERROR(AVERAGEIFS(거래내역!$O$2:$O$896,거래내역!$AC$2:$AC$896,A19,거래내역!$L$2:$L$896,"&lt;&gt;보유중"),0)</f>
        <v>0</v>
      </c>
      <c r="H19" s="12" t="n">
        <f aca="false">SUMIFS(거래내역!$N$2:$N$896,거래내역!$AC$2:$AC$896,$A19,거래내역!$L$2:$L$896,"&lt;&gt;보유중",거래내역!$A$2:$A$896,2024)</f>
        <v>0</v>
      </c>
      <c r="I19" s="12" t="n">
        <f aca="false">SUMIFS(거래내역!$N$2:$N$896,거래내역!$AC$2:$AC$896,$A19,거래내역!$L$2:$L$896,"&lt;&gt;보유중",거래내역!$A$2:$A$896,2025)</f>
        <v>0</v>
      </c>
      <c r="J19" s="12" t="n">
        <f aca="false">SUMIFS(거래내역!$N$2:$N$896,거래내역!$AC$2:$AC$896,$A19,거래내역!$L$2:$L$896,"&lt;&gt;보유중",거래내역!$A$2:$A$896,2026)</f>
        <v>0</v>
      </c>
    </row>
    <row r="20" customFormat="false" ht="15" hidden="false" customHeight="false" outlineLevel="0" collapsed="false">
      <c r="A20" s="3" t="s">
        <v>103</v>
      </c>
      <c r="B20" s="10" t="n">
        <f aca="false">COUNTIFS(거래내역!$AC$2:$AC$896,A20,거래내역!$L$2:$L$896,"&lt;&gt;보유중")</f>
        <v>0</v>
      </c>
      <c r="C20" s="10" t="n">
        <f aca="false">COUNTIFS(거래내역!$AC$2:$AC$896,A20,거래내역!$L$2:$L$896,"익절")</f>
        <v>0</v>
      </c>
      <c r="D20" s="10" t="n">
        <f aca="false">COUNTIFS(거래내역!$AC$2:$AC$896,A20,거래내역!$L$2:$L$896,"손절")</f>
        <v>0</v>
      </c>
      <c r="E20" s="11" t="n">
        <f aca="false">IFERROR(C20/(C20+D20),0)</f>
        <v>0</v>
      </c>
      <c r="F20" s="12" t="n">
        <f aca="false">SUMIFS(거래내역!$N$2:$N$896,거래내역!$AC$2:$AC$896,A20,거래내역!$L$2:$L$896,"&lt;&gt;보유중")</f>
        <v>0</v>
      </c>
      <c r="G20" s="13" t="n">
        <f aca="false">IFERROR(AVERAGEIFS(거래내역!$O$2:$O$896,거래내역!$AC$2:$AC$896,A20,거래내역!$L$2:$L$896,"&lt;&gt;보유중"),0)</f>
        <v>0</v>
      </c>
      <c r="H20" s="12" t="n">
        <f aca="false">SUMIFS(거래내역!$N$2:$N$896,거래내역!$AC$2:$AC$896,$A20,거래내역!$L$2:$L$896,"&lt;&gt;보유중",거래내역!$A$2:$A$896,2024)</f>
        <v>0</v>
      </c>
      <c r="I20" s="12" t="n">
        <f aca="false">SUMIFS(거래내역!$N$2:$N$896,거래내역!$AC$2:$AC$896,$A20,거래내역!$L$2:$L$896,"&lt;&gt;보유중",거래내역!$A$2:$A$896,2025)</f>
        <v>0</v>
      </c>
      <c r="J20" s="12" t="n">
        <f aca="false">SUMIFS(거래내역!$N$2:$N$896,거래내역!$AC$2:$AC$896,$A20,거래내역!$L$2:$L$896,"&lt;&gt;보유중",거래내역!$A$2:$A$896,2026)</f>
        <v>0</v>
      </c>
    </row>
    <row r="21" customFormat="false" ht="15" hidden="false" customHeight="false" outlineLevel="0" collapsed="false">
      <c r="A21" s="3" t="s">
        <v>104</v>
      </c>
      <c r="B21" s="10" t="n">
        <f aca="false">COUNTIFS(거래내역!$AC$2:$AC$896,A21,거래내역!$L$2:$L$896,"&lt;&gt;보유중")</f>
        <v>83</v>
      </c>
      <c r="C21" s="10" t="n">
        <f aca="false">COUNTIFS(거래내역!$AC$2:$AC$896,A21,거래내역!$L$2:$L$896,"익절")</f>
        <v>17</v>
      </c>
      <c r="D21" s="10" t="n">
        <f aca="false">COUNTIFS(거래내역!$AC$2:$AC$896,A21,거래내역!$L$2:$L$896,"손절")</f>
        <v>66</v>
      </c>
      <c r="E21" s="11" t="n">
        <f aca="false">IFERROR(C21/(C21+D21),0)</f>
        <v>0.204819277108434</v>
      </c>
      <c r="F21" s="12" t="n">
        <f aca="false">SUMIFS(거래내역!$N$2:$N$896,거래내역!$AC$2:$AC$896,A21,거래내역!$L$2:$L$896,"&lt;&gt;보유중")</f>
        <v>-10542</v>
      </c>
      <c r="G21" s="13" t="n">
        <f aca="false">IFERROR(AVERAGEIFS(거래내역!$O$2:$O$896,거래내역!$AC$2:$AC$896,A21,거래내역!$L$2:$L$896,"&lt;&gt;보유중"),0)</f>
        <v>-0.000624634629975823</v>
      </c>
      <c r="H21" s="12" t="n">
        <f aca="false">SUMIFS(거래내역!$N$2:$N$896,거래내역!$AC$2:$AC$896,$A21,거래내역!$L$2:$L$896,"&lt;&gt;보유중",거래내역!$A$2:$A$896,2024)</f>
        <v>-33841</v>
      </c>
      <c r="I21" s="12" t="n">
        <f aca="false">SUMIFS(거래내역!$N$2:$N$896,거래내역!$AC$2:$AC$896,$A21,거래내역!$L$2:$L$896,"&lt;&gt;보유중",거래내역!$A$2:$A$896,2025)</f>
        <v>30418</v>
      </c>
      <c r="J21" s="12" t="n">
        <f aca="false">SUMIFS(거래내역!$N$2:$N$896,거래내역!$AC$2:$AC$896,$A21,거래내역!$L$2:$L$896,"&lt;&gt;보유중",거래내역!$A$2:$A$896,2026)</f>
        <v>-7119</v>
      </c>
    </row>
    <row r="23" customFormat="false" ht="15" hidden="false" customHeight="false" outlineLevel="0" collapsed="false">
      <c r="A23" s="26" t="s">
        <v>105</v>
      </c>
    </row>
    <row r="24" customFormat="false" ht="15" hidden="false" customHeight="false" outlineLevel="0" collapsed="false">
      <c r="A24" s="7" t="s">
        <v>87</v>
      </c>
      <c r="B24" s="7" t="s">
        <v>88</v>
      </c>
      <c r="C24" s="7" t="s">
        <v>31</v>
      </c>
      <c r="D24" s="7" t="s">
        <v>32</v>
      </c>
      <c r="E24" s="7" t="s">
        <v>34</v>
      </c>
      <c r="F24" s="7" t="s">
        <v>89</v>
      </c>
      <c r="G24" s="7" t="s">
        <v>49</v>
      </c>
      <c r="H24" s="8" t="s">
        <v>90</v>
      </c>
      <c r="I24" s="8" t="s">
        <v>91</v>
      </c>
      <c r="J24" s="8" t="s">
        <v>92</v>
      </c>
    </row>
    <row r="25" customFormat="false" ht="15" hidden="false" customHeight="false" outlineLevel="0" collapsed="false">
      <c r="A25" s="3" t="s">
        <v>106</v>
      </c>
      <c r="B25" s="10" t="n">
        <f aca="false">COUNTIFS(거래내역!$AD$2:$AD$896,A25,거래내역!$L$2:$L$896,"&lt;&gt;보유중")</f>
        <v>123</v>
      </c>
      <c r="C25" s="10" t="n">
        <f aca="false">COUNTIFS(거래내역!$AD$2:$AD$896,A25,거래내역!$L$2:$L$896,"익절")</f>
        <v>37</v>
      </c>
      <c r="D25" s="10" t="n">
        <f aca="false">COUNTIFS(거래내역!$AD$2:$AD$896,A25,거래내역!$L$2:$L$896,"손절")</f>
        <v>86</v>
      </c>
      <c r="E25" s="11" t="n">
        <f aca="false">IFERROR(C25/(C25+D25),0)</f>
        <v>0.300813008130081</v>
      </c>
      <c r="F25" s="12" t="n">
        <f aca="false">SUMIFS(거래내역!$N$2:$N$896,거래내역!$AD$2:$AD$896,A25,거래내역!$L$2:$L$896,"&lt;&gt;보유중")</f>
        <v>250202</v>
      </c>
      <c r="G25" s="13" t="n">
        <f aca="false">IFERROR(AVERAGEIFS(거래내역!$O$2:$O$896,거래내역!$AD$2:$AD$896,A25,거래내역!$L$2:$L$896,"&lt;&gt;보유중"),0)</f>
        <v>0.0230609927371266</v>
      </c>
      <c r="H25" s="12" t="n">
        <f aca="false">SUMIFS(거래내역!$N$2:$N$896,거래내역!$AD$2:$AD$896,$A25,거래내역!$L$2:$L$896,"&lt;&gt;보유중",거래내역!$A$2:$A$896,2024)</f>
        <v>130821</v>
      </c>
      <c r="I25" s="12" t="n">
        <f aca="false">SUMIFS(거래내역!$N$2:$N$896,거래내역!$AD$2:$AD$896,$A25,거래내역!$L$2:$L$896,"&lt;&gt;보유중",거래내역!$A$2:$A$896,2025)</f>
        <v>98321</v>
      </c>
      <c r="J25" s="12" t="n">
        <f aca="false">SUMIFS(거래내역!$N$2:$N$896,거래내역!$AD$2:$AD$896,$A25,거래내역!$L$2:$L$896,"&lt;&gt;보유중",거래내역!$A$2:$A$896,2026)</f>
        <v>21060</v>
      </c>
    </row>
    <row r="26" customFormat="false" ht="15" hidden="false" customHeight="false" outlineLevel="0" collapsed="false">
      <c r="A26" s="3" t="s">
        <v>107</v>
      </c>
      <c r="B26" s="10" t="n">
        <f aca="false">COUNTIFS(거래내역!$AD$2:$AD$896,A26,거래내역!$L$2:$L$896,"&lt;&gt;보유중")</f>
        <v>0</v>
      </c>
      <c r="C26" s="10" t="n">
        <f aca="false">COUNTIFS(거래내역!$AD$2:$AD$896,A26,거래내역!$L$2:$L$896,"익절")</f>
        <v>0</v>
      </c>
      <c r="D26" s="10" t="n">
        <f aca="false">COUNTIFS(거래내역!$AD$2:$AD$896,A26,거래내역!$L$2:$L$896,"손절")</f>
        <v>0</v>
      </c>
      <c r="E26" s="11" t="n">
        <f aca="false">IFERROR(C26/(C26+D26),0)</f>
        <v>0</v>
      </c>
      <c r="F26" s="12" t="n">
        <f aca="false">SUMIFS(거래내역!$N$2:$N$896,거래내역!$AD$2:$AD$896,A26,거래내역!$L$2:$L$896,"&lt;&gt;보유중")</f>
        <v>0</v>
      </c>
      <c r="G26" s="13" t="n">
        <f aca="false">IFERROR(AVERAGEIFS(거래내역!$O$2:$O$896,거래내역!$AD$2:$AD$896,A26,거래내역!$L$2:$L$896,"&lt;&gt;보유중"),0)</f>
        <v>0</v>
      </c>
      <c r="H26" s="12" t="n">
        <f aca="false">SUMIFS(거래내역!$N$2:$N$896,거래내역!$AD$2:$AD$896,$A26,거래내역!$L$2:$L$896,"&lt;&gt;보유중",거래내역!$A$2:$A$896,2024)</f>
        <v>0</v>
      </c>
      <c r="I26" s="12" t="n">
        <f aca="false">SUMIFS(거래내역!$N$2:$N$896,거래내역!$AD$2:$AD$896,$A26,거래내역!$L$2:$L$896,"&lt;&gt;보유중",거래내역!$A$2:$A$896,2025)</f>
        <v>0</v>
      </c>
      <c r="J26" s="12" t="n">
        <f aca="false">SUMIFS(거래내역!$N$2:$N$896,거래내역!$AD$2:$AD$896,$A26,거래내역!$L$2:$L$896,"&lt;&gt;보유중",거래내역!$A$2:$A$896,2026)</f>
        <v>0</v>
      </c>
    </row>
    <row r="27" customFormat="false" ht="15" hidden="false" customHeight="false" outlineLevel="0" collapsed="false">
      <c r="A27" s="3" t="s">
        <v>108</v>
      </c>
      <c r="B27" s="10" t="n">
        <f aca="false">COUNTIFS(거래내역!$AD$2:$AD$896,A27,거래내역!$L$2:$L$896,"&lt;&gt;보유중")</f>
        <v>0</v>
      </c>
      <c r="C27" s="10" t="n">
        <f aca="false">COUNTIFS(거래내역!$AD$2:$AD$896,A27,거래내역!$L$2:$L$896,"익절")</f>
        <v>0</v>
      </c>
      <c r="D27" s="10" t="n">
        <f aca="false">COUNTIFS(거래내역!$AD$2:$AD$896,A27,거래내역!$L$2:$L$896,"손절")</f>
        <v>0</v>
      </c>
      <c r="E27" s="11" t="n">
        <f aca="false">IFERROR(C27/(C27+D27),0)</f>
        <v>0</v>
      </c>
      <c r="F27" s="12" t="n">
        <f aca="false">SUMIFS(거래내역!$N$2:$N$896,거래내역!$AD$2:$AD$896,A27,거래내역!$L$2:$L$896,"&lt;&gt;보유중")</f>
        <v>0</v>
      </c>
      <c r="G27" s="13" t="n">
        <f aca="false">IFERROR(AVERAGEIFS(거래내역!$O$2:$O$896,거래내역!$AD$2:$AD$896,A27,거래내역!$L$2:$L$896,"&lt;&gt;보유중"),0)</f>
        <v>0</v>
      </c>
      <c r="H27" s="12" t="n">
        <f aca="false">SUMIFS(거래내역!$N$2:$N$896,거래내역!$AD$2:$AD$896,$A27,거래내역!$L$2:$L$896,"&lt;&gt;보유중",거래내역!$A$2:$A$896,2024)</f>
        <v>0</v>
      </c>
      <c r="I27" s="12" t="n">
        <f aca="false">SUMIFS(거래내역!$N$2:$N$896,거래내역!$AD$2:$AD$896,$A27,거래내역!$L$2:$L$896,"&lt;&gt;보유중",거래내역!$A$2:$A$896,2025)</f>
        <v>0</v>
      </c>
      <c r="J27" s="12" t="n">
        <f aca="false">SUMIFS(거래내역!$N$2:$N$896,거래내역!$AD$2:$AD$896,$A27,거래내역!$L$2:$L$896,"&lt;&gt;보유중",거래내역!$A$2:$A$896,2026)</f>
        <v>0</v>
      </c>
    </row>
    <row r="28" customFormat="false" ht="15" hidden="false" customHeight="false" outlineLevel="0" collapsed="false">
      <c r="A28" s="3" t="s">
        <v>109</v>
      </c>
      <c r="B28" s="10" t="n">
        <f aca="false">COUNTIFS(거래내역!$AD$2:$AD$896,A28,거래내역!$L$2:$L$896,"&lt;&gt;보유중")</f>
        <v>0</v>
      </c>
      <c r="C28" s="10" t="n">
        <f aca="false">COUNTIFS(거래내역!$AD$2:$AD$896,A28,거래내역!$L$2:$L$896,"익절")</f>
        <v>0</v>
      </c>
      <c r="D28" s="10" t="n">
        <f aca="false">COUNTIFS(거래내역!$AD$2:$AD$896,A28,거래내역!$L$2:$L$896,"손절")</f>
        <v>0</v>
      </c>
      <c r="E28" s="11" t="n">
        <f aca="false">IFERROR(C28/(C28+D28),0)</f>
        <v>0</v>
      </c>
      <c r="F28" s="12" t="n">
        <f aca="false">SUMIFS(거래내역!$N$2:$N$896,거래내역!$AD$2:$AD$896,A28,거래내역!$L$2:$L$896,"&lt;&gt;보유중")</f>
        <v>0</v>
      </c>
      <c r="G28" s="13" t="n">
        <f aca="false">IFERROR(AVERAGEIFS(거래내역!$O$2:$O$896,거래내역!$AD$2:$AD$896,A28,거래내역!$L$2:$L$896,"&lt;&gt;보유중"),0)</f>
        <v>0</v>
      </c>
      <c r="H28" s="12" t="n">
        <f aca="false">SUMIFS(거래내역!$N$2:$N$896,거래내역!$AD$2:$AD$896,$A28,거래내역!$L$2:$L$896,"&lt;&gt;보유중",거래내역!$A$2:$A$896,2024)</f>
        <v>0</v>
      </c>
      <c r="I28" s="12" t="n">
        <f aca="false">SUMIFS(거래내역!$N$2:$N$896,거래내역!$AD$2:$AD$896,$A28,거래내역!$L$2:$L$896,"&lt;&gt;보유중",거래내역!$A$2:$A$896,2025)</f>
        <v>0</v>
      </c>
      <c r="J28" s="12" t="n">
        <f aca="false">SUMIFS(거래내역!$N$2:$N$896,거래내역!$AD$2:$AD$896,$A28,거래내역!$L$2:$L$896,"&lt;&gt;보유중",거래내역!$A$2:$A$896,2026)</f>
        <v>0</v>
      </c>
    </row>
    <row r="29" customFormat="false" ht="15" hidden="false" customHeight="false" outlineLevel="0" collapsed="false">
      <c r="A29" s="3" t="s">
        <v>110</v>
      </c>
      <c r="B29" s="10" t="n">
        <f aca="false">COUNTIFS(거래내역!$AD$2:$AD$896,A29,거래내역!$L$2:$L$896,"&lt;&gt;보유중")</f>
        <v>128</v>
      </c>
      <c r="C29" s="10" t="n">
        <f aca="false">COUNTIFS(거래내역!$AD$2:$AD$896,A29,거래내역!$L$2:$L$896,"익절")</f>
        <v>21</v>
      </c>
      <c r="D29" s="10" t="n">
        <f aca="false">COUNTIFS(거래내역!$AD$2:$AD$896,A29,거래내역!$L$2:$L$896,"손절")</f>
        <v>107</v>
      </c>
      <c r="E29" s="11" t="n">
        <f aca="false">IFERROR(C29/(C29+D29),0)</f>
        <v>0.1640625</v>
      </c>
      <c r="F29" s="12" t="n">
        <f aca="false">SUMIFS(거래내역!$N$2:$N$896,거래내역!$AD$2:$AD$896,A29,거래내역!$L$2:$L$896,"&lt;&gt;보유중")</f>
        <v>-143346</v>
      </c>
      <c r="G29" s="13" t="n">
        <f aca="false">IFERROR(AVERAGEIFS(거래내역!$O$2:$O$896,거래내역!$AD$2:$AD$896,A29,거래내역!$L$2:$L$896,"&lt;&gt;보유중"),0)</f>
        <v>-0.010285494353464</v>
      </c>
      <c r="H29" s="12" t="n">
        <f aca="false">SUMIFS(거래내역!$N$2:$N$896,거래내역!$AD$2:$AD$896,$A29,거래내역!$L$2:$L$896,"&lt;&gt;보유중",거래내역!$A$2:$A$896,2024)</f>
        <v>-32919</v>
      </c>
      <c r="I29" s="12" t="n">
        <f aca="false">SUMIFS(거래내역!$N$2:$N$896,거래내역!$AD$2:$AD$896,$A29,거래내역!$L$2:$L$896,"&lt;&gt;보유중",거래내역!$A$2:$A$896,2025)</f>
        <v>-11613</v>
      </c>
      <c r="J29" s="12" t="n">
        <f aca="false">SUMIFS(거래내역!$N$2:$N$896,거래내역!$AD$2:$AD$896,$A29,거래내역!$L$2:$L$896,"&lt;&gt;보유중",거래내역!$A$2:$A$896,2026)</f>
        <v>-98814</v>
      </c>
    </row>
    <row r="31" customFormat="false" ht="15" hidden="false" customHeight="false" outlineLevel="0" collapsed="false">
      <c r="A31" s="27" t="s">
        <v>111</v>
      </c>
    </row>
    <row r="32" customFormat="false" ht="15" hidden="false" customHeight="false" outlineLevel="0" collapsed="false">
      <c r="A32" s="7" t="s">
        <v>87</v>
      </c>
      <c r="B32" s="7" t="s">
        <v>88</v>
      </c>
      <c r="C32" s="7" t="s">
        <v>31</v>
      </c>
      <c r="D32" s="7" t="s">
        <v>32</v>
      </c>
      <c r="E32" s="7" t="s">
        <v>34</v>
      </c>
      <c r="F32" s="7" t="s">
        <v>89</v>
      </c>
      <c r="G32" s="7" t="s">
        <v>49</v>
      </c>
      <c r="H32" s="8" t="s">
        <v>90</v>
      </c>
      <c r="I32" s="8" t="s">
        <v>91</v>
      </c>
      <c r="J32" s="8" t="s">
        <v>92</v>
      </c>
    </row>
    <row r="33" customFormat="false" ht="15" hidden="false" customHeight="false" outlineLevel="0" collapsed="false">
      <c r="A33" s="3" t="s">
        <v>112</v>
      </c>
      <c r="B33" s="10" t="n">
        <f aca="false">COUNTIFS(거래내역!$AE$2:$AE$896,A33,거래내역!$L$2:$L$896,"&lt;&gt;보유중")</f>
        <v>246</v>
      </c>
      <c r="C33" s="10" t="n">
        <f aca="false">COUNTIFS(거래내역!$AE$2:$AE$896,A33,거래내역!$L$2:$L$896,"익절")</f>
        <v>70</v>
      </c>
      <c r="D33" s="10" t="n">
        <f aca="false">COUNTIFS(거래내역!$AE$2:$AE$896,A33,거래내역!$L$2:$L$896,"손절")</f>
        <v>176</v>
      </c>
      <c r="E33" s="11" t="n">
        <f aca="false">IFERROR(C33/(C33+D33),0)</f>
        <v>0.284552845528455</v>
      </c>
      <c r="F33" s="12" t="n">
        <f aca="false">SUMIFS(거래내역!$N$2:$N$896,거래내역!$AE$2:$AE$896,A33,거래내역!$L$2:$L$896,"&lt;&gt;보유중")</f>
        <v>378817</v>
      </c>
      <c r="G33" s="13" t="n">
        <f aca="false">IFERROR(AVERAGEIFS(거래내역!$O$2:$O$896,거래내역!$AE$2:$AE$896,A33,거래내역!$L$2:$L$896,"&lt;&gt;보유중"),0)</f>
        <v>0.0184446170188279</v>
      </c>
      <c r="H33" s="12" t="n">
        <f aca="false">SUMIFS(거래내역!$N$2:$N$896,거래내역!$AE$2:$AE$896,$A33,거래내역!$L$2:$L$896,"&lt;&gt;보유중",거래내역!$A$2:$A$896,2024)</f>
        <v>73163</v>
      </c>
      <c r="I33" s="12" t="n">
        <f aca="false">SUMIFS(거래내역!$N$2:$N$896,거래내역!$AE$2:$AE$896,$A33,거래내역!$L$2:$L$896,"&lt;&gt;보유중",거래내역!$A$2:$A$896,2025)</f>
        <v>170767</v>
      </c>
      <c r="J33" s="12" t="n">
        <f aca="false">SUMIFS(거래내역!$N$2:$N$896,거래내역!$AE$2:$AE$896,$A33,거래내역!$L$2:$L$896,"&lt;&gt;보유중",거래내역!$A$2:$A$896,2026)</f>
        <v>134887</v>
      </c>
    </row>
    <row r="34" customFormat="false" ht="15" hidden="false" customHeight="false" outlineLevel="0" collapsed="false">
      <c r="A34" s="3" t="s">
        <v>113</v>
      </c>
      <c r="B34" s="10" t="n">
        <f aca="false">COUNTIFS(거래내역!$AE$2:$AE$896,A34,거래내역!$L$2:$L$896,"&lt;&gt;보유중")</f>
        <v>0</v>
      </c>
      <c r="C34" s="10" t="n">
        <f aca="false">COUNTIFS(거래내역!$AE$2:$AE$896,A34,거래내역!$L$2:$L$896,"익절")</f>
        <v>0</v>
      </c>
      <c r="D34" s="10" t="n">
        <f aca="false">COUNTIFS(거래내역!$AE$2:$AE$896,A34,거래내역!$L$2:$L$896,"손절")</f>
        <v>0</v>
      </c>
      <c r="E34" s="11" t="n">
        <f aca="false">IFERROR(C34/(C34+D34),0)</f>
        <v>0</v>
      </c>
      <c r="F34" s="12" t="n">
        <f aca="false">SUMIFS(거래내역!$N$2:$N$896,거래내역!$AE$2:$AE$896,A34,거래내역!$L$2:$L$896,"&lt;&gt;보유중")</f>
        <v>0</v>
      </c>
      <c r="G34" s="13" t="n">
        <f aca="false">IFERROR(AVERAGEIFS(거래내역!$O$2:$O$896,거래내역!$AE$2:$AE$896,A34,거래내역!$L$2:$L$896,"&lt;&gt;보유중"),0)</f>
        <v>0</v>
      </c>
      <c r="H34" s="12" t="n">
        <f aca="false">SUMIFS(거래내역!$N$2:$N$896,거래내역!$AE$2:$AE$896,$A34,거래내역!$L$2:$L$896,"&lt;&gt;보유중",거래내역!$A$2:$A$896,2024)</f>
        <v>0</v>
      </c>
      <c r="I34" s="12" t="n">
        <f aca="false">SUMIFS(거래내역!$N$2:$N$896,거래내역!$AE$2:$AE$896,$A34,거래내역!$L$2:$L$896,"&lt;&gt;보유중",거래내역!$A$2:$A$896,2025)</f>
        <v>0</v>
      </c>
      <c r="J34" s="12" t="n">
        <f aca="false">SUMIFS(거래내역!$N$2:$N$896,거래내역!$AE$2:$AE$896,$A34,거래내역!$L$2:$L$896,"&lt;&gt;보유중",거래내역!$A$2:$A$896,2026)</f>
        <v>0</v>
      </c>
    </row>
    <row r="35" customFormat="false" ht="15" hidden="false" customHeight="false" outlineLevel="0" collapsed="false">
      <c r="A35" s="3" t="s">
        <v>101</v>
      </c>
      <c r="B35" s="10" t="n">
        <f aca="false">COUNTIFS(거래내역!$AE$2:$AE$896,A35,거래내역!$L$2:$L$896,"&lt;&gt;보유중")</f>
        <v>0</v>
      </c>
      <c r="C35" s="10" t="n">
        <f aca="false">COUNTIFS(거래내역!$AE$2:$AE$896,A35,거래내역!$L$2:$L$896,"익절")</f>
        <v>0</v>
      </c>
      <c r="D35" s="10" t="n">
        <f aca="false">COUNTIFS(거래내역!$AE$2:$AE$896,A35,거래내역!$L$2:$L$896,"손절")</f>
        <v>0</v>
      </c>
      <c r="E35" s="11" t="n">
        <f aca="false">IFERROR(C35/(C35+D35),0)</f>
        <v>0</v>
      </c>
      <c r="F35" s="12" t="n">
        <f aca="false">SUMIFS(거래내역!$N$2:$N$896,거래내역!$AE$2:$AE$896,A35,거래내역!$L$2:$L$896,"&lt;&gt;보유중")</f>
        <v>0</v>
      </c>
      <c r="G35" s="13" t="n">
        <f aca="false">IFERROR(AVERAGEIFS(거래내역!$O$2:$O$896,거래내역!$AE$2:$AE$896,A35,거래내역!$L$2:$L$896,"&lt;&gt;보유중"),0)</f>
        <v>0</v>
      </c>
      <c r="H35" s="12" t="n">
        <f aca="false">SUMIFS(거래내역!$N$2:$N$896,거래내역!$AE$2:$AE$896,$A35,거래내역!$L$2:$L$896,"&lt;&gt;보유중",거래내역!$A$2:$A$896,2024)</f>
        <v>0</v>
      </c>
      <c r="I35" s="12" t="n">
        <f aca="false">SUMIFS(거래내역!$N$2:$N$896,거래내역!$AE$2:$AE$896,$A35,거래내역!$L$2:$L$896,"&lt;&gt;보유중",거래내역!$A$2:$A$896,2025)</f>
        <v>0</v>
      </c>
      <c r="J35" s="12" t="n">
        <f aca="false">SUMIFS(거래내역!$N$2:$N$896,거래내역!$AE$2:$AE$896,$A35,거래내역!$L$2:$L$896,"&lt;&gt;보유중",거래내역!$A$2:$A$896,2026)</f>
        <v>0</v>
      </c>
    </row>
    <row r="36" customFormat="false" ht="15" hidden="false" customHeight="false" outlineLevel="0" collapsed="false">
      <c r="A36" s="3" t="s">
        <v>114</v>
      </c>
      <c r="B36" s="10" t="n">
        <f aca="false">COUNTIFS(거래내역!$AE$2:$AE$896,A36,거래내역!$L$2:$L$896,"&lt;&gt;보유중")</f>
        <v>126</v>
      </c>
      <c r="C36" s="10" t="n">
        <f aca="false">COUNTIFS(거래내역!$AE$2:$AE$896,A36,거래내역!$L$2:$L$896,"익절")</f>
        <v>32</v>
      </c>
      <c r="D36" s="10" t="n">
        <f aca="false">COUNTIFS(거래내역!$AE$2:$AE$896,A36,거래내역!$L$2:$L$896,"손절")</f>
        <v>94</v>
      </c>
      <c r="E36" s="11" t="n">
        <f aca="false">IFERROR(C36/(C36+D36),0)</f>
        <v>0.253968253968254</v>
      </c>
      <c r="F36" s="12" t="n">
        <f aca="false">SUMIFS(거래내역!$N$2:$N$896,거래내역!$AE$2:$AE$896,A36,거래내역!$L$2:$L$896,"&lt;&gt;보유중")</f>
        <v>71874</v>
      </c>
      <c r="G36" s="13" t="n">
        <f aca="false">IFERROR(AVERAGEIFS(거래내역!$O$2:$O$896,거래내역!$AE$2:$AE$896,A36,거래내역!$L$2:$L$896,"&lt;&gt;보유중"),0)</f>
        <v>0.00849513660590726</v>
      </c>
      <c r="H36" s="12" t="n">
        <f aca="false">SUMIFS(거래내역!$N$2:$N$896,거래내역!$AE$2:$AE$896,$A36,거래내역!$L$2:$L$896,"&lt;&gt;보유중",거래내역!$A$2:$A$896,2024)</f>
        <v>-45145</v>
      </c>
      <c r="I36" s="12" t="n">
        <f aca="false">SUMIFS(거래내역!$N$2:$N$896,거래내역!$AE$2:$AE$896,$A36,거래내역!$L$2:$L$896,"&lt;&gt;보유중",거래내역!$A$2:$A$896,2025)</f>
        <v>67327</v>
      </c>
      <c r="J36" s="12" t="n">
        <f aca="false">SUMIFS(거래내역!$N$2:$N$896,거래내역!$AE$2:$AE$896,$A36,거래내역!$L$2:$L$896,"&lt;&gt;보유중",거래내역!$A$2:$A$896,2026)</f>
        <v>49692</v>
      </c>
    </row>
    <row r="38" customFormat="false" ht="15" hidden="false" customHeight="false" outlineLevel="0" collapsed="false">
      <c r="A38" s="26" t="s">
        <v>115</v>
      </c>
    </row>
    <row r="39" customFormat="false" ht="15" hidden="false" customHeight="false" outlineLevel="0" collapsed="false">
      <c r="A39" s="7" t="s">
        <v>87</v>
      </c>
      <c r="B39" s="7" t="s">
        <v>88</v>
      </c>
      <c r="C39" s="7" t="s">
        <v>31</v>
      </c>
      <c r="D39" s="7" t="s">
        <v>32</v>
      </c>
      <c r="E39" s="7" t="s">
        <v>34</v>
      </c>
      <c r="F39" s="7" t="s">
        <v>89</v>
      </c>
      <c r="G39" s="7" t="s">
        <v>49</v>
      </c>
      <c r="H39" s="8" t="s">
        <v>90</v>
      </c>
      <c r="I39" s="8" t="s">
        <v>91</v>
      </c>
      <c r="J39" s="8" t="s">
        <v>92</v>
      </c>
    </row>
    <row r="40" customFormat="false" ht="15" hidden="false" customHeight="false" outlineLevel="0" collapsed="false">
      <c r="A40" s="3" t="s">
        <v>116</v>
      </c>
      <c r="B40" s="10" t="n">
        <f aca="false">COUNTIFS(거래내역!$AF$2:$AF$896,A40,거래내역!$L$2:$L$896,"&lt;&gt;보유중")</f>
        <v>193</v>
      </c>
      <c r="C40" s="10" t="n">
        <f aca="false">COUNTIFS(거래내역!$AF$2:$AF$896,A40,거래내역!$L$2:$L$896,"익절")</f>
        <v>49</v>
      </c>
      <c r="D40" s="10" t="n">
        <f aca="false">COUNTIFS(거래내역!$AF$2:$AF$896,A40,거래내역!$L$2:$L$896,"손절")</f>
        <v>144</v>
      </c>
      <c r="E40" s="11" t="n">
        <f aca="false">IFERROR(C40/(C40+D40),0)</f>
        <v>0.253886010362694</v>
      </c>
      <c r="F40" s="12" t="n">
        <f aca="false">SUMIFS(거래내역!$N$2:$N$896,거래내역!$AF$2:$AF$896,A40,거래내역!$L$2:$L$896,"&lt;&gt;보유중")</f>
        <v>177952</v>
      </c>
      <c r="G40" s="13" t="n">
        <f aca="false">IFERROR(AVERAGEIFS(거래내역!$O$2:$O$896,거래내역!$AF$2:$AF$896,A40,거래내역!$L$2:$L$896,"&lt;&gt;보유중"),0)</f>
        <v>0.0105091703718587</v>
      </c>
      <c r="H40" s="12" t="n">
        <f aca="false">SUMIFS(거래내역!$N$2:$N$896,거래내역!$AF$2:$AF$896,$A40,거래내역!$L$2:$L$896,"&lt;&gt;보유중",거래내역!$A$2:$A$896,2024)</f>
        <v>-5180</v>
      </c>
      <c r="I40" s="12" t="n">
        <f aca="false">SUMIFS(거래내역!$N$2:$N$896,거래내역!$AF$2:$AF$896,$A40,거래내역!$L$2:$L$896,"&lt;&gt;보유중",거래내역!$A$2:$A$896,2025)</f>
        <v>138334</v>
      </c>
      <c r="J40" s="12" t="n">
        <f aca="false">SUMIFS(거래내역!$N$2:$N$896,거래내역!$AF$2:$AF$896,$A40,거래내역!$L$2:$L$896,"&lt;&gt;보유중",거래내역!$A$2:$A$896,2026)</f>
        <v>44798</v>
      </c>
    </row>
    <row r="41" customFormat="false" ht="15" hidden="false" customHeight="false" outlineLevel="0" collapsed="false">
      <c r="A41" s="3" t="s">
        <v>117</v>
      </c>
      <c r="B41" s="10" t="n">
        <f aca="false">COUNTIFS(거래내역!$AF$2:$AF$896,A41,거래내역!$L$2:$L$896,"&lt;&gt;보유중")</f>
        <v>0</v>
      </c>
      <c r="C41" s="10" t="n">
        <f aca="false">COUNTIFS(거래내역!$AF$2:$AF$896,A41,거래내역!$L$2:$L$896,"익절")</f>
        <v>0</v>
      </c>
      <c r="D41" s="10" t="n">
        <f aca="false">COUNTIFS(거래내역!$AF$2:$AF$896,A41,거래내역!$L$2:$L$896,"손절")</f>
        <v>0</v>
      </c>
      <c r="E41" s="11" t="n">
        <f aca="false">IFERROR(C41/(C41+D41),0)</f>
        <v>0</v>
      </c>
      <c r="F41" s="12" t="n">
        <f aca="false">SUMIFS(거래내역!$N$2:$N$896,거래내역!$AF$2:$AF$896,A41,거래내역!$L$2:$L$896,"&lt;&gt;보유중")</f>
        <v>0</v>
      </c>
      <c r="G41" s="13" t="n">
        <f aca="false">IFERROR(AVERAGEIFS(거래내역!$O$2:$O$896,거래내역!$AF$2:$AF$896,A41,거래내역!$L$2:$L$896,"&lt;&gt;보유중"),0)</f>
        <v>0</v>
      </c>
      <c r="H41" s="12" t="n">
        <f aca="false">SUMIFS(거래내역!$N$2:$N$896,거래내역!$AF$2:$AF$896,$A41,거래내역!$L$2:$L$896,"&lt;&gt;보유중",거래내역!$A$2:$A$896,2024)</f>
        <v>0</v>
      </c>
      <c r="I41" s="12" t="n">
        <f aca="false">SUMIFS(거래내역!$N$2:$N$896,거래내역!$AF$2:$AF$896,$A41,거래내역!$L$2:$L$896,"&lt;&gt;보유중",거래내역!$A$2:$A$896,2025)</f>
        <v>0</v>
      </c>
      <c r="J41" s="12" t="n">
        <f aca="false">SUMIFS(거래내역!$N$2:$N$896,거래내역!$AF$2:$AF$896,$A41,거래내역!$L$2:$L$896,"&lt;&gt;보유중",거래내역!$A$2:$A$896,2026)</f>
        <v>0</v>
      </c>
    </row>
    <row r="42" customFormat="false" ht="15" hidden="false" customHeight="false" outlineLevel="0" collapsed="false">
      <c r="A42" s="3" t="s">
        <v>118</v>
      </c>
      <c r="B42" s="10" t="n">
        <f aca="false">COUNTIFS(거래내역!$AF$2:$AF$896,A42,거래내역!$L$2:$L$896,"&lt;&gt;보유중")</f>
        <v>0</v>
      </c>
      <c r="C42" s="10" t="n">
        <f aca="false">COUNTIFS(거래내역!$AF$2:$AF$896,A42,거래내역!$L$2:$L$896,"익절")</f>
        <v>0</v>
      </c>
      <c r="D42" s="10" t="n">
        <f aca="false">COUNTIFS(거래내역!$AF$2:$AF$896,A42,거래내역!$L$2:$L$896,"손절")</f>
        <v>0</v>
      </c>
      <c r="E42" s="11" t="n">
        <f aca="false">IFERROR(C42/(C42+D42),0)</f>
        <v>0</v>
      </c>
      <c r="F42" s="12" t="n">
        <f aca="false">SUMIFS(거래내역!$N$2:$N$896,거래내역!$AF$2:$AF$896,A42,거래내역!$L$2:$L$896,"&lt;&gt;보유중")</f>
        <v>0</v>
      </c>
      <c r="G42" s="13" t="n">
        <f aca="false">IFERROR(AVERAGEIFS(거래내역!$O$2:$O$896,거래내역!$AF$2:$AF$896,A42,거래내역!$L$2:$L$896,"&lt;&gt;보유중"),0)</f>
        <v>0</v>
      </c>
      <c r="H42" s="12" t="n">
        <f aca="false">SUMIFS(거래내역!$N$2:$N$896,거래내역!$AF$2:$AF$896,$A42,거래내역!$L$2:$L$896,"&lt;&gt;보유중",거래내역!$A$2:$A$896,2024)</f>
        <v>0</v>
      </c>
      <c r="I42" s="12" t="n">
        <f aca="false">SUMIFS(거래내역!$N$2:$N$896,거래내역!$AF$2:$AF$896,$A42,거래내역!$L$2:$L$896,"&lt;&gt;보유중",거래내역!$A$2:$A$896,2025)</f>
        <v>0</v>
      </c>
      <c r="J42" s="12" t="n">
        <f aca="false">SUMIFS(거래내역!$N$2:$N$896,거래내역!$AF$2:$AF$896,$A42,거래내역!$L$2:$L$896,"&lt;&gt;보유중",거래내역!$A$2:$A$896,2026)</f>
        <v>0</v>
      </c>
    </row>
    <row r="43" customFormat="false" ht="15" hidden="false" customHeight="false" outlineLevel="0" collapsed="false">
      <c r="A43" s="3" t="s">
        <v>119</v>
      </c>
      <c r="B43" s="10" t="n">
        <f aca="false">COUNTIFS(거래내역!$AF$2:$AF$896,A43,거래내역!$L$2:$L$896,"&lt;&gt;보유중")</f>
        <v>0</v>
      </c>
      <c r="C43" s="10" t="n">
        <f aca="false">COUNTIFS(거래내역!$AF$2:$AF$896,A43,거래내역!$L$2:$L$896,"익절")</f>
        <v>0</v>
      </c>
      <c r="D43" s="10" t="n">
        <f aca="false">COUNTIFS(거래내역!$AF$2:$AF$896,A43,거래내역!$L$2:$L$896,"손절")</f>
        <v>0</v>
      </c>
      <c r="E43" s="11" t="n">
        <f aca="false">IFERROR(C43/(C43+D43),0)</f>
        <v>0</v>
      </c>
      <c r="F43" s="12" t="n">
        <f aca="false">SUMIFS(거래내역!$N$2:$N$896,거래내역!$AF$2:$AF$896,A43,거래내역!$L$2:$L$896,"&lt;&gt;보유중")</f>
        <v>0</v>
      </c>
      <c r="G43" s="13" t="n">
        <f aca="false">IFERROR(AVERAGEIFS(거래내역!$O$2:$O$896,거래내역!$AF$2:$AF$896,A43,거래내역!$L$2:$L$896,"&lt;&gt;보유중"),0)</f>
        <v>0</v>
      </c>
      <c r="H43" s="12" t="n">
        <f aca="false">SUMIFS(거래내역!$N$2:$N$896,거래내역!$AF$2:$AF$896,$A43,거래내역!$L$2:$L$896,"&lt;&gt;보유중",거래내역!$A$2:$A$896,2024)</f>
        <v>0</v>
      </c>
      <c r="I43" s="12" t="n">
        <f aca="false">SUMIFS(거래내역!$N$2:$N$896,거래내역!$AF$2:$AF$896,$A43,거래내역!$L$2:$L$896,"&lt;&gt;보유중",거래내역!$A$2:$A$896,2025)</f>
        <v>0</v>
      </c>
      <c r="J43" s="12" t="n">
        <f aca="false">SUMIFS(거래내역!$N$2:$N$896,거래내역!$AF$2:$AF$896,$A43,거래내역!$L$2:$L$896,"&lt;&gt;보유중",거래내역!$A$2:$A$896,2026)</f>
        <v>0</v>
      </c>
    </row>
    <row r="44" customFormat="false" ht="15" hidden="false" customHeight="false" outlineLevel="0" collapsed="false">
      <c r="A44" s="3" t="s">
        <v>120</v>
      </c>
      <c r="B44" s="10" t="n">
        <f aca="false">COUNTIFS(거래내역!$AF$2:$AF$896,A44,거래내역!$L$2:$L$896,"&lt;&gt;보유중")</f>
        <v>189</v>
      </c>
      <c r="C44" s="10" t="n">
        <f aca="false">COUNTIFS(거래내역!$AF$2:$AF$896,A44,거래내역!$L$2:$L$896,"익절")</f>
        <v>39</v>
      </c>
      <c r="D44" s="10" t="n">
        <f aca="false">COUNTIFS(거래내역!$AF$2:$AF$896,A44,거래내역!$L$2:$L$896,"손절")</f>
        <v>150</v>
      </c>
      <c r="E44" s="11" t="n">
        <f aca="false">IFERROR(C44/(C44+D44),0)</f>
        <v>0.206349206349206</v>
      </c>
      <c r="F44" s="12" t="n">
        <f aca="false">SUMIFS(거래내역!$N$2:$N$896,거래내역!$AF$2:$AF$896,A44,거래내역!$L$2:$L$896,"&lt;&gt;보유중")</f>
        <v>-21864</v>
      </c>
      <c r="G44" s="13" t="n">
        <f aca="false">IFERROR(AVERAGEIFS(거래내역!$O$2:$O$896,거래내역!$AF$2:$AF$896,A44,거래내역!$L$2:$L$896,"&lt;&gt;보유중"),0)</f>
        <v>0.000119364329778141</v>
      </c>
      <c r="H44" s="12" t="n">
        <f aca="false">SUMIFS(거래내역!$N$2:$N$896,거래내역!$AF$2:$AF$896,$A44,거래내역!$L$2:$L$896,"&lt;&gt;보유중",거래내역!$A$2:$A$896,2024)</f>
        <v>-9630</v>
      </c>
      <c r="I44" s="12" t="n">
        <f aca="false">SUMIFS(거래내역!$N$2:$N$896,거래내역!$AF$2:$AF$896,$A44,거래내역!$L$2:$L$896,"&lt;&gt;보유중",거래내역!$A$2:$A$896,2025)</f>
        <v>30389</v>
      </c>
      <c r="J44" s="12" t="n">
        <f aca="false">SUMIFS(거래내역!$N$2:$N$896,거래내역!$AF$2:$AF$896,$A44,거래내역!$L$2:$L$896,"&lt;&gt;보유중",거래내역!$A$2:$A$896,2026)</f>
        <v>-42623</v>
      </c>
    </row>
    <row r="46" customFormat="false" ht="15" hidden="false" customHeight="false" outlineLevel="0" collapsed="false">
      <c r="A46" s="26" t="s">
        <v>121</v>
      </c>
    </row>
    <row r="47" customFormat="false" ht="15" hidden="false" customHeight="false" outlineLevel="0" collapsed="false">
      <c r="A47" s="7" t="s">
        <v>87</v>
      </c>
      <c r="B47" s="7" t="s">
        <v>88</v>
      </c>
      <c r="C47" s="7" t="s">
        <v>31</v>
      </c>
      <c r="D47" s="7" t="s">
        <v>32</v>
      </c>
      <c r="E47" s="7" t="s">
        <v>34</v>
      </c>
      <c r="F47" s="7" t="s">
        <v>89</v>
      </c>
      <c r="G47" s="7" t="s">
        <v>49</v>
      </c>
      <c r="H47" s="8" t="s">
        <v>90</v>
      </c>
      <c r="I47" s="8" t="s">
        <v>91</v>
      </c>
      <c r="J47" s="8" t="s">
        <v>92</v>
      </c>
    </row>
    <row r="48" customFormat="false" ht="15" hidden="false" customHeight="false" outlineLevel="0" collapsed="false">
      <c r="A48" s="5" t="s">
        <v>122</v>
      </c>
      <c r="B48" s="10" t="n">
        <f aca="false">COUNTIFS(거래내역!$AG$2:$AG$896,A48,거래내역!$L$2:$L$896,"&lt;&gt;보유중")</f>
        <v>815</v>
      </c>
      <c r="C48" s="10" t="n">
        <f aca="false">COUNTIFS(거래내역!$AG$2:$AG$896,A48,거래내역!$L$2:$L$896,"익절")</f>
        <v>189</v>
      </c>
      <c r="D48" s="10" t="n">
        <f aca="false">COUNTIFS(거래내역!$AG$2:$AG$896,A48,거래내역!$L$2:$L$896,"손절")</f>
        <v>626</v>
      </c>
      <c r="E48" s="11" t="n">
        <f aca="false">IFERROR(C48/(C48+D48),0)</f>
        <v>0.231901840490798</v>
      </c>
      <c r="F48" s="12" t="n">
        <f aca="false">SUMIFS(거래내역!$N$2:$N$896,거래내역!$AG$2:$AG$896,A48,거래내역!$L$2:$L$896,"&lt;&gt;보유중")</f>
        <v>404845</v>
      </c>
      <c r="G48" s="13" t="n">
        <f aca="false">IFERROR(AVERAGEIFS(거래내역!$O$2:$O$896,거래내역!$AG$2:$AG$896,A48,거래내역!$L$2:$L$896,"&lt;&gt;보유중"),0)</f>
        <v>0.00617706548526694</v>
      </c>
      <c r="H48" s="12" t="n">
        <f aca="false">SUMIFS(거래내역!$N$2:$N$896,거래내역!$AG$2:$AG$896,$A48,거래내역!$L$2:$L$896,"&lt;&gt;보유중",거래내역!$A$2:$A$896,2024)</f>
        <v>-28066</v>
      </c>
      <c r="I48" s="12" t="n">
        <f aca="false">SUMIFS(거래내역!$N$2:$N$896,거래내역!$AG$2:$AG$896,$A48,거래내역!$L$2:$L$896,"&lt;&gt;보유중",거래내역!$A$2:$A$896,2025)</f>
        <v>403126</v>
      </c>
      <c r="J48" s="12" t="n">
        <f aca="false">SUMIFS(거래내역!$N$2:$N$896,거래내역!$AG$2:$AG$896,$A48,거래내역!$L$2:$L$896,"&lt;&gt;보유중",거래내역!$A$2:$A$896,2026)</f>
        <v>29785</v>
      </c>
    </row>
    <row r="49" customFormat="false" ht="15" hidden="false" customHeight="false" outlineLevel="0" collapsed="false">
      <c r="A49" s="5" t="s">
        <v>123</v>
      </c>
      <c r="B49" s="10" t="n">
        <f aca="false">COUNTIFS(거래내역!$AG$2:$AG$896,A49,거래내역!$L$2:$L$896,"&lt;&gt;보유중")</f>
        <v>51</v>
      </c>
      <c r="C49" s="10" t="n">
        <f aca="false">COUNTIFS(거래내역!$AG$2:$AG$896,A49,거래내역!$L$2:$L$896,"익절")</f>
        <v>16</v>
      </c>
      <c r="D49" s="10" t="n">
        <f aca="false">COUNTIFS(거래내역!$AG$2:$AG$896,A49,거래내역!$L$2:$L$896,"손절")</f>
        <v>35</v>
      </c>
      <c r="E49" s="11" t="n">
        <f aca="false">IFERROR(C49/(C49+D49),0)</f>
        <v>0.313725490196078</v>
      </c>
      <c r="F49" s="12" t="n">
        <f aca="false">SUMIFS(거래내역!$N$2:$N$896,거래내역!$AG$2:$AG$896,A49,거래내역!$L$2:$L$896,"&lt;&gt;보유중")</f>
        <v>136254</v>
      </c>
      <c r="G49" s="13" t="n">
        <f aca="false">IFERROR(AVERAGEIFS(거래내역!$O$2:$O$896,거래내역!$AG$2:$AG$896,A49,거래내역!$L$2:$L$896,"&lt;&gt;보유중"),0)</f>
        <v>0.0273649785806287</v>
      </c>
      <c r="H49" s="12" t="n">
        <f aca="false">SUMIFS(거래내역!$N$2:$N$896,거래내역!$AG$2:$AG$896,$A49,거래내역!$L$2:$L$896,"&lt;&gt;보유중",거래내역!$A$2:$A$896,2024)</f>
        <v>3793</v>
      </c>
      <c r="I49" s="12" t="n">
        <f aca="false">SUMIFS(거래내역!$N$2:$N$896,거래내역!$AG$2:$AG$896,$A49,거래내역!$L$2:$L$896,"&lt;&gt;보유중",거래내역!$A$2:$A$896,2025)</f>
        <v>114059</v>
      </c>
      <c r="J49" s="12" t="n">
        <f aca="false">SUMIFS(거래내역!$N$2:$N$896,거래내역!$AG$2:$AG$896,$A49,거래내역!$L$2:$L$896,"&lt;&gt;보유중",거래내역!$A$2:$A$896,2026)</f>
        <v>18402</v>
      </c>
    </row>
    <row r="51" customFormat="false" ht="15" hidden="false" customHeight="false" outlineLevel="0" collapsed="false">
      <c r="A51" s="26" t="s">
        <v>124</v>
      </c>
    </row>
    <row r="52" customFormat="false" ht="15" hidden="false" customHeight="false" outlineLevel="0" collapsed="false">
      <c r="A52" s="7" t="s">
        <v>87</v>
      </c>
      <c r="B52" s="7" t="s">
        <v>88</v>
      </c>
      <c r="C52" s="7" t="s">
        <v>31</v>
      </c>
      <c r="D52" s="7" t="s">
        <v>32</v>
      </c>
      <c r="E52" s="7" t="s">
        <v>34</v>
      </c>
      <c r="F52" s="7" t="s">
        <v>89</v>
      </c>
      <c r="G52" s="7" t="s">
        <v>49</v>
      </c>
      <c r="H52" s="8" t="s">
        <v>90</v>
      </c>
      <c r="I52" s="8" t="s">
        <v>91</v>
      </c>
      <c r="J52" s="8" t="s">
        <v>92</v>
      </c>
    </row>
    <row r="53" customFormat="false" ht="15" hidden="false" customHeight="false" outlineLevel="0" collapsed="false">
      <c r="A53" s="5" t="s">
        <v>125</v>
      </c>
      <c r="B53" s="10" t="n">
        <f aca="false">COUNTIFS(거래내역!$D$2:$D$896,A53,거래내역!$L$2:$L$896,"&lt;&gt;보유중")</f>
        <v>160</v>
      </c>
      <c r="C53" s="10" t="n">
        <f aca="false">COUNTIFS(거래내역!$D$2:$D$896,A53,거래내역!$L$2:$L$896,"익절")</f>
        <v>40</v>
      </c>
      <c r="D53" s="10" t="n">
        <f aca="false">COUNTIFS(거래내역!$D$2:$D$896,A53,거래내역!$L$2:$L$896,"손절")</f>
        <v>120</v>
      </c>
      <c r="E53" s="11" t="n">
        <f aca="false">IFERROR(C53/(C53+D53),0)</f>
        <v>0.25</v>
      </c>
      <c r="F53" s="12" t="n">
        <f aca="false">SUMIFS(거래내역!$N$2:$N$896,거래내역!$D$2:$D$896,A53,거래내역!$L$2:$L$896,"&lt;&gt;보유중")</f>
        <v>125920</v>
      </c>
      <c r="G53" s="13" t="n">
        <f aca="false">IFERROR(AVERAGEIFS(거래내역!$O$2:$O$896,거래내역!$D$2:$D$896,A53,거래내역!$L$2:$L$896,"&lt;&gt;보유중"),0)</f>
        <v>0.0111381885810585</v>
      </c>
      <c r="H53" s="12" t="n">
        <f aca="false">SUMIFS(거래내역!$N$2:$N$896,거래내역!$D$2:$D$896,$A53,거래내역!$L$2:$L$896,"&lt;&gt;보유중",거래내역!$A$2:$A$896,2024)</f>
        <v>14692</v>
      </c>
      <c r="I53" s="12" t="n">
        <f aca="false">SUMIFS(거래내역!$N$2:$N$896,거래내역!$D$2:$D$896,$A53,거래내역!$L$2:$L$896,"&lt;&gt;보유중",거래내역!$A$2:$A$896,2025)</f>
        <v>67082</v>
      </c>
      <c r="J53" s="12" t="n">
        <f aca="false">SUMIFS(거래내역!$N$2:$N$896,거래내역!$D$2:$D$896,$A53,거래내역!$L$2:$L$896,"&lt;&gt;보유중",거래내역!$A$2:$A$896,2026)</f>
        <v>44146</v>
      </c>
    </row>
    <row r="54" customFormat="false" ht="15" hidden="false" customHeight="false" outlineLevel="0" collapsed="false">
      <c r="A54" s="5" t="s">
        <v>126</v>
      </c>
      <c r="B54" s="10" t="n">
        <f aca="false">COUNTIFS(거래내역!$D$2:$D$896,A54,거래내역!$L$2:$L$896,"&lt;&gt;보유중")</f>
        <v>174</v>
      </c>
      <c r="C54" s="10" t="n">
        <f aca="false">COUNTIFS(거래내역!$D$2:$D$896,A54,거래내역!$L$2:$L$896,"익절")</f>
        <v>33</v>
      </c>
      <c r="D54" s="10" t="n">
        <f aca="false">COUNTIFS(거래내역!$D$2:$D$896,A54,거래내역!$L$2:$L$896,"손절")</f>
        <v>141</v>
      </c>
      <c r="E54" s="11" t="n">
        <f aca="false">IFERROR(C54/(C54+D54),0)</f>
        <v>0.189655172413793</v>
      </c>
      <c r="F54" s="12" t="n">
        <f aca="false">SUMIFS(거래내역!$N$2:$N$896,거래내역!$D$2:$D$896,A54,거래내역!$L$2:$L$896,"&lt;&gt;보유중")</f>
        <v>-23769</v>
      </c>
      <c r="G54" s="13" t="n">
        <f aca="false">IFERROR(AVERAGEIFS(거래내역!$O$2:$O$896,거래내역!$D$2:$D$896,A54,거래내역!$L$2:$L$896,"&lt;&gt;보유중"),0)</f>
        <v>-0.00232285979799568</v>
      </c>
      <c r="H54" s="12" t="n">
        <f aca="false">SUMIFS(거래내역!$N$2:$N$896,거래내역!$D$2:$D$896,$A54,거래내역!$L$2:$L$896,"&lt;&gt;보유중",거래내역!$A$2:$A$896,2024)</f>
        <v>-67639</v>
      </c>
      <c r="I54" s="12" t="n">
        <f aca="false">SUMIFS(거래내역!$N$2:$N$896,거래내역!$D$2:$D$896,$A54,거래내역!$L$2:$L$896,"&lt;&gt;보유중",거래내역!$A$2:$A$896,2025)</f>
        <v>60803</v>
      </c>
      <c r="J54" s="12" t="n">
        <f aca="false">SUMIFS(거래내역!$N$2:$N$896,거래내역!$D$2:$D$896,$A54,거래내역!$L$2:$L$896,"&lt;&gt;보유중",거래내역!$A$2:$A$896,2026)</f>
        <v>-16933</v>
      </c>
    </row>
    <row r="55" customFormat="false" ht="15" hidden="false" customHeight="false" outlineLevel="0" collapsed="false">
      <c r="A55" s="5" t="s">
        <v>127</v>
      </c>
      <c r="B55" s="10" t="n">
        <f aca="false">COUNTIFS(거래내역!$D$2:$D$896,A55,거래내역!$L$2:$L$896,"&lt;&gt;보유중")</f>
        <v>178</v>
      </c>
      <c r="C55" s="10" t="n">
        <f aca="false">COUNTIFS(거래내역!$D$2:$D$896,A55,거래내역!$L$2:$L$896,"익절")</f>
        <v>43</v>
      </c>
      <c r="D55" s="10" t="n">
        <f aca="false">COUNTIFS(거래내역!$D$2:$D$896,A55,거래내역!$L$2:$L$896,"손절")</f>
        <v>135</v>
      </c>
      <c r="E55" s="11" t="n">
        <f aca="false">IFERROR(C55/(C55+D55),0)</f>
        <v>0.241573033707865</v>
      </c>
      <c r="F55" s="12" t="n">
        <f aca="false">SUMIFS(거래내역!$N$2:$N$896,거래내역!$D$2:$D$896,A55,거래내역!$L$2:$L$896,"&lt;&gt;보유중")</f>
        <v>111573</v>
      </c>
      <c r="G55" s="13" t="n">
        <f aca="false">IFERROR(AVERAGEIFS(거래내역!$O$2:$O$896,거래내역!$D$2:$D$896,A55,거래내역!$L$2:$L$896,"&lt;&gt;보유중"),0)</f>
        <v>0.00928708195171747</v>
      </c>
      <c r="H55" s="12" t="n">
        <f aca="false">SUMIFS(거래내역!$N$2:$N$896,거래내역!$D$2:$D$896,$A55,거래내역!$L$2:$L$896,"&lt;&gt;보유중",거래내역!$A$2:$A$896,2024)</f>
        <v>113907</v>
      </c>
      <c r="I55" s="12" t="n">
        <f aca="false">SUMIFS(거래내역!$N$2:$N$896,거래내역!$D$2:$D$896,$A55,거래내역!$L$2:$L$896,"&lt;&gt;보유중",거래내역!$A$2:$A$896,2025)</f>
        <v>38774</v>
      </c>
      <c r="J55" s="12" t="n">
        <f aca="false">SUMIFS(거래내역!$N$2:$N$896,거래내역!$D$2:$D$896,$A55,거래내역!$L$2:$L$896,"&lt;&gt;보유중",거래내역!$A$2:$A$896,2026)</f>
        <v>-41108</v>
      </c>
    </row>
    <row r="56" customFormat="false" ht="15" hidden="false" customHeight="false" outlineLevel="0" collapsed="false">
      <c r="A56" s="5" t="s">
        <v>128</v>
      </c>
      <c r="B56" s="10" t="n">
        <f aca="false">COUNTIFS(거래내역!$D$2:$D$896,A56,거래내역!$L$2:$L$896,"&lt;&gt;보유중")</f>
        <v>170</v>
      </c>
      <c r="C56" s="10" t="n">
        <f aca="false">COUNTIFS(거래내역!$D$2:$D$896,A56,거래내역!$L$2:$L$896,"익절")</f>
        <v>40</v>
      </c>
      <c r="D56" s="10" t="n">
        <f aca="false">COUNTIFS(거래내역!$D$2:$D$896,A56,거래내역!$L$2:$L$896,"손절")</f>
        <v>130</v>
      </c>
      <c r="E56" s="11" t="n">
        <f aca="false">IFERROR(C56/(C56+D56),0)</f>
        <v>0.235294117647059</v>
      </c>
      <c r="F56" s="12" t="n">
        <f aca="false">SUMIFS(거래내역!$N$2:$N$896,거래내역!$D$2:$D$896,A56,거래내역!$L$2:$L$896,"&lt;&gt;보유중")</f>
        <v>91300</v>
      </c>
      <c r="G56" s="13" t="n">
        <f aca="false">IFERROR(AVERAGEIFS(거래내역!$O$2:$O$896,거래내역!$D$2:$D$896,A56,거래내역!$L$2:$L$896,"&lt;&gt;보유중"),0)</f>
        <v>0.00549503095241657</v>
      </c>
      <c r="H56" s="12" t="n">
        <f aca="false">SUMIFS(거래내역!$N$2:$N$896,거래내역!$D$2:$D$896,$A56,거래내역!$L$2:$L$896,"&lt;&gt;보유중",거래내역!$A$2:$A$896,2024)</f>
        <v>-25066</v>
      </c>
      <c r="I56" s="12" t="n">
        <f aca="false">SUMIFS(거래내역!$N$2:$N$896,거래내역!$D$2:$D$896,$A56,거래내역!$L$2:$L$896,"&lt;&gt;보유중",거래내역!$A$2:$A$896,2025)</f>
        <v>152554</v>
      </c>
      <c r="J56" s="12" t="n">
        <f aca="false">SUMIFS(거래내역!$N$2:$N$896,거래내역!$D$2:$D$896,$A56,거래내역!$L$2:$L$896,"&lt;&gt;보유중",거래내역!$A$2:$A$896,2026)</f>
        <v>-36188</v>
      </c>
    </row>
    <row r="57" customFormat="false" ht="15" hidden="false" customHeight="false" outlineLevel="0" collapsed="false">
      <c r="A57" s="5" t="s">
        <v>129</v>
      </c>
      <c r="B57" s="10" t="n">
        <f aca="false">COUNTIFS(거래내역!$D$2:$D$896,A57,거래내역!$L$2:$L$896,"&lt;&gt;보유중")</f>
        <v>184</v>
      </c>
      <c r="C57" s="10" t="n">
        <f aca="false">COUNTIFS(거래내역!$D$2:$D$896,A57,거래내역!$L$2:$L$896,"익절")</f>
        <v>49</v>
      </c>
      <c r="D57" s="10" t="n">
        <f aca="false">COUNTIFS(거래내역!$D$2:$D$896,A57,거래내역!$L$2:$L$896,"손절")</f>
        <v>135</v>
      </c>
      <c r="E57" s="11" t="n">
        <f aca="false">IFERROR(C57/(C57+D57),0)</f>
        <v>0.266304347826087</v>
      </c>
      <c r="F57" s="12" t="n">
        <f aca="false">SUMIFS(거래내역!$N$2:$N$896,거래내역!$D$2:$D$896,A57,거래내역!$L$2:$L$896,"&lt;&gt;보유중")</f>
        <v>236075</v>
      </c>
      <c r="G57" s="13" t="n">
        <f aca="false">IFERROR(AVERAGEIFS(거래내역!$O$2:$O$896,거래내역!$D$2:$D$896,A57,거래내역!$L$2:$L$896,"&lt;&gt;보유중"),0)</f>
        <v>0.0133952927210325</v>
      </c>
      <c r="H57" s="12" t="n">
        <f aca="false">SUMIFS(거래내역!$N$2:$N$896,거래내역!$D$2:$D$896,$A57,거래내역!$L$2:$L$896,"&lt;&gt;보유중",거래내역!$A$2:$A$896,2024)</f>
        <v>-60167</v>
      </c>
      <c r="I57" s="12" t="n">
        <f aca="false">SUMIFS(거래내역!$N$2:$N$896,거래내역!$D$2:$D$896,$A57,거래내역!$L$2:$L$896,"&lt;&gt;보유중",거래내역!$A$2:$A$896,2025)</f>
        <v>197972</v>
      </c>
      <c r="J57" s="12" t="n">
        <f aca="false">SUMIFS(거래내역!$N$2:$N$896,거래내역!$D$2:$D$896,$A57,거래내역!$L$2:$L$896,"&lt;&gt;보유중",거래내역!$A$2:$A$896,2026)</f>
        <v>98270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5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3" min="12" style="0" width="7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8" min="16" style="0" width="9"/>
    <col collapsed="false" customWidth="true" hidden="false" outlineLevel="0" max="19" min="19" style="0" width="12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7" min="24" style="0" width="9"/>
    <col collapsed="false" customWidth="true" hidden="false" outlineLevel="0" max="28" min="28" style="0" width="10"/>
    <col collapsed="false" customWidth="true" hidden="false" outlineLevel="0" max="29" min="29" style="0" width="12"/>
    <col collapsed="false" customWidth="true" hidden="false" outlineLevel="0" max="30" min="30" style="0" width="14"/>
    <col collapsed="false" customWidth="true" hidden="false" outlineLevel="0" max="32" min="31" style="0" width="12"/>
    <col collapsed="false" customWidth="true" hidden="false" outlineLevel="0" max="33" min="33" style="0" width="9"/>
  </cols>
  <sheetData>
    <row r="1" customFormat="false" ht="30" hidden="false" customHeight="true" outlineLevel="0" collapsed="false">
      <c r="A1" s="7" t="s">
        <v>29</v>
      </c>
      <c r="B1" s="7" t="s">
        <v>48</v>
      </c>
      <c r="C1" s="7" t="s">
        <v>130</v>
      </c>
      <c r="D1" s="7" t="s">
        <v>131</v>
      </c>
      <c r="E1" s="7" t="s">
        <v>132</v>
      </c>
      <c r="F1" s="7" t="s">
        <v>133</v>
      </c>
      <c r="G1" s="7" t="s">
        <v>134</v>
      </c>
      <c r="H1" s="7" t="s">
        <v>135</v>
      </c>
      <c r="I1" s="7" t="s">
        <v>136</v>
      </c>
      <c r="J1" s="7" t="s">
        <v>137</v>
      </c>
      <c r="K1" s="7" t="s">
        <v>138</v>
      </c>
      <c r="L1" s="7" t="s">
        <v>139</v>
      </c>
      <c r="M1" s="7" t="s">
        <v>140</v>
      </c>
      <c r="N1" s="7" t="s">
        <v>141</v>
      </c>
      <c r="O1" s="7" t="s">
        <v>142</v>
      </c>
      <c r="P1" s="7" t="s">
        <v>143</v>
      </c>
      <c r="Q1" s="7" t="s">
        <v>144</v>
      </c>
      <c r="R1" s="7" t="s">
        <v>145</v>
      </c>
      <c r="S1" s="7" t="s">
        <v>146</v>
      </c>
      <c r="T1" s="8" t="s">
        <v>147</v>
      </c>
      <c r="U1" s="8" t="s">
        <v>148</v>
      </c>
      <c r="V1" s="7" t="s">
        <v>149</v>
      </c>
      <c r="W1" s="7" t="s">
        <v>150</v>
      </c>
      <c r="X1" s="7" t="s">
        <v>151</v>
      </c>
      <c r="Y1" s="7" t="s">
        <v>152</v>
      </c>
      <c r="Z1" s="7" t="s">
        <v>153</v>
      </c>
      <c r="AA1" s="7" t="s">
        <v>154</v>
      </c>
      <c r="AB1" s="7" t="s">
        <v>155</v>
      </c>
      <c r="AC1" s="7" t="s">
        <v>156</v>
      </c>
      <c r="AD1" s="7" t="s">
        <v>157</v>
      </c>
      <c r="AE1" s="7" t="s">
        <v>158</v>
      </c>
      <c r="AF1" s="7" t="s">
        <v>159</v>
      </c>
      <c r="AG1" s="7" t="s">
        <v>160</v>
      </c>
    </row>
    <row r="2" customFormat="false" ht="15" hidden="false" customHeight="false" outlineLevel="0" collapsed="false">
      <c r="A2" s="10" t="n">
        <v>2024</v>
      </c>
      <c r="B2" s="28" t="s">
        <v>51</v>
      </c>
      <c r="C2" s="29" t="n">
        <v>45293</v>
      </c>
      <c r="D2" s="30" t="s">
        <v>126</v>
      </c>
      <c r="E2" s="28" t="s">
        <v>161</v>
      </c>
      <c r="F2" s="30" t="s">
        <v>162</v>
      </c>
      <c r="G2" s="31" t="n">
        <v>42242</v>
      </c>
      <c r="H2" s="31" t="n">
        <v>2</v>
      </c>
      <c r="I2" s="31" t="n">
        <v>84484</v>
      </c>
      <c r="J2" s="29" t="n">
        <v>45294</v>
      </c>
      <c r="K2" s="31" t="n">
        <v>40210</v>
      </c>
      <c r="L2" s="30" t="s">
        <v>32</v>
      </c>
      <c r="M2" s="10" t="n">
        <v>1</v>
      </c>
      <c r="N2" s="12" t="n">
        <v>-4234</v>
      </c>
      <c r="O2" s="13" t="n">
        <v>-0.0501203853610845</v>
      </c>
      <c r="P2" s="15" t="n">
        <v>0.00136829994649901</v>
      </c>
      <c r="Q2" s="13" t="n">
        <v>-0.0483450199090009</v>
      </c>
      <c r="R2" s="15" t="n">
        <v>0.096103896103896</v>
      </c>
      <c r="S2" s="32" t="n">
        <v>87684805800</v>
      </c>
      <c r="T2" s="15" t="n">
        <v>0.0876288659793814</v>
      </c>
      <c r="U2" s="32" t="n">
        <v>17067853480</v>
      </c>
      <c r="V2" s="14" t="n">
        <v>4.57815620632251</v>
      </c>
      <c r="W2" s="13" t="n">
        <v>0.0946822308690014</v>
      </c>
      <c r="X2" s="15" t="n">
        <v>0.00473933649289093</v>
      </c>
      <c r="Y2" s="13" t="n">
        <v>0.0054721159350426</v>
      </c>
      <c r="Z2" s="13" t="n">
        <v>0.0268421012146061</v>
      </c>
      <c r="AA2" s="30" t="s">
        <v>97</v>
      </c>
      <c r="AB2" s="28" t="s">
        <v>93</v>
      </c>
      <c r="AC2" s="28" t="s">
        <v>101</v>
      </c>
      <c r="AD2" s="28" t="s">
        <v>108</v>
      </c>
      <c r="AE2" s="28" t="s">
        <v>101</v>
      </c>
      <c r="AF2" s="28" t="s">
        <v>118</v>
      </c>
      <c r="AG2" s="30" t="s">
        <v>122</v>
      </c>
    </row>
    <row r="3" customFormat="false" ht="15" hidden="false" customHeight="false" outlineLevel="0" collapsed="false">
      <c r="A3" s="10" t="n">
        <v>2024</v>
      </c>
      <c r="B3" s="28" t="s">
        <v>51</v>
      </c>
      <c r="C3" s="29" t="n">
        <v>45293</v>
      </c>
      <c r="D3" s="30" t="s">
        <v>126</v>
      </c>
      <c r="E3" s="28" t="s">
        <v>163</v>
      </c>
      <c r="F3" s="30" t="s">
        <v>164</v>
      </c>
      <c r="G3" s="31" t="n">
        <v>34384</v>
      </c>
      <c r="H3" s="31" t="n">
        <v>2</v>
      </c>
      <c r="I3" s="31" t="n">
        <v>68769</v>
      </c>
      <c r="J3" s="29" t="n">
        <v>45294</v>
      </c>
      <c r="K3" s="31" t="n">
        <v>32717</v>
      </c>
      <c r="L3" s="30" t="s">
        <v>32</v>
      </c>
      <c r="M3" s="10" t="n">
        <v>1</v>
      </c>
      <c r="N3" s="12" t="n">
        <v>-3472</v>
      </c>
      <c r="O3" s="13" t="n">
        <v>-0.0504897225045698</v>
      </c>
      <c r="P3" s="15" t="n">
        <v>0.0731626452150471</v>
      </c>
      <c r="Q3" s="13" t="n">
        <v>-0.0475317986235017</v>
      </c>
      <c r="R3" s="15" t="n">
        <v>0.0784929356357929</v>
      </c>
      <c r="S3" s="32" t="n">
        <v>73617374250</v>
      </c>
      <c r="T3" s="15" t="n">
        <v>0.0768025078369905</v>
      </c>
      <c r="U3" s="32" t="n">
        <v>51819362917.5</v>
      </c>
      <c r="V3" s="14" t="n">
        <v>1.27273879905321</v>
      </c>
      <c r="W3" s="13" t="n">
        <v>0.0768025078369905</v>
      </c>
      <c r="X3" s="15" t="n">
        <v>0.00436681222707414</v>
      </c>
      <c r="Y3" s="13" t="n">
        <v>0.0054721159350426</v>
      </c>
      <c r="Z3" s="13" t="n">
        <v>0.0268421012146061</v>
      </c>
      <c r="AA3" s="30" t="s">
        <v>97</v>
      </c>
      <c r="AB3" s="28" t="s">
        <v>93</v>
      </c>
      <c r="AC3" s="28" t="s">
        <v>101</v>
      </c>
      <c r="AD3" s="28" t="s">
        <v>108</v>
      </c>
      <c r="AE3" s="28" t="s">
        <v>101</v>
      </c>
      <c r="AF3" s="28" t="s">
        <v>116</v>
      </c>
      <c r="AG3" s="30" t="s">
        <v>122</v>
      </c>
    </row>
    <row r="4" customFormat="false" ht="15" hidden="false" customHeight="false" outlineLevel="0" collapsed="false">
      <c r="A4" s="10" t="n">
        <v>2024</v>
      </c>
      <c r="B4" s="28" t="s">
        <v>51</v>
      </c>
      <c r="C4" s="29" t="n">
        <v>45293</v>
      </c>
      <c r="D4" s="30" t="s">
        <v>126</v>
      </c>
      <c r="E4" s="28" t="s">
        <v>165</v>
      </c>
      <c r="F4" s="28" t="s">
        <v>166</v>
      </c>
      <c r="G4" s="31" t="n">
        <v>12352</v>
      </c>
      <c r="H4" s="31" t="n">
        <v>8</v>
      </c>
      <c r="I4" s="31" t="n">
        <v>98815</v>
      </c>
      <c r="J4" s="29" t="n">
        <v>45322</v>
      </c>
      <c r="K4" s="31" t="n">
        <v>11758</v>
      </c>
      <c r="L4" s="30" t="s">
        <v>32</v>
      </c>
      <c r="M4" s="10" t="n">
        <v>21</v>
      </c>
      <c r="N4" s="12" t="n">
        <v>-4947</v>
      </c>
      <c r="O4" s="13" t="n">
        <v>-0.0500661875394358</v>
      </c>
      <c r="P4" s="15" t="n">
        <v>0.0955336798033428</v>
      </c>
      <c r="Q4" s="13" t="n">
        <v>-0.0932539105590506</v>
      </c>
      <c r="R4" s="15" t="n">
        <v>0.0478806907378335</v>
      </c>
      <c r="S4" s="32" t="n">
        <v>35407724400</v>
      </c>
      <c r="T4" s="15" t="n">
        <v>0.0183066361556064</v>
      </c>
      <c r="U4" s="32" t="n">
        <v>21400589342</v>
      </c>
      <c r="V4" s="14" t="n">
        <v>1.53781428995188</v>
      </c>
      <c r="W4" s="13" t="n">
        <v>0.0478806907378335</v>
      </c>
      <c r="X4" s="15" t="n">
        <v>0.0127340823970037</v>
      </c>
      <c r="Y4" s="13" t="n">
        <v>0.0054721159350426</v>
      </c>
      <c r="Z4" s="13" t="n">
        <v>0.0268421012146061</v>
      </c>
      <c r="AA4" s="30" t="s">
        <v>97</v>
      </c>
      <c r="AB4" s="28" t="s">
        <v>93</v>
      </c>
      <c r="AC4" s="28" t="s">
        <v>100</v>
      </c>
      <c r="AD4" s="28" t="s">
        <v>107</v>
      </c>
      <c r="AE4" s="28" t="s">
        <v>112</v>
      </c>
      <c r="AF4" s="28" t="s">
        <v>116</v>
      </c>
      <c r="AG4" s="30" t="s">
        <v>122</v>
      </c>
    </row>
    <row r="5" customFormat="false" ht="15" hidden="false" customHeight="false" outlineLevel="0" collapsed="false">
      <c r="A5" s="10" t="n">
        <v>2024</v>
      </c>
      <c r="B5" s="28" t="s">
        <v>51</v>
      </c>
      <c r="C5" s="29" t="n">
        <v>45294</v>
      </c>
      <c r="D5" s="30" t="s">
        <v>127</v>
      </c>
      <c r="E5" s="28" t="s">
        <v>167</v>
      </c>
      <c r="F5" s="30" t="s">
        <v>168</v>
      </c>
      <c r="G5" s="31" t="n">
        <v>13994</v>
      </c>
      <c r="H5" s="31" t="n">
        <v>7</v>
      </c>
      <c r="I5" s="31" t="n">
        <v>97958</v>
      </c>
      <c r="J5" s="29" t="n">
        <v>45295</v>
      </c>
      <c r="K5" s="31" t="n">
        <v>13317</v>
      </c>
      <c r="L5" s="30" t="s">
        <v>32</v>
      </c>
      <c r="M5" s="10" t="n">
        <v>1</v>
      </c>
      <c r="N5" s="12" t="n">
        <v>-4938</v>
      </c>
      <c r="O5" s="13" t="n">
        <v>-0.050405717565696</v>
      </c>
      <c r="P5" s="15" t="n">
        <v>-0.00314277996681411</v>
      </c>
      <c r="Q5" s="13" t="n">
        <v>-0.0488767312801646</v>
      </c>
      <c r="R5" s="15" t="n">
        <v>0.232804232804233</v>
      </c>
      <c r="S5" s="32" t="n">
        <v>215546701620</v>
      </c>
      <c r="T5" s="15" t="n">
        <v>0.179746835443038</v>
      </c>
      <c r="U5" s="32" t="n">
        <v>3431905414</v>
      </c>
      <c r="V5" s="14" t="n">
        <v>50.602239489797</v>
      </c>
      <c r="W5" s="13" t="n">
        <v>0.214596003475239</v>
      </c>
      <c r="X5" s="15" t="n">
        <v>0.0543633762517883</v>
      </c>
      <c r="Y5" s="13" t="n">
        <v>-0.0234099055738049</v>
      </c>
      <c r="Z5" s="13" t="n">
        <v>0.00300056549118866</v>
      </c>
      <c r="AA5" s="30" t="s">
        <v>97</v>
      </c>
      <c r="AB5" s="28" t="s">
        <v>93</v>
      </c>
      <c r="AC5" s="28" t="s">
        <v>104</v>
      </c>
      <c r="AD5" s="28" t="s">
        <v>110</v>
      </c>
      <c r="AE5" s="28" t="s">
        <v>114</v>
      </c>
      <c r="AF5" s="28" t="s">
        <v>120</v>
      </c>
      <c r="AG5" s="30" t="s">
        <v>122</v>
      </c>
    </row>
    <row r="6" customFormat="false" ht="15" hidden="false" customHeight="false" outlineLevel="0" collapsed="false">
      <c r="A6" s="10" t="n">
        <v>2024</v>
      </c>
      <c r="B6" s="28" t="s">
        <v>51</v>
      </c>
      <c r="C6" s="29" t="n">
        <v>45294</v>
      </c>
      <c r="D6" s="30" t="s">
        <v>127</v>
      </c>
      <c r="E6" s="28" t="s">
        <v>169</v>
      </c>
      <c r="F6" s="30" t="s">
        <v>170</v>
      </c>
      <c r="G6" s="31" t="n">
        <v>43293</v>
      </c>
      <c r="H6" s="31" t="n">
        <v>2</v>
      </c>
      <c r="I6" s="31" t="n">
        <v>86586</v>
      </c>
      <c r="J6" s="29" t="n">
        <v>45295</v>
      </c>
      <c r="K6" s="31" t="n">
        <v>52000</v>
      </c>
      <c r="L6" s="30" t="s">
        <v>31</v>
      </c>
      <c r="M6" s="10" t="n">
        <v>1</v>
      </c>
      <c r="N6" s="12" t="n">
        <v>17198</v>
      </c>
      <c r="O6" s="13" t="n">
        <v>0.198618861196607</v>
      </c>
      <c r="P6" s="15" t="n">
        <v>0.298123841476443</v>
      </c>
      <c r="Q6" s="13" t="n">
        <v>-0.0160128888452586</v>
      </c>
      <c r="R6" s="15" t="n">
        <v>0.0409145607701564</v>
      </c>
      <c r="S6" s="32" t="n">
        <v>51222099500</v>
      </c>
      <c r="T6" s="15" t="n">
        <v>0.0409145607701564</v>
      </c>
      <c r="U6" s="32" t="n">
        <v>57784060322.5</v>
      </c>
      <c r="V6" s="14" t="n">
        <v>0.768447659501135</v>
      </c>
      <c r="W6" s="13" t="n">
        <v>0.0396634615384615</v>
      </c>
      <c r="X6" s="15" t="n">
        <v>0.0208092485549134</v>
      </c>
      <c r="Y6" s="13" t="n">
        <v>-0.0234099055738049</v>
      </c>
      <c r="Z6" s="13" t="n">
        <v>0.00300056549118866</v>
      </c>
      <c r="AA6" s="30" t="s">
        <v>97</v>
      </c>
      <c r="AB6" s="28" t="s">
        <v>93</v>
      </c>
      <c r="AC6" s="28" t="s">
        <v>100</v>
      </c>
      <c r="AD6" s="28" t="s">
        <v>108</v>
      </c>
      <c r="AE6" s="28" t="s">
        <v>113</v>
      </c>
      <c r="AF6" s="28" t="s">
        <v>116</v>
      </c>
      <c r="AG6" s="30" t="s">
        <v>122</v>
      </c>
    </row>
    <row r="7" customFormat="false" ht="15" hidden="false" customHeight="false" outlineLevel="0" collapsed="false">
      <c r="A7" s="10" t="n">
        <v>2024</v>
      </c>
      <c r="B7" s="28" t="s">
        <v>51</v>
      </c>
      <c r="C7" s="29" t="n">
        <v>45294</v>
      </c>
      <c r="D7" s="30" t="s">
        <v>127</v>
      </c>
      <c r="E7" s="28" t="s">
        <v>171</v>
      </c>
      <c r="F7" s="30" t="s">
        <v>172</v>
      </c>
      <c r="G7" s="31" t="n">
        <v>81081</v>
      </c>
      <c r="H7" s="31" t="n">
        <v>1</v>
      </c>
      <c r="I7" s="31" t="n">
        <v>81081</v>
      </c>
      <c r="J7" s="29" t="n">
        <v>45296</v>
      </c>
      <c r="K7" s="31" t="n">
        <v>77123</v>
      </c>
      <c r="L7" s="30" t="s">
        <v>32</v>
      </c>
      <c r="M7" s="10" t="n">
        <v>2</v>
      </c>
      <c r="N7" s="12" t="n">
        <v>-4121</v>
      </c>
      <c r="O7" s="13" t="n">
        <v>-0.0508226540126539</v>
      </c>
      <c r="P7" s="15" t="n">
        <v>0.0162676829343498</v>
      </c>
      <c r="Q7" s="13" t="n">
        <v>-0.0712990712990711</v>
      </c>
      <c r="R7" s="15" t="n">
        <v>0.0785619174434087</v>
      </c>
      <c r="S7" s="32" t="n">
        <v>43903458000</v>
      </c>
      <c r="T7" s="15" t="n">
        <v>0.0371318822023048</v>
      </c>
      <c r="U7" s="32" t="n">
        <v>6282555405</v>
      </c>
      <c r="V7" s="14" t="n">
        <v>6.3462762236227</v>
      </c>
      <c r="W7" s="13" t="n">
        <v>0.0843373493975903</v>
      </c>
      <c r="X7" s="15" t="n">
        <v>0</v>
      </c>
      <c r="Y7" s="13" t="n">
        <v>-0.0234099055738049</v>
      </c>
      <c r="Z7" s="13" t="n">
        <v>0.00300056549118866</v>
      </c>
      <c r="AA7" s="30" t="s">
        <v>97</v>
      </c>
      <c r="AB7" s="28" t="s">
        <v>93</v>
      </c>
      <c r="AC7" s="28" t="s">
        <v>101</v>
      </c>
      <c r="AD7" s="28" t="s">
        <v>107</v>
      </c>
      <c r="AE7" s="28" t="s">
        <v>113</v>
      </c>
      <c r="AF7" s="28" t="s">
        <v>119</v>
      </c>
      <c r="AG7" s="30" t="s">
        <v>122</v>
      </c>
    </row>
    <row r="8" customFormat="false" ht="15" hidden="false" customHeight="false" outlineLevel="0" collapsed="false">
      <c r="A8" s="10" t="n">
        <v>2024</v>
      </c>
      <c r="B8" s="28" t="s">
        <v>51</v>
      </c>
      <c r="C8" s="29" t="n">
        <v>45294</v>
      </c>
      <c r="D8" s="30" t="s">
        <v>127</v>
      </c>
      <c r="E8" s="28" t="s">
        <v>173</v>
      </c>
      <c r="F8" s="30" t="s">
        <v>174</v>
      </c>
      <c r="G8" s="31" t="n">
        <v>13750</v>
      </c>
      <c r="H8" s="31" t="n">
        <v>7</v>
      </c>
      <c r="I8" s="31" t="n">
        <v>96253</v>
      </c>
      <c r="J8" s="29" t="n">
        <v>45295</v>
      </c>
      <c r="K8" s="31" t="n">
        <v>13087</v>
      </c>
      <c r="L8" s="30" t="s">
        <v>32</v>
      </c>
      <c r="M8" s="10" t="n">
        <v>1</v>
      </c>
      <c r="N8" s="12" t="n">
        <v>-4838</v>
      </c>
      <c r="O8" s="13" t="n">
        <v>-0.0502587078252285</v>
      </c>
      <c r="P8" s="15" t="n">
        <v>0.00430777721614395</v>
      </c>
      <c r="Q8" s="13" t="n">
        <v>-0.051413394042876</v>
      </c>
      <c r="R8" s="15" t="n">
        <v>0.162037037037037</v>
      </c>
      <c r="S8" s="32" t="n">
        <v>40886394000</v>
      </c>
      <c r="T8" s="15" t="n">
        <v>0.111439114391144</v>
      </c>
      <c r="U8" s="32" t="n">
        <v>5170733909</v>
      </c>
      <c r="V8" s="14" t="n">
        <v>6.60956707384358</v>
      </c>
      <c r="W8" s="13" t="n">
        <v>0.15668202764977</v>
      </c>
      <c r="X8" s="15" t="n">
        <v>0.0889774236387784</v>
      </c>
      <c r="Y8" s="13" t="n">
        <v>-0.0234099055738049</v>
      </c>
      <c r="Z8" s="13" t="n">
        <v>0.00300056549118866</v>
      </c>
      <c r="AA8" s="30" t="s">
        <v>97</v>
      </c>
      <c r="AB8" s="28" t="s">
        <v>93</v>
      </c>
      <c r="AC8" s="28" t="s">
        <v>103</v>
      </c>
      <c r="AD8" s="28" t="s">
        <v>107</v>
      </c>
      <c r="AE8" s="28" t="s">
        <v>114</v>
      </c>
      <c r="AF8" s="28" t="s">
        <v>119</v>
      </c>
      <c r="AG8" s="30" t="s">
        <v>122</v>
      </c>
    </row>
    <row r="9" customFormat="false" ht="15" hidden="false" customHeight="false" outlineLevel="0" collapsed="false">
      <c r="A9" s="10" t="n">
        <v>2024</v>
      </c>
      <c r="B9" s="28" t="s">
        <v>51</v>
      </c>
      <c r="C9" s="29" t="n">
        <v>45294</v>
      </c>
      <c r="D9" s="30" t="s">
        <v>127</v>
      </c>
      <c r="E9" s="28" t="s">
        <v>175</v>
      </c>
      <c r="F9" s="30" t="s">
        <v>176</v>
      </c>
      <c r="G9" s="31" t="n">
        <v>22072</v>
      </c>
      <c r="H9" s="31" t="n">
        <v>4</v>
      </c>
      <c r="I9" s="31" t="n">
        <v>88288</v>
      </c>
      <c r="J9" s="29" t="n">
        <v>45320</v>
      </c>
      <c r="K9" s="31" t="n">
        <v>20979</v>
      </c>
      <c r="L9" s="30" t="s">
        <v>32</v>
      </c>
      <c r="M9" s="10" t="n">
        <v>18</v>
      </c>
      <c r="N9" s="12" t="n">
        <v>-4549</v>
      </c>
      <c r="O9" s="13" t="n">
        <v>-0.0515253389467675</v>
      </c>
      <c r="P9" s="15" t="n">
        <v>0.060164325470448</v>
      </c>
      <c r="Q9" s="13" t="n">
        <v>-0.0485704771419057</v>
      </c>
      <c r="R9" s="15" t="n">
        <v>0.0808823529411764</v>
      </c>
      <c r="S9" s="32" t="n">
        <v>33862162950</v>
      </c>
      <c r="T9" s="15" t="n">
        <v>0.0400943396226414</v>
      </c>
      <c r="U9" s="32" t="n">
        <v>5038553665.5</v>
      </c>
      <c r="V9" s="14" t="n">
        <v>6.1103281602875</v>
      </c>
      <c r="W9" s="13" t="n">
        <v>0.0808823529411764</v>
      </c>
      <c r="X9" s="15" t="n">
        <v>0.0430839002267573</v>
      </c>
      <c r="Y9" s="13" t="n">
        <v>-0.0234099055738049</v>
      </c>
      <c r="Z9" s="13" t="n">
        <v>0.00300056549118866</v>
      </c>
      <c r="AA9" s="30" t="s">
        <v>97</v>
      </c>
      <c r="AB9" s="28" t="s">
        <v>93</v>
      </c>
      <c r="AC9" s="28" t="s">
        <v>101</v>
      </c>
      <c r="AD9" s="28" t="s">
        <v>107</v>
      </c>
      <c r="AE9" s="28" t="s">
        <v>113</v>
      </c>
      <c r="AF9" s="28" t="s">
        <v>119</v>
      </c>
      <c r="AG9" s="30" t="s">
        <v>122</v>
      </c>
    </row>
    <row r="10" customFormat="false" ht="15" hidden="false" customHeight="false" outlineLevel="0" collapsed="false">
      <c r="A10" s="10" t="n">
        <v>2024</v>
      </c>
      <c r="B10" s="28" t="s">
        <v>51</v>
      </c>
      <c r="C10" s="29" t="n">
        <v>45294</v>
      </c>
      <c r="D10" s="30" t="s">
        <v>127</v>
      </c>
      <c r="E10" s="28" t="s">
        <v>177</v>
      </c>
      <c r="F10" s="30" t="s">
        <v>178</v>
      </c>
      <c r="G10" s="31" t="n">
        <v>24524</v>
      </c>
      <c r="H10" s="31" t="n">
        <v>4</v>
      </c>
      <c r="I10" s="31" t="n">
        <v>98098</v>
      </c>
      <c r="J10" s="29" t="n">
        <v>45295</v>
      </c>
      <c r="K10" s="31" t="n">
        <v>23327</v>
      </c>
      <c r="L10" s="30" t="s">
        <v>32</v>
      </c>
      <c r="M10" s="10" t="n">
        <v>1</v>
      </c>
      <c r="N10" s="12" t="n">
        <v>-4988</v>
      </c>
      <c r="O10" s="13" t="n">
        <v>-0.050847749903158</v>
      </c>
      <c r="P10" s="15" t="n">
        <v>-0.00507655609696411</v>
      </c>
      <c r="Q10" s="13" t="n">
        <v>-0.0478908846255783</v>
      </c>
      <c r="R10" s="15" t="n">
        <v>0.044776119402985</v>
      </c>
      <c r="S10" s="32" t="n">
        <v>25746413000</v>
      </c>
      <c r="T10" s="15" t="n">
        <v>0.044776119402985</v>
      </c>
      <c r="U10" s="32" t="n">
        <v>7877831197.5</v>
      </c>
      <c r="V10" s="14" t="n">
        <v>2.98904048260446</v>
      </c>
      <c r="W10" s="13" t="n">
        <v>0.0560344827586208</v>
      </c>
      <c r="X10" s="15" t="n">
        <v>0.0204081632653062</v>
      </c>
      <c r="Y10" s="13" t="n">
        <v>-0.0234099055738049</v>
      </c>
      <c r="Z10" s="13" t="n">
        <v>0.00300056549118866</v>
      </c>
      <c r="AA10" s="30" t="s">
        <v>97</v>
      </c>
      <c r="AB10" s="28" t="s">
        <v>93</v>
      </c>
      <c r="AC10" s="28" t="s">
        <v>100</v>
      </c>
      <c r="AD10" s="28" t="s">
        <v>106</v>
      </c>
      <c r="AE10" s="28" t="s">
        <v>113</v>
      </c>
      <c r="AF10" s="28" t="s">
        <v>117</v>
      </c>
      <c r="AG10" s="30" t="s">
        <v>122</v>
      </c>
    </row>
    <row r="11" customFormat="false" ht="15" hidden="false" customHeight="false" outlineLevel="0" collapsed="false">
      <c r="A11" s="10" t="n">
        <v>2024</v>
      </c>
      <c r="B11" s="28" t="s">
        <v>51</v>
      </c>
      <c r="C11" s="29" t="n">
        <v>45295</v>
      </c>
      <c r="D11" s="30" t="s">
        <v>128</v>
      </c>
      <c r="E11" s="28" t="s">
        <v>179</v>
      </c>
      <c r="F11" s="30" t="s">
        <v>180</v>
      </c>
      <c r="G11" s="31" t="n">
        <v>7638</v>
      </c>
      <c r="H11" s="31" t="n">
        <v>13</v>
      </c>
      <c r="I11" s="31" t="n">
        <v>99289</v>
      </c>
      <c r="J11" s="29" t="n">
        <v>45296</v>
      </c>
      <c r="K11" s="31" t="n">
        <v>7263</v>
      </c>
      <c r="L11" s="30" t="s">
        <v>32</v>
      </c>
      <c r="M11" s="10" t="n">
        <v>1</v>
      </c>
      <c r="N11" s="12" t="n">
        <v>-5073</v>
      </c>
      <c r="O11" s="13" t="n">
        <v>-0.0510901900196789</v>
      </c>
      <c r="P11" s="15" t="n">
        <v>-0.000999000999000854</v>
      </c>
      <c r="Q11" s="13" t="n">
        <v>-0.0730108685547741</v>
      </c>
      <c r="R11" s="15" t="n">
        <v>0.132047477744807</v>
      </c>
      <c r="S11" s="32" t="n">
        <v>60691026690</v>
      </c>
      <c r="T11" s="15" t="n">
        <v>0.132047477744807</v>
      </c>
      <c r="U11" s="32" t="n">
        <v>4781786113.5</v>
      </c>
      <c r="V11" s="14" t="n">
        <v>10.9171989951952</v>
      </c>
      <c r="W11" s="13" t="n">
        <v>0.135416666666667</v>
      </c>
      <c r="X11" s="15" t="n">
        <v>0.0760157273918742</v>
      </c>
      <c r="Y11" s="13" t="n">
        <v>-0.00778196685472765</v>
      </c>
      <c r="Z11" s="13" t="n">
        <v>-0.00598250204603879</v>
      </c>
      <c r="AA11" s="30" t="s">
        <v>97</v>
      </c>
      <c r="AB11" s="28" t="s">
        <v>94</v>
      </c>
      <c r="AC11" s="28" t="s">
        <v>102</v>
      </c>
      <c r="AD11" s="28" t="s">
        <v>108</v>
      </c>
      <c r="AE11" s="28" t="s">
        <v>114</v>
      </c>
      <c r="AF11" s="28" t="s">
        <v>120</v>
      </c>
      <c r="AG11" s="30" t="s">
        <v>122</v>
      </c>
    </row>
    <row r="12" customFormat="false" ht="15" hidden="false" customHeight="false" outlineLevel="0" collapsed="false">
      <c r="A12" s="10" t="n">
        <v>2024</v>
      </c>
      <c r="B12" s="28" t="s">
        <v>51</v>
      </c>
      <c r="C12" s="29" t="n">
        <v>45295</v>
      </c>
      <c r="D12" s="30" t="s">
        <v>128</v>
      </c>
      <c r="E12" s="28" t="s">
        <v>181</v>
      </c>
      <c r="F12" s="30" t="s">
        <v>182</v>
      </c>
      <c r="G12" s="31" t="n">
        <v>21371</v>
      </c>
      <c r="H12" s="31" t="n">
        <v>4</v>
      </c>
      <c r="I12" s="31" t="n">
        <v>85485</v>
      </c>
      <c r="J12" s="29" t="n">
        <v>45296</v>
      </c>
      <c r="K12" s="31" t="n">
        <v>20330</v>
      </c>
      <c r="L12" s="30" t="s">
        <v>32</v>
      </c>
      <c r="M12" s="10" t="n">
        <v>1</v>
      </c>
      <c r="N12" s="12" t="n">
        <v>-4338</v>
      </c>
      <c r="O12" s="13" t="n">
        <v>-0.0507477777491829</v>
      </c>
      <c r="P12" s="15" t="n">
        <v>-0.00333858179291424</v>
      </c>
      <c r="Q12" s="13" t="n">
        <v>-0.0646355985934439</v>
      </c>
      <c r="R12" s="15" t="n">
        <v>0.147849462365592</v>
      </c>
      <c r="S12" s="32" t="n">
        <v>47282222400</v>
      </c>
      <c r="T12" s="15" t="n">
        <v>0.0314009661835748</v>
      </c>
      <c r="U12" s="32" t="n">
        <v>5914969461</v>
      </c>
      <c r="V12" s="14" t="n">
        <v>7.14321793545628</v>
      </c>
      <c r="W12" s="13" t="n">
        <v>0.154054054054054</v>
      </c>
      <c r="X12" s="15" t="n">
        <v>0.0374707259953162</v>
      </c>
      <c r="Y12" s="13" t="n">
        <v>-0.00778196685472765</v>
      </c>
      <c r="Z12" s="13" t="n">
        <v>-0.00598250204603879</v>
      </c>
      <c r="AA12" s="30" t="s">
        <v>97</v>
      </c>
      <c r="AB12" s="28" t="s">
        <v>94</v>
      </c>
      <c r="AC12" s="28" t="s">
        <v>102</v>
      </c>
      <c r="AD12" s="28" t="s">
        <v>107</v>
      </c>
      <c r="AE12" s="28" t="s">
        <v>113</v>
      </c>
      <c r="AF12" s="28" t="s">
        <v>119</v>
      </c>
      <c r="AG12" s="30" t="s">
        <v>122</v>
      </c>
    </row>
    <row r="13" customFormat="false" ht="15" hidden="false" customHeight="false" outlineLevel="0" collapsed="false">
      <c r="A13" s="10" t="n">
        <v>2024</v>
      </c>
      <c r="B13" s="28" t="s">
        <v>51</v>
      </c>
      <c r="C13" s="29" t="n">
        <v>45295</v>
      </c>
      <c r="D13" s="30" t="s">
        <v>128</v>
      </c>
      <c r="E13" s="28" t="s">
        <v>183</v>
      </c>
      <c r="F13" s="30" t="s">
        <v>184</v>
      </c>
      <c r="G13" s="31" t="n">
        <v>23073</v>
      </c>
      <c r="H13" s="31" t="n">
        <v>4</v>
      </c>
      <c r="I13" s="31" t="n">
        <v>92292</v>
      </c>
      <c r="J13" s="29" t="n">
        <v>45306</v>
      </c>
      <c r="K13" s="31" t="n">
        <v>21928</v>
      </c>
      <c r="L13" s="30" t="s">
        <v>32</v>
      </c>
      <c r="M13" s="10" t="n">
        <v>7</v>
      </c>
      <c r="N13" s="12" t="n">
        <v>-4765</v>
      </c>
      <c r="O13" s="13" t="n">
        <v>-0.0516282266540403</v>
      </c>
      <c r="P13" s="15" t="n">
        <v>0.103018456597632</v>
      </c>
      <c r="Q13" s="13" t="n">
        <v>-0.0768450638298794</v>
      </c>
      <c r="R13" s="15" t="n">
        <v>0.0382882882882882</v>
      </c>
      <c r="S13" s="32" t="n">
        <v>45050233850</v>
      </c>
      <c r="T13" s="15" t="n">
        <v>0.0244444444444445</v>
      </c>
      <c r="U13" s="32" t="n">
        <v>11957694916</v>
      </c>
      <c r="V13" s="14" t="n">
        <v>3.44384346531611</v>
      </c>
      <c r="W13" s="13" t="n">
        <v>0.0221729490022173</v>
      </c>
      <c r="X13" s="15" t="n">
        <v>0.0715835140997831</v>
      </c>
      <c r="Y13" s="13" t="n">
        <v>-0.00778196685472765</v>
      </c>
      <c r="Z13" s="13" t="n">
        <v>-0.00598250204603879</v>
      </c>
      <c r="AA13" s="30" t="s">
        <v>97</v>
      </c>
      <c r="AB13" s="28" t="s">
        <v>94</v>
      </c>
      <c r="AC13" s="28" t="s">
        <v>100</v>
      </c>
      <c r="AD13" s="28" t="s">
        <v>107</v>
      </c>
      <c r="AE13" s="28" t="s">
        <v>113</v>
      </c>
      <c r="AF13" s="28" t="s">
        <v>118</v>
      </c>
      <c r="AG13" s="30" t="s">
        <v>122</v>
      </c>
    </row>
    <row r="14" customFormat="false" ht="15" hidden="false" customHeight="false" outlineLevel="0" collapsed="false">
      <c r="A14" s="10" t="n">
        <v>2024</v>
      </c>
      <c r="B14" s="28" t="s">
        <v>51</v>
      </c>
      <c r="C14" s="29" t="n">
        <v>45295</v>
      </c>
      <c r="D14" s="30" t="s">
        <v>128</v>
      </c>
      <c r="E14" s="28" t="s">
        <v>185</v>
      </c>
      <c r="F14" s="30" t="s">
        <v>186</v>
      </c>
      <c r="G14" s="31" t="n">
        <v>9409</v>
      </c>
      <c r="H14" s="31" t="n">
        <v>10</v>
      </c>
      <c r="I14" s="31" t="n">
        <v>94094</v>
      </c>
      <c r="J14" s="29" t="n">
        <v>45306</v>
      </c>
      <c r="K14" s="31" t="n">
        <v>8951</v>
      </c>
      <c r="L14" s="30" t="s">
        <v>32</v>
      </c>
      <c r="M14" s="10" t="n">
        <v>7</v>
      </c>
      <c r="N14" s="12" t="n">
        <v>-4772</v>
      </c>
      <c r="O14" s="13" t="n">
        <v>-0.050717998809701</v>
      </c>
      <c r="P14" s="15" t="n">
        <v>0.0627670202138289</v>
      </c>
      <c r="Q14" s="13" t="n">
        <v>-0.0520118179692648</v>
      </c>
      <c r="R14" s="15" t="n">
        <v>0.0479375696767002</v>
      </c>
      <c r="S14" s="32" t="n">
        <v>26175249400</v>
      </c>
      <c r="T14" s="15" t="n">
        <v>0.0262008733624455</v>
      </c>
      <c r="U14" s="32" t="n">
        <v>13462459367.5</v>
      </c>
      <c r="V14" s="14" t="n">
        <v>1.77771775302966</v>
      </c>
      <c r="W14" s="13" t="n">
        <v>0.0561797752808988</v>
      </c>
      <c r="X14" s="15" t="n">
        <v>0.0106382978723405</v>
      </c>
      <c r="Y14" s="13" t="n">
        <v>-0.00778196685472765</v>
      </c>
      <c r="Z14" s="13" t="n">
        <v>-0.00598250204603879</v>
      </c>
      <c r="AA14" s="30" t="s">
        <v>97</v>
      </c>
      <c r="AB14" s="28" t="s">
        <v>94</v>
      </c>
      <c r="AC14" s="28" t="s">
        <v>100</v>
      </c>
      <c r="AD14" s="28" t="s">
        <v>106</v>
      </c>
      <c r="AE14" s="28" t="s">
        <v>113</v>
      </c>
      <c r="AF14" s="28" t="s">
        <v>116</v>
      </c>
      <c r="AG14" s="30" t="s">
        <v>122</v>
      </c>
    </row>
    <row r="15" customFormat="false" ht="15" hidden="false" customHeight="false" outlineLevel="0" collapsed="false">
      <c r="A15" s="10" t="n">
        <v>2024</v>
      </c>
      <c r="B15" s="28" t="s">
        <v>51</v>
      </c>
      <c r="C15" s="29" t="n">
        <v>45295</v>
      </c>
      <c r="D15" s="30" t="s">
        <v>128</v>
      </c>
      <c r="E15" s="28" t="s">
        <v>187</v>
      </c>
      <c r="F15" s="28" t="s">
        <v>188</v>
      </c>
      <c r="G15" s="31" t="n">
        <v>87187</v>
      </c>
      <c r="H15" s="31" t="n">
        <v>1</v>
      </c>
      <c r="I15" s="31" t="n">
        <v>87187</v>
      </c>
      <c r="J15" s="29" t="n">
        <v>45316</v>
      </c>
      <c r="K15" s="31" t="n">
        <v>104700</v>
      </c>
      <c r="L15" s="30" t="s">
        <v>31</v>
      </c>
      <c r="M15" s="10" t="n">
        <v>15</v>
      </c>
      <c r="N15" s="12" t="n">
        <v>17296</v>
      </c>
      <c r="O15" s="13" t="n">
        <v>0.198374036239306</v>
      </c>
      <c r="P15" s="15" t="n">
        <v>0.204306600403041</v>
      </c>
      <c r="Q15" s="13" t="n">
        <v>-0.00788075300130398</v>
      </c>
      <c r="R15" s="15" t="n">
        <v>0.0151515151515151</v>
      </c>
      <c r="S15" s="32" t="n">
        <v>25150908900</v>
      </c>
      <c r="T15" s="15" t="n">
        <v>0.0151515151515151</v>
      </c>
      <c r="U15" s="32" t="n">
        <v>20746907455</v>
      </c>
      <c r="V15" s="14" t="n">
        <v>1.14967804046024</v>
      </c>
      <c r="W15" s="13" t="n">
        <v>0.0187134502923976</v>
      </c>
      <c r="X15" s="15" t="n">
        <v>0.0206659012629162</v>
      </c>
      <c r="Y15" s="13" t="n">
        <v>-0.00778196685472765</v>
      </c>
      <c r="Z15" s="13" t="n">
        <v>-0.00598250204603879</v>
      </c>
      <c r="AA15" s="30" t="s">
        <v>97</v>
      </c>
      <c r="AB15" s="28" t="s">
        <v>94</v>
      </c>
      <c r="AC15" s="28" t="s">
        <v>99</v>
      </c>
      <c r="AD15" s="28" t="s">
        <v>106</v>
      </c>
      <c r="AE15" s="28" t="s">
        <v>112</v>
      </c>
      <c r="AF15" s="28" t="s">
        <v>116</v>
      </c>
      <c r="AG15" s="30" t="s">
        <v>122</v>
      </c>
    </row>
    <row r="16" customFormat="false" ht="15" hidden="false" customHeight="false" outlineLevel="0" collapsed="false">
      <c r="A16" s="10" t="n">
        <v>2024</v>
      </c>
      <c r="B16" s="28" t="s">
        <v>51</v>
      </c>
      <c r="C16" s="29" t="n">
        <v>45296</v>
      </c>
      <c r="D16" s="30" t="s">
        <v>129</v>
      </c>
      <c r="E16" s="28" t="s">
        <v>189</v>
      </c>
      <c r="F16" s="30" t="s">
        <v>190</v>
      </c>
      <c r="G16" s="31" t="n">
        <v>21421</v>
      </c>
      <c r="H16" s="31" t="n">
        <v>4</v>
      </c>
      <c r="I16" s="31" t="n">
        <v>85686</v>
      </c>
      <c r="J16" s="29" t="n">
        <v>45299</v>
      </c>
      <c r="K16" s="31" t="n">
        <v>20380</v>
      </c>
      <c r="L16" s="30" t="s">
        <v>32</v>
      </c>
      <c r="M16" s="10" t="n">
        <v>1</v>
      </c>
      <c r="N16" s="12" t="n">
        <v>-4339</v>
      </c>
      <c r="O16" s="13" t="n">
        <v>-0.0506387738429795</v>
      </c>
      <c r="P16" s="15" t="n">
        <v>-0.0220060313518257</v>
      </c>
      <c r="Q16" s="13" t="n">
        <v>-0.0794252476495466</v>
      </c>
      <c r="R16" s="15" t="n">
        <v>0.218678815489749</v>
      </c>
      <c r="S16" s="32" t="n">
        <v>157553904800</v>
      </c>
      <c r="T16" s="15" t="n">
        <v>0.0263788968824941</v>
      </c>
      <c r="U16" s="32" t="n">
        <v>9075705841.5</v>
      </c>
      <c r="V16" s="14" t="n">
        <v>15.5711391523735</v>
      </c>
      <c r="W16" s="13" t="n">
        <v>0.218678815489749</v>
      </c>
      <c r="X16" s="15" t="n">
        <v>0.0654205607476635</v>
      </c>
      <c r="Y16" s="13" t="n">
        <v>-0.00345571352366814</v>
      </c>
      <c r="Z16" s="13" t="n">
        <v>-0.0135527070977617</v>
      </c>
      <c r="AA16" s="30" t="s">
        <v>97</v>
      </c>
      <c r="AB16" s="28" t="s">
        <v>94</v>
      </c>
      <c r="AC16" s="28" t="s">
        <v>104</v>
      </c>
      <c r="AD16" s="28" t="s">
        <v>109</v>
      </c>
      <c r="AE16" s="28" t="s">
        <v>113</v>
      </c>
      <c r="AF16" s="28" t="s">
        <v>120</v>
      </c>
      <c r="AG16" s="30" t="s">
        <v>122</v>
      </c>
    </row>
    <row r="17" customFormat="false" ht="15" hidden="false" customHeight="false" outlineLevel="0" collapsed="false">
      <c r="A17" s="10" t="n">
        <v>2024</v>
      </c>
      <c r="B17" s="28" t="s">
        <v>51</v>
      </c>
      <c r="C17" s="29" t="n">
        <v>45296</v>
      </c>
      <c r="D17" s="30" t="s">
        <v>129</v>
      </c>
      <c r="E17" s="28" t="s">
        <v>191</v>
      </c>
      <c r="F17" s="30" t="s">
        <v>192</v>
      </c>
      <c r="G17" s="31" t="n">
        <v>31481</v>
      </c>
      <c r="H17" s="31" t="n">
        <v>3</v>
      </c>
      <c r="I17" s="31" t="n">
        <v>94444</v>
      </c>
      <c r="J17" s="29" t="n">
        <v>45307</v>
      </c>
      <c r="K17" s="31" t="n">
        <v>29970</v>
      </c>
      <c r="L17" s="30" t="s">
        <v>32</v>
      </c>
      <c r="M17" s="10" t="n">
        <v>7</v>
      </c>
      <c r="N17" s="12" t="n">
        <v>-4724</v>
      </c>
      <c r="O17" s="13" t="n">
        <v>-0.0500171916318975</v>
      </c>
      <c r="P17" s="15" t="n">
        <v>0.140354081530552</v>
      </c>
      <c r="Q17" s="13" t="n">
        <v>-0.0470578705872823</v>
      </c>
      <c r="R17" s="15" t="n">
        <v>0.189035916824197</v>
      </c>
      <c r="S17" s="32" t="n">
        <v>147008936500</v>
      </c>
      <c r="T17" s="15" t="n">
        <v>0.152014652014652</v>
      </c>
      <c r="U17" s="32" t="n">
        <v>6333108430</v>
      </c>
      <c r="V17" s="14" t="n">
        <v>19.2464305411817</v>
      </c>
      <c r="W17" s="13" t="n">
        <v>0.180112570356473</v>
      </c>
      <c r="X17" s="15" t="n">
        <v>0.0381558028616853</v>
      </c>
      <c r="Y17" s="13" t="n">
        <v>-0.00345571352366814</v>
      </c>
      <c r="Z17" s="13" t="n">
        <v>-0.0135527070977617</v>
      </c>
      <c r="AA17" s="30" t="s">
        <v>97</v>
      </c>
      <c r="AB17" s="28" t="s">
        <v>94</v>
      </c>
      <c r="AC17" s="28" t="s">
        <v>103</v>
      </c>
      <c r="AD17" s="28" t="s">
        <v>109</v>
      </c>
      <c r="AE17" s="28" t="s">
        <v>114</v>
      </c>
      <c r="AF17" s="28" t="s">
        <v>120</v>
      </c>
      <c r="AG17" s="30" t="s">
        <v>122</v>
      </c>
    </row>
    <row r="18" customFormat="false" ht="15" hidden="false" customHeight="false" outlineLevel="0" collapsed="false">
      <c r="A18" s="10" t="n">
        <v>2024</v>
      </c>
      <c r="B18" s="28" t="s">
        <v>51</v>
      </c>
      <c r="C18" s="29" t="n">
        <v>45296</v>
      </c>
      <c r="D18" s="30" t="s">
        <v>129</v>
      </c>
      <c r="E18" s="28" t="s">
        <v>193</v>
      </c>
      <c r="F18" s="30" t="s">
        <v>194</v>
      </c>
      <c r="G18" s="31" t="n">
        <v>22222</v>
      </c>
      <c r="H18" s="31" t="n">
        <v>4</v>
      </c>
      <c r="I18" s="31" t="n">
        <v>88889</v>
      </c>
      <c r="J18" s="29" t="n">
        <v>45302</v>
      </c>
      <c r="K18" s="31" t="n">
        <v>21129</v>
      </c>
      <c r="L18" s="30" t="s">
        <v>32</v>
      </c>
      <c r="M18" s="10" t="n">
        <v>4</v>
      </c>
      <c r="N18" s="12" t="n">
        <v>-4552</v>
      </c>
      <c r="O18" s="13" t="n">
        <v>-0.0512048576423577</v>
      </c>
      <c r="P18" s="15" t="n">
        <v>0.0417510417510418</v>
      </c>
      <c r="Q18" s="13" t="n">
        <v>-0.0504990504990504</v>
      </c>
      <c r="R18" s="15" t="n">
        <v>0.0724637681159421</v>
      </c>
      <c r="S18" s="32" t="n">
        <v>81366774000</v>
      </c>
      <c r="T18" s="15" t="n">
        <v>0.0521327014218009</v>
      </c>
      <c r="U18" s="32" t="n">
        <v>12552382887</v>
      </c>
      <c r="V18" s="14" t="n">
        <v>5.90587249337352</v>
      </c>
      <c r="W18" s="13" t="n">
        <v>0.0673076923076923</v>
      </c>
      <c r="X18" s="15" t="n">
        <v>0.0157657657657657</v>
      </c>
      <c r="Y18" s="13" t="n">
        <v>-0.00345571352366814</v>
      </c>
      <c r="Z18" s="13" t="n">
        <v>-0.0135527070977617</v>
      </c>
      <c r="AA18" s="30" t="s">
        <v>97</v>
      </c>
      <c r="AB18" s="28" t="s">
        <v>94</v>
      </c>
      <c r="AC18" s="28" t="s">
        <v>101</v>
      </c>
      <c r="AD18" s="28" t="s">
        <v>108</v>
      </c>
      <c r="AE18" s="28" t="s">
        <v>101</v>
      </c>
      <c r="AF18" s="28" t="s">
        <v>119</v>
      </c>
      <c r="AG18" s="30" t="s">
        <v>122</v>
      </c>
    </row>
    <row r="19" customFormat="false" ht="15" hidden="false" customHeight="false" outlineLevel="0" collapsed="false">
      <c r="A19" s="10" t="n">
        <v>2024</v>
      </c>
      <c r="B19" s="28" t="s">
        <v>51</v>
      </c>
      <c r="C19" s="29" t="n">
        <v>45296</v>
      </c>
      <c r="D19" s="30" t="s">
        <v>129</v>
      </c>
      <c r="E19" s="28" t="s">
        <v>195</v>
      </c>
      <c r="F19" s="30" t="s">
        <v>196</v>
      </c>
      <c r="G19" s="31" t="n">
        <v>29379</v>
      </c>
      <c r="H19" s="31" t="n">
        <v>3</v>
      </c>
      <c r="I19" s="31" t="n">
        <v>88138</v>
      </c>
      <c r="J19" s="29" t="n">
        <v>45308</v>
      </c>
      <c r="K19" s="31" t="n">
        <v>27922</v>
      </c>
      <c r="L19" s="30" t="s">
        <v>32</v>
      </c>
      <c r="M19" s="10" t="n">
        <v>8</v>
      </c>
      <c r="N19" s="12" t="n">
        <v>-4548</v>
      </c>
      <c r="O19" s="13" t="n">
        <v>-0.0516061417287993</v>
      </c>
      <c r="P19" s="15" t="n">
        <v>0.0840947808579837</v>
      </c>
      <c r="Q19" s="13" t="n">
        <v>-0.0809871559445665</v>
      </c>
      <c r="R19" s="15" t="n">
        <v>0.087037037037037</v>
      </c>
      <c r="S19" s="32" t="n">
        <v>74650433600</v>
      </c>
      <c r="T19" s="15" t="n">
        <v>0.087037037037037</v>
      </c>
      <c r="U19" s="32" t="n">
        <v>3525058050</v>
      </c>
      <c r="V19" s="14" t="n">
        <v>18.7903906193438</v>
      </c>
      <c r="W19" s="13" t="n">
        <v>0.0790441176470589</v>
      </c>
      <c r="X19" s="15" t="n">
        <v>0.0545144804088587</v>
      </c>
      <c r="Y19" s="13" t="n">
        <v>-0.00345571352366814</v>
      </c>
      <c r="Z19" s="13" t="n">
        <v>-0.0135527070977617</v>
      </c>
      <c r="AA19" s="30" t="s">
        <v>97</v>
      </c>
      <c r="AB19" s="28" t="s">
        <v>94</v>
      </c>
      <c r="AC19" s="28" t="s">
        <v>101</v>
      </c>
      <c r="AD19" s="28" t="s">
        <v>108</v>
      </c>
      <c r="AE19" s="28" t="s">
        <v>101</v>
      </c>
      <c r="AF19" s="28" t="s">
        <v>120</v>
      </c>
      <c r="AG19" s="30" t="s">
        <v>122</v>
      </c>
    </row>
    <row r="20" customFormat="false" ht="15" hidden="false" customHeight="false" outlineLevel="0" collapsed="false">
      <c r="A20" s="10" t="n">
        <v>2024</v>
      </c>
      <c r="B20" s="28" t="s">
        <v>51</v>
      </c>
      <c r="C20" s="29" t="n">
        <v>45299</v>
      </c>
      <c r="D20" s="30" t="s">
        <v>125</v>
      </c>
      <c r="E20" s="28" t="s">
        <v>197</v>
      </c>
      <c r="F20" s="30" t="s">
        <v>198</v>
      </c>
      <c r="G20" s="31" t="n">
        <v>4830</v>
      </c>
      <c r="H20" s="31" t="n">
        <v>20</v>
      </c>
      <c r="I20" s="31" t="n">
        <v>96596</v>
      </c>
      <c r="J20" s="29" t="n">
        <v>45301</v>
      </c>
      <c r="K20" s="31" t="n">
        <v>4595</v>
      </c>
      <c r="L20" s="30" t="s">
        <v>32</v>
      </c>
      <c r="M20" s="10" t="n">
        <v>2</v>
      </c>
      <c r="N20" s="12" t="n">
        <v>-4882</v>
      </c>
      <c r="O20" s="13" t="n">
        <v>-0.0505423082099249</v>
      </c>
      <c r="P20" s="15" t="n">
        <v>0.0766435636901959</v>
      </c>
      <c r="Q20" s="13" t="n">
        <v>-0.0693244579254941</v>
      </c>
      <c r="R20" s="15" t="n">
        <v>0.100342075256557</v>
      </c>
      <c r="S20" s="32" t="n">
        <v>70686341675</v>
      </c>
      <c r="T20" s="15" t="n">
        <v>0.00941422594142249</v>
      </c>
      <c r="U20" s="32" t="n">
        <v>14968834057</v>
      </c>
      <c r="V20" s="14" t="n">
        <v>4.32112137349069</v>
      </c>
      <c r="W20" s="13" t="n">
        <v>0.0722222222222222</v>
      </c>
      <c r="X20" s="15" t="n">
        <v>0.0715025906735751</v>
      </c>
      <c r="Y20" s="13" t="n">
        <v>-0.00397970582759255</v>
      </c>
      <c r="Z20" s="13" t="n">
        <v>-0.0329381458829201</v>
      </c>
      <c r="AA20" s="30" t="s">
        <v>96</v>
      </c>
      <c r="AB20" s="28" t="s">
        <v>94</v>
      </c>
      <c r="AC20" s="28" t="s">
        <v>102</v>
      </c>
      <c r="AD20" s="28" t="s">
        <v>108</v>
      </c>
      <c r="AE20" s="28" t="s">
        <v>112</v>
      </c>
      <c r="AF20" s="28" t="s">
        <v>118</v>
      </c>
      <c r="AG20" s="30" t="s">
        <v>122</v>
      </c>
    </row>
    <row r="21" customFormat="false" ht="15" hidden="false" customHeight="false" outlineLevel="0" collapsed="false">
      <c r="A21" s="10" t="n">
        <v>2024</v>
      </c>
      <c r="B21" s="28" t="s">
        <v>51</v>
      </c>
      <c r="C21" s="29" t="n">
        <v>45300</v>
      </c>
      <c r="D21" s="30" t="s">
        <v>126</v>
      </c>
      <c r="E21" s="28" t="s">
        <v>199</v>
      </c>
      <c r="F21" s="30" t="s">
        <v>200</v>
      </c>
      <c r="G21" s="31" t="n">
        <v>15741</v>
      </c>
      <c r="H21" s="31" t="n">
        <v>6</v>
      </c>
      <c r="I21" s="31" t="n">
        <v>94445</v>
      </c>
      <c r="J21" s="29" t="n">
        <v>45306</v>
      </c>
      <c r="K21" s="31" t="n">
        <v>18890</v>
      </c>
      <c r="L21" s="30" t="s">
        <v>31</v>
      </c>
      <c r="M21" s="10" t="n">
        <v>4</v>
      </c>
      <c r="N21" s="12" t="n">
        <v>18660</v>
      </c>
      <c r="O21" s="13" t="n">
        <v>0.197571921982558</v>
      </c>
      <c r="P21" s="15" t="n">
        <v>0.267473686144125</v>
      </c>
      <c r="Q21" s="13" t="n">
        <v>-0.0391503828561819</v>
      </c>
      <c r="R21" s="15" t="n">
        <v>0.0647590361445785</v>
      </c>
      <c r="S21" s="32" t="n">
        <v>25347081200</v>
      </c>
      <c r="T21" s="15" t="n">
        <v>0.0216763005780347</v>
      </c>
      <c r="U21" s="32" t="n">
        <v>8793410410</v>
      </c>
      <c r="V21" s="14" t="n">
        <v>2.60080291218892</v>
      </c>
      <c r="W21" s="13" t="n">
        <v>0.0712121212121211</v>
      </c>
      <c r="X21" s="15" t="n">
        <v>0.0183875530410185</v>
      </c>
      <c r="Y21" s="13" t="n">
        <v>-0.00256248490937849</v>
      </c>
      <c r="Z21" s="13" t="n">
        <v>-0.0406658151703679</v>
      </c>
      <c r="AA21" s="30" t="s">
        <v>96</v>
      </c>
      <c r="AB21" s="28" t="s">
        <v>94</v>
      </c>
      <c r="AC21" s="28" t="s">
        <v>101</v>
      </c>
      <c r="AD21" s="28" t="s">
        <v>106</v>
      </c>
      <c r="AE21" s="28" t="s">
        <v>113</v>
      </c>
      <c r="AF21" s="28" t="s">
        <v>117</v>
      </c>
      <c r="AG21" s="30" t="s">
        <v>122</v>
      </c>
    </row>
    <row r="22" customFormat="false" ht="15" hidden="false" customHeight="false" outlineLevel="0" collapsed="false">
      <c r="A22" s="10" t="n">
        <v>2024</v>
      </c>
      <c r="B22" s="28" t="s">
        <v>51</v>
      </c>
      <c r="C22" s="29" t="n">
        <v>45301</v>
      </c>
      <c r="D22" s="30" t="s">
        <v>127</v>
      </c>
      <c r="E22" s="28" t="s">
        <v>201</v>
      </c>
      <c r="F22" s="30" t="s">
        <v>202</v>
      </c>
      <c r="G22" s="31" t="n">
        <v>7668</v>
      </c>
      <c r="H22" s="31" t="n">
        <v>12</v>
      </c>
      <c r="I22" s="31" t="n">
        <v>92012</v>
      </c>
      <c r="J22" s="29" t="n">
        <v>45307</v>
      </c>
      <c r="K22" s="31" t="n">
        <v>9210</v>
      </c>
      <c r="L22" s="30" t="s">
        <v>31</v>
      </c>
      <c r="M22" s="10" t="n">
        <v>4</v>
      </c>
      <c r="N22" s="12" t="n">
        <v>18279</v>
      </c>
      <c r="O22" s="13" t="n">
        <v>0.198656480725541</v>
      </c>
      <c r="P22" s="15" t="n">
        <v>0.255924232425538</v>
      </c>
      <c r="Q22" s="13" t="n">
        <v>-0.0218658625969329</v>
      </c>
      <c r="R22" s="15" t="n">
        <v>0.143283582089552</v>
      </c>
      <c r="S22" s="32" t="n">
        <v>34369960400</v>
      </c>
      <c r="T22" s="15" t="n">
        <v>0.0132275132275133</v>
      </c>
      <c r="U22" s="32" t="n">
        <v>6555536764</v>
      </c>
      <c r="V22" s="14" t="n">
        <v>4.81184568493014</v>
      </c>
      <c r="W22" s="13" t="n">
        <v>0.119883040935673</v>
      </c>
      <c r="X22" s="15" t="n">
        <v>0.0339425587467364</v>
      </c>
      <c r="Y22" s="13" t="n">
        <v>-0.00751979509924872</v>
      </c>
      <c r="Z22" s="13" t="n">
        <v>-0.0250564758314125</v>
      </c>
      <c r="AA22" s="30" t="s">
        <v>96</v>
      </c>
      <c r="AB22" s="28" t="s">
        <v>94</v>
      </c>
      <c r="AC22" s="28" t="s">
        <v>102</v>
      </c>
      <c r="AD22" s="28" t="s">
        <v>107</v>
      </c>
      <c r="AE22" s="28" t="s">
        <v>112</v>
      </c>
      <c r="AF22" s="28" t="s">
        <v>118</v>
      </c>
      <c r="AG22" s="30" t="s">
        <v>122</v>
      </c>
    </row>
    <row r="23" customFormat="false" ht="15" hidden="false" customHeight="false" outlineLevel="0" collapsed="false">
      <c r="A23" s="10" t="n">
        <v>2024</v>
      </c>
      <c r="B23" s="28" t="s">
        <v>51</v>
      </c>
      <c r="C23" s="29" t="n">
        <v>45302</v>
      </c>
      <c r="D23" s="30" t="s">
        <v>128</v>
      </c>
      <c r="E23" s="28" t="s">
        <v>203</v>
      </c>
      <c r="F23" s="28" t="s">
        <v>204</v>
      </c>
      <c r="G23" s="31" t="n">
        <v>12613</v>
      </c>
      <c r="H23" s="31" t="n">
        <v>7</v>
      </c>
      <c r="I23" s="31" t="n">
        <v>88288</v>
      </c>
      <c r="J23" s="29" t="n">
        <v>45303</v>
      </c>
      <c r="K23" s="31" t="n">
        <v>11998</v>
      </c>
      <c r="L23" s="30" t="s">
        <v>32</v>
      </c>
      <c r="M23" s="10" t="n">
        <v>1</v>
      </c>
      <c r="N23" s="12" t="n">
        <v>-4479</v>
      </c>
      <c r="O23" s="13" t="n">
        <v>-0.0507348183958898</v>
      </c>
      <c r="P23" s="15" t="n">
        <v>0.0235795950081665</v>
      </c>
      <c r="Q23" s="13" t="n">
        <v>-0.0604633461776318</v>
      </c>
      <c r="R23" s="15" t="n">
        <v>0.0517529215358932</v>
      </c>
      <c r="S23" s="32" t="n">
        <v>186383862000</v>
      </c>
      <c r="T23" s="15" t="n">
        <v>0.0517529215358932</v>
      </c>
      <c r="U23" s="32" t="n">
        <v>16095863796.5</v>
      </c>
      <c r="V23" s="14" t="n">
        <v>10.0762628408343</v>
      </c>
      <c r="W23" s="13" t="n">
        <v>0.0202429149797572</v>
      </c>
      <c r="X23" s="15" t="n">
        <v>0.0912698412698412</v>
      </c>
      <c r="Y23" s="13" t="n">
        <v>-0.000672703955184595</v>
      </c>
      <c r="Z23" s="13" t="n">
        <v>-0.0180709851489358</v>
      </c>
      <c r="AA23" s="30" t="s">
        <v>96</v>
      </c>
      <c r="AB23" s="28" t="s">
        <v>94</v>
      </c>
      <c r="AC23" s="28" t="s">
        <v>101</v>
      </c>
      <c r="AD23" s="28" t="s">
        <v>109</v>
      </c>
      <c r="AE23" s="28" t="s">
        <v>101</v>
      </c>
      <c r="AF23" s="28" t="s">
        <v>120</v>
      </c>
      <c r="AG23" s="30" t="s">
        <v>122</v>
      </c>
    </row>
    <row r="24" customFormat="false" ht="15" hidden="false" customHeight="false" outlineLevel="0" collapsed="false">
      <c r="A24" s="10" t="n">
        <v>2024</v>
      </c>
      <c r="B24" s="28" t="s">
        <v>51</v>
      </c>
      <c r="C24" s="29" t="n">
        <v>45303</v>
      </c>
      <c r="D24" s="30" t="s">
        <v>129</v>
      </c>
      <c r="E24" s="28" t="s">
        <v>205</v>
      </c>
      <c r="F24" s="30" t="s">
        <v>206</v>
      </c>
      <c r="G24" s="31" t="n">
        <v>76476</v>
      </c>
      <c r="H24" s="31" t="n">
        <v>1</v>
      </c>
      <c r="I24" s="31" t="n">
        <v>76476</v>
      </c>
      <c r="J24" s="29" t="n">
        <v>45308</v>
      </c>
      <c r="K24" s="31" t="n">
        <v>72727</v>
      </c>
      <c r="L24" s="30" t="s">
        <v>32</v>
      </c>
      <c r="M24" s="10" t="n">
        <v>3</v>
      </c>
      <c r="N24" s="12" t="n">
        <v>-3902</v>
      </c>
      <c r="O24" s="13" t="n">
        <v>-0.0510286768205616</v>
      </c>
      <c r="P24" s="15" t="n">
        <v>0.0774565748387739</v>
      </c>
      <c r="Q24" s="13" t="n">
        <v>-0.0572254970160728</v>
      </c>
      <c r="R24" s="15" t="n">
        <v>0.0352303523035231</v>
      </c>
      <c r="S24" s="32" t="n">
        <v>20247375200</v>
      </c>
      <c r="T24" s="15" t="n">
        <v>0.00526315789473686</v>
      </c>
      <c r="U24" s="32" t="n">
        <v>10762063985</v>
      </c>
      <c r="V24" s="14" t="n">
        <v>1.7738465760393</v>
      </c>
      <c r="W24" s="13" t="n">
        <v>0.0296495956873315</v>
      </c>
      <c r="X24" s="15" t="n">
        <v>0.0104712041884816</v>
      </c>
      <c r="Y24" s="13" t="n">
        <v>-0.00599148909367897</v>
      </c>
      <c r="Z24" s="13" t="n">
        <v>-0.0205695711537267</v>
      </c>
      <c r="AA24" s="30" t="s">
        <v>96</v>
      </c>
      <c r="AB24" s="28" t="s">
        <v>94</v>
      </c>
      <c r="AC24" s="28" t="s">
        <v>100</v>
      </c>
      <c r="AD24" s="28" t="s">
        <v>106</v>
      </c>
      <c r="AE24" s="28" t="s">
        <v>112</v>
      </c>
      <c r="AF24" s="28" t="s">
        <v>116</v>
      </c>
      <c r="AG24" s="30" t="s">
        <v>122</v>
      </c>
    </row>
    <row r="25" customFormat="false" ht="15" hidden="false" customHeight="false" outlineLevel="0" collapsed="false">
      <c r="A25" s="10" t="n">
        <v>2024</v>
      </c>
      <c r="B25" s="28" t="s">
        <v>51</v>
      </c>
      <c r="C25" s="29" t="n">
        <v>45308</v>
      </c>
      <c r="D25" s="30" t="s">
        <v>127</v>
      </c>
      <c r="E25" s="28" t="s">
        <v>207</v>
      </c>
      <c r="F25" s="30" t="s">
        <v>208</v>
      </c>
      <c r="G25" s="31" t="n">
        <v>14239</v>
      </c>
      <c r="H25" s="31" t="n">
        <v>6</v>
      </c>
      <c r="I25" s="31" t="n">
        <v>85435</v>
      </c>
      <c r="J25" s="29" t="n">
        <v>45310</v>
      </c>
      <c r="K25" s="31" t="n">
        <v>13546</v>
      </c>
      <c r="L25" s="30" t="s">
        <v>32</v>
      </c>
      <c r="M25" s="10" t="n">
        <v>2</v>
      </c>
      <c r="N25" s="12" t="n">
        <v>-4328</v>
      </c>
      <c r="O25" s="13" t="n">
        <v>-0.0506584060403569</v>
      </c>
      <c r="P25" s="15" t="n">
        <v>0.0990766702541748</v>
      </c>
      <c r="Q25" s="13" t="n">
        <v>-0.0606932610447548</v>
      </c>
      <c r="R25" s="15" t="n">
        <v>0.0675422138836772</v>
      </c>
      <c r="S25" s="32" t="n">
        <v>20293706485</v>
      </c>
      <c r="T25" s="15" t="n">
        <v>0.0270758122743682</v>
      </c>
      <c r="U25" s="32" t="n">
        <v>3178130663.5</v>
      </c>
      <c r="V25" s="14" t="n">
        <v>5.99150384112057</v>
      </c>
      <c r="W25" s="13" t="n">
        <v>0.0498154981549817</v>
      </c>
      <c r="X25" s="15" t="n">
        <v>0.0140597539543057</v>
      </c>
      <c r="Y25" s="13" t="n">
        <v>-0.0246998106174352</v>
      </c>
      <c r="Z25" s="13" t="n">
        <v>-0.0417312488689918</v>
      </c>
      <c r="AA25" s="30" t="s">
        <v>96</v>
      </c>
      <c r="AB25" s="28" t="s">
        <v>94</v>
      </c>
      <c r="AC25" s="28" t="s">
        <v>101</v>
      </c>
      <c r="AD25" s="28" t="s">
        <v>106</v>
      </c>
      <c r="AE25" s="28" t="s">
        <v>113</v>
      </c>
      <c r="AF25" s="28" t="s">
        <v>119</v>
      </c>
      <c r="AG25" s="30" t="s">
        <v>122</v>
      </c>
    </row>
    <row r="26" customFormat="false" ht="15" hidden="false" customHeight="false" outlineLevel="0" collapsed="false">
      <c r="A26" s="10" t="n">
        <v>2024</v>
      </c>
      <c r="B26" s="28" t="s">
        <v>51</v>
      </c>
      <c r="C26" s="29" t="n">
        <v>45309</v>
      </c>
      <c r="D26" s="30" t="s">
        <v>128</v>
      </c>
      <c r="E26" s="28" t="s">
        <v>209</v>
      </c>
      <c r="F26" s="30" t="s">
        <v>210</v>
      </c>
      <c r="G26" s="31" t="n">
        <v>12462</v>
      </c>
      <c r="H26" s="31" t="n">
        <v>7</v>
      </c>
      <c r="I26" s="31" t="n">
        <v>87237</v>
      </c>
      <c r="J26" s="29" t="n">
        <v>45314</v>
      </c>
      <c r="K26" s="31" t="n">
        <v>11858</v>
      </c>
      <c r="L26" s="30" t="s">
        <v>32</v>
      </c>
      <c r="M26" s="10" t="n">
        <v>3</v>
      </c>
      <c r="N26" s="12" t="n">
        <v>-4405</v>
      </c>
      <c r="O26" s="13" t="n">
        <v>-0.0504967097962281</v>
      </c>
      <c r="P26" s="15" t="n">
        <v>0.0166540287022217</v>
      </c>
      <c r="Q26" s="13" t="n">
        <v>-0.0531556796617037</v>
      </c>
      <c r="R26" s="15" t="n">
        <v>0.129764065335753</v>
      </c>
      <c r="S26" s="32" t="n">
        <v>87071203950</v>
      </c>
      <c r="T26" s="15" t="n">
        <v>0.0532994923857868</v>
      </c>
      <c r="U26" s="32" t="n">
        <v>3801789582</v>
      </c>
      <c r="V26" s="14" t="n">
        <v>20.3243534639338</v>
      </c>
      <c r="W26" s="13" t="n">
        <v>0.115591397849462</v>
      </c>
      <c r="X26" s="15" t="n">
        <v>0.0779116465863454</v>
      </c>
      <c r="Y26" s="13" t="n">
        <v>0.00169957715833968</v>
      </c>
      <c r="Z26" s="13" t="n">
        <v>-0.0394564357332095</v>
      </c>
      <c r="AA26" s="30" t="s">
        <v>96</v>
      </c>
      <c r="AB26" s="28" t="s">
        <v>94</v>
      </c>
      <c r="AC26" s="28" t="s">
        <v>102</v>
      </c>
      <c r="AD26" s="28" t="s">
        <v>108</v>
      </c>
      <c r="AE26" s="28" t="s">
        <v>101</v>
      </c>
      <c r="AF26" s="28" t="s">
        <v>120</v>
      </c>
      <c r="AG26" s="30" t="s">
        <v>122</v>
      </c>
    </row>
    <row r="27" customFormat="false" ht="15" hidden="false" customHeight="false" outlineLevel="0" collapsed="false">
      <c r="A27" s="10" t="n">
        <v>2024</v>
      </c>
      <c r="B27" s="28" t="s">
        <v>51</v>
      </c>
      <c r="C27" s="29" t="n">
        <v>45309</v>
      </c>
      <c r="D27" s="30" t="s">
        <v>128</v>
      </c>
      <c r="E27" s="28" t="s">
        <v>211</v>
      </c>
      <c r="F27" s="30" t="s">
        <v>212</v>
      </c>
      <c r="G27" s="31" t="n">
        <v>47147</v>
      </c>
      <c r="H27" s="31" t="n">
        <v>2</v>
      </c>
      <c r="I27" s="31" t="n">
        <v>94294</v>
      </c>
      <c r="J27" s="29" t="n">
        <v>45342</v>
      </c>
      <c r="K27" s="31" t="n">
        <v>56600</v>
      </c>
      <c r="L27" s="30" t="s">
        <v>31</v>
      </c>
      <c r="M27" s="10" t="n">
        <v>21</v>
      </c>
      <c r="N27" s="12" t="n">
        <v>18671</v>
      </c>
      <c r="O27" s="13" t="n">
        <v>0.19800704465386</v>
      </c>
      <c r="P27" s="15" t="n">
        <v>0.20049801578464</v>
      </c>
      <c r="Q27" s="13" t="n">
        <v>-0.0232697239066664</v>
      </c>
      <c r="R27" s="15" t="n">
        <v>0.0584269662921348</v>
      </c>
      <c r="S27" s="32" t="n">
        <v>32589196500</v>
      </c>
      <c r="T27" s="15" t="n">
        <v>0.0216919739696313</v>
      </c>
      <c r="U27" s="32" t="n">
        <v>10757255740</v>
      </c>
      <c r="V27" s="14" t="n">
        <v>2.88092350770544</v>
      </c>
      <c r="W27" s="13" t="n">
        <v>0.0443458980044347</v>
      </c>
      <c r="X27" s="15" t="n">
        <v>0.0106157112526539</v>
      </c>
      <c r="Y27" s="13" t="n">
        <v>0.00169957715833968</v>
      </c>
      <c r="Z27" s="13" t="n">
        <v>-0.0394564357332095</v>
      </c>
      <c r="AA27" s="30" t="s">
        <v>96</v>
      </c>
      <c r="AB27" s="28" t="s">
        <v>94</v>
      </c>
      <c r="AC27" s="28" t="s">
        <v>101</v>
      </c>
      <c r="AD27" s="28" t="s">
        <v>107</v>
      </c>
      <c r="AE27" s="28" t="s">
        <v>113</v>
      </c>
      <c r="AF27" s="28" t="s">
        <v>117</v>
      </c>
      <c r="AG27" s="30" t="s">
        <v>122</v>
      </c>
    </row>
    <row r="28" customFormat="false" ht="15" hidden="false" customHeight="false" outlineLevel="0" collapsed="false">
      <c r="A28" s="10" t="n">
        <v>2024</v>
      </c>
      <c r="B28" s="28" t="s">
        <v>51</v>
      </c>
      <c r="C28" s="29" t="n">
        <v>45310</v>
      </c>
      <c r="D28" s="30" t="s">
        <v>129</v>
      </c>
      <c r="E28" s="28" t="s">
        <v>213</v>
      </c>
      <c r="F28" s="30" t="s">
        <v>214</v>
      </c>
      <c r="G28" s="31" t="n">
        <v>21622</v>
      </c>
      <c r="H28" s="31" t="n">
        <v>4</v>
      </c>
      <c r="I28" s="31" t="n">
        <v>86486</v>
      </c>
      <c r="J28" s="29" t="n">
        <v>45313</v>
      </c>
      <c r="K28" s="31" t="n">
        <v>20579</v>
      </c>
      <c r="L28" s="30" t="s">
        <v>32</v>
      </c>
      <c r="M28" s="10" t="n">
        <v>1</v>
      </c>
      <c r="N28" s="12" t="n">
        <v>-4342</v>
      </c>
      <c r="O28" s="13" t="n">
        <v>-0.0502078046953048</v>
      </c>
      <c r="P28" s="15" t="n">
        <v>0.00362600362600363</v>
      </c>
      <c r="Q28" s="13" t="n">
        <v>-0.0680615680615681</v>
      </c>
      <c r="R28" s="15" t="n">
        <v>0.0821643286573146</v>
      </c>
      <c r="S28" s="32" t="n">
        <v>65822932800</v>
      </c>
      <c r="T28" s="15" t="n">
        <v>0.0693069306930694</v>
      </c>
      <c r="U28" s="32" t="n">
        <v>3199821086</v>
      </c>
      <c r="V28" s="14" t="n">
        <v>18.5132457130499</v>
      </c>
      <c r="W28" s="13" t="n">
        <v>0.0816224336504756</v>
      </c>
      <c r="X28" s="15" t="n">
        <v>0.120370370370371</v>
      </c>
      <c r="Y28" s="13" t="n">
        <v>0.0134014196488581</v>
      </c>
      <c r="Z28" s="13" t="n">
        <v>-0.020716421457001</v>
      </c>
      <c r="AA28" s="30" t="s">
        <v>96</v>
      </c>
      <c r="AB28" s="28" t="s">
        <v>94</v>
      </c>
      <c r="AC28" s="28" t="s">
        <v>101</v>
      </c>
      <c r="AD28" s="28" t="s">
        <v>108</v>
      </c>
      <c r="AE28" s="28" t="s">
        <v>101</v>
      </c>
      <c r="AF28" s="28" t="s">
        <v>120</v>
      </c>
      <c r="AG28" s="30" t="s">
        <v>122</v>
      </c>
    </row>
    <row r="29" customFormat="false" ht="15" hidden="false" customHeight="false" outlineLevel="0" collapsed="false">
      <c r="A29" s="10" t="n">
        <v>2024</v>
      </c>
      <c r="B29" s="28" t="s">
        <v>51</v>
      </c>
      <c r="C29" s="29" t="n">
        <v>45313</v>
      </c>
      <c r="D29" s="30" t="s">
        <v>125</v>
      </c>
      <c r="E29" s="28" t="s">
        <v>215</v>
      </c>
      <c r="F29" s="30" t="s">
        <v>216</v>
      </c>
      <c r="G29" s="31" t="n">
        <v>33099</v>
      </c>
      <c r="H29" s="31" t="n">
        <v>3</v>
      </c>
      <c r="I29" s="31" t="n">
        <v>99296</v>
      </c>
      <c r="J29" s="29" t="n">
        <v>45314</v>
      </c>
      <c r="K29" s="31" t="n">
        <v>31468</v>
      </c>
      <c r="L29" s="30" t="s">
        <v>32</v>
      </c>
      <c r="M29" s="10" t="n">
        <v>1</v>
      </c>
      <c r="N29" s="12" t="n">
        <v>-5090</v>
      </c>
      <c r="O29" s="13" t="n">
        <v>-0.0512588424610149</v>
      </c>
      <c r="P29" s="15" t="n">
        <v>-0.000999000999000854</v>
      </c>
      <c r="Q29" s="13" t="n">
        <v>-0.105306458247635</v>
      </c>
      <c r="R29" s="15" t="n">
        <v>0.218637992831541</v>
      </c>
      <c r="S29" s="32" t="n">
        <v>522989836000</v>
      </c>
      <c r="T29" s="15" t="n">
        <v>0.0776545166402536</v>
      </c>
      <c r="U29" s="32" t="n">
        <v>38111042265</v>
      </c>
      <c r="V29" s="14" t="n">
        <v>11.7348609705746</v>
      </c>
      <c r="W29" s="13" t="n">
        <v>0.166380789022298</v>
      </c>
      <c r="X29" s="15" t="n">
        <v>0</v>
      </c>
      <c r="Y29" s="13" t="n">
        <v>-0.00339299724192588</v>
      </c>
      <c r="Z29" s="13" t="n">
        <v>-0.0244023135483513</v>
      </c>
      <c r="AA29" s="30" t="s">
        <v>96</v>
      </c>
      <c r="AB29" s="28" t="s">
        <v>94</v>
      </c>
      <c r="AC29" s="28" t="s">
        <v>104</v>
      </c>
      <c r="AD29" s="28" t="s">
        <v>110</v>
      </c>
      <c r="AE29" s="28" t="s">
        <v>101</v>
      </c>
      <c r="AF29" s="28" t="s">
        <v>120</v>
      </c>
      <c r="AG29" s="30" t="s">
        <v>122</v>
      </c>
    </row>
    <row r="30" customFormat="false" ht="15" hidden="false" customHeight="false" outlineLevel="0" collapsed="false">
      <c r="A30" s="10" t="n">
        <v>2024</v>
      </c>
      <c r="B30" s="28" t="s">
        <v>51</v>
      </c>
      <c r="C30" s="29" t="n">
        <v>45313</v>
      </c>
      <c r="D30" s="30" t="s">
        <v>125</v>
      </c>
      <c r="E30" s="28" t="s">
        <v>217</v>
      </c>
      <c r="F30" s="28" t="s">
        <v>218</v>
      </c>
      <c r="G30" s="31" t="n">
        <v>89289</v>
      </c>
      <c r="H30" s="31" t="n">
        <v>1</v>
      </c>
      <c r="I30" s="31" t="n">
        <v>89289</v>
      </c>
      <c r="J30" s="29" t="n">
        <v>45314</v>
      </c>
      <c r="K30" s="31" t="n">
        <v>84915</v>
      </c>
      <c r="L30" s="30" t="s">
        <v>32</v>
      </c>
      <c r="M30" s="10" t="n">
        <v>1</v>
      </c>
      <c r="N30" s="12" t="n">
        <v>-4553</v>
      </c>
      <c r="O30" s="13" t="n">
        <v>-0.0509935986659082</v>
      </c>
      <c r="P30" s="15" t="n">
        <v>0.00236086783171996</v>
      </c>
      <c r="Q30" s="13" t="n">
        <v>-0.0760360715517666</v>
      </c>
      <c r="R30" s="15" t="n">
        <v>0.0606420927467302</v>
      </c>
      <c r="S30" s="32" t="n">
        <v>53414654800</v>
      </c>
      <c r="T30" s="15" t="n">
        <v>0.0182648401826484</v>
      </c>
      <c r="U30" s="32" t="n">
        <v>17379920985</v>
      </c>
      <c r="V30" s="14" t="n">
        <v>2.80978899801683</v>
      </c>
      <c r="W30" s="13" t="n">
        <v>0.0312138728323699</v>
      </c>
      <c r="X30" s="15" t="n">
        <v>0.0156950672645739</v>
      </c>
      <c r="Y30" s="13" t="n">
        <v>-0.00339299724192588</v>
      </c>
      <c r="Z30" s="13" t="n">
        <v>-0.0244023135483513</v>
      </c>
      <c r="AA30" s="30" t="s">
        <v>96</v>
      </c>
      <c r="AB30" s="28" t="s">
        <v>94</v>
      </c>
      <c r="AC30" s="28" t="s">
        <v>101</v>
      </c>
      <c r="AD30" s="28" t="s">
        <v>108</v>
      </c>
      <c r="AE30" s="28" t="s">
        <v>112</v>
      </c>
      <c r="AF30" s="28" t="s">
        <v>117</v>
      </c>
      <c r="AG30" s="30" t="s">
        <v>122</v>
      </c>
    </row>
    <row r="31" customFormat="false" ht="15" hidden="false" customHeight="false" outlineLevel="0" collapsed="false">
      <c r="A31" s="10" t="n">
        <v>2024</v>
      </c>
      <c r="B31" s="28" t="s">
        <v>51</v>
      </c>
      <c r="C31" s="29" t="n">
        <v>45313</v>
      </c>
      <c r="D31" s="30" t="s">
        <v>125</v>
      </c>
      <c r="E31" s="28" t="s">
        <v>219</v>
      </c>
      <c r="F31" s="30" t="s">
        <v>220</v>
      </c>
      <c r="G31" s="31" t="n">
        <v>10330</v>
      </c>
      <c r="H31" s="31" t="n">
        <v>9</v>
      </c>
      <c r="I31" s="31" t="n">
        <v>92973</v>
      </c>
      <c r="J31" s="29" t="n">
        <v>45314</v>
      </c>
      <c r="K31" s="31" t="n">
        <v>9830</v>
      </c>
      <c r="L31" s="30" t="s">
        <v>32</v>
      </c>
      <c r="M31" s="10" t="n">
        <v>1</v>
      </c>
      <c r="N31" s="12" t="n">
        <v>-4688</v>
      </c>
      <c r="O31" s="13" t="n">
        <v>-0.0504222870153104</v>
      </c>
      <c r="P31" s="15" t="n">
        <v>0.00674519279170438</v>
      </c>
      <c r="Q31" s="13" t="n">
        <v>-0.0532723090862626</v>
      </c>
      <c r="R31" s="15" t="n">
        <v>0.191685912240185</v>
      </c>
      <c r="S31" s="32" t="n">
        <v>46783862400</v>
      </c>
      <c r="T31" s="15" t="n">
        <v>0.184845005740528</v>
      </c>
      <c r="U31" s="32" t="n">
        <v>14400643726</v>
      </c>
      <c r="V31" s="14" t="n">
        <v>2.34265926335931</v>
      </c>
      <c r="W31" s="13" t="n">
        <v>0.212690951821387</v>
      </c>
      <c r="X31" s="15" t="n">
        <v>0.0106589147286822</v>
      </c>
      <c r="Y31" s="13" t="n">
        <v>-0.00339299724192588</v>
      </c>
      <c r="Z31" s="13" t="n">
        <v>-0.0244023135483513</v>
      </c>
      <c r="AA31" s="30" t="s">
        <v>96</v>
      </c>
      <c r="AB31" s="28" t="s">
        <v>94</v>
      </c>
      <c r="AC31" s="28" t="s">
        <v>103</v>
      </c>
      <c r="AD31" s="28" t="s">
        <v>107</v>
      </c>
      <c r="AE31" s="28" t="s">
        <v>114</v>
      </c>
      <c r="AF31" s="28" t="s">
        <v>117</v>
      </c>
      <c r="AG31" s="30" t="s">
        <v>122</v>
      </c>
    </row>
    <row r="32" customFormat="false" ht="15" hidden="false" customHeight="false" outlineLevel="0" collapsed="false">
      <c r="A32" s="10" t="n">
        <v>2024</v>
      </c>
      <c r="B32" s="28" t="s">
        <v>51</v>
      </c>
      <c r="C32" s="29" t="n">
        <v>45313</v>
      </c>
      <c r="D32" s="30" t="s">
        <v>125</v>
      </c>
      <c r="E32" s="28" t="s">
        <v>221</v>
      </c>
      <c r="F32" s="30" t="s">
        <v>222</v>
      </c>
      <c r="G32" s="31" t="n">
        <v>78979</v>
      </c>
      <c r="H32" s="31" t="n">
        <v>1</v>
      </c>
      <c r="I32" s="31" t="n">
        <v>78979</v>
      </c>
      <c r="J32" s="29" t="n">
        <v>45317</v>
      </c>
      <c r="K32" s="31" t="n">
        <v>75125</v>
      </c>
      <c r="L32" s="30" t="s">
        <v>32</v>
      </c>
      <c r="M32" s="10" t="n">
        <v>4</v>
      </c>
      <c r="N32" s="12" t="n">
        <v>-4012</v>
      </c>
      <c r="O32" s="13" t="n">
        <v>-0.0508039513718221</v>
      </c>
      <c r="P32" s="15" t="n">
        <v>0.0610428861379433</v>
      </c>
      <c r="Q32" s="13" t="n">
        <v>-0.0668393710218804</v>
      </c>
      <c r="R32" s="15" t="n">
        <v>0.0882758620689654</v>
      </c>
      <c r="S32" s="32" t="n">
        <v>43060542900</v>
      </c>
      <c r="T32" s="15" t="n">
        <v>0.0220207253886011</v>
      </c>
      <c r="U32" s="32" t="n">
        <v>8005552325</v>
      </c>
      <c r="V32" s="14" t="n">
        <v>4.99171798527987</v>
      </c>
      <c r="W32" s="13" t="n">
        <v>0.060483870967742</v>
      </c>
      <c r="X32" s="15" t="n">
        <v>0.020278833967047</v>
      </c>
      <c r="Y32" s="13" t="n">
        <v>-0.00339299724192588</v>
      </c>
      <c r="Z32" s="13" t="n">
        <v>-0.0244023135483513</v>
      </c>
      <c r="AA32" s="30" t="s">
        <v>96</v>
      </c>
      <c r="AB32" s="28" t="s">
        <v>94</v>
      </c>
      <c r="AC32" s="28" t="s">
        <v>101</v>
      </c>
      <c r="AD32" s="28" t="s">
        <v>107</v>
      </c>
      <c r="AE32" s="28" t="s">
        <v>113</v>
      </c>
      <c r="AF32" s="28" t="s">
        <v>118</v>
      </c>
      <c r="AG32" s="30" t="s">
        <v>122</v>
      </c>
    </row>
    <row r="33" customFormat="false" ht="15" hidden="false" customHeight="false" outlineLevel="0" collapsed="false">
      <c r="A33" s="10" t="n">
        <v>2024</v>
      </c>
      <c r="B33" s="28" t="s">
        <v>51</v>
      </c>
      <c r="C33" s="29" t="n">
        <v>45314</v>
      </c>
      <c r="D33" s="30" t="s">
        <v>126</v>
      </c>
      <c r="E33" s="28" t="s">
        <v>223</v>
      </c>
      <c r="F33" s="30" t="s">
        <v>224</v>
      </c>
      <c r="G33" s="31" t="n">
        <v>11151</v>
      </c>
      <c r="H33" s="31" t="n">
        <v>8</v>
      </c>
      <c r="I33" s="31" t="n">
        <v>89209</v>
      </c>
      <c r="J33" s="29" t="n">
        <v>45317</v>
      </c>
      <c r="K33" s="31" t="n">
        <v>10090</v>
      </c>
      <c r="L33" s="30" t="s">
        <v>32</v>
      </c>
      <c r="M33" s="10" t="n">
        <v>3</v>
      </c>
      <c r="N33" s="12" t="n">
        <v>-8661</v>
      </c>
      <c r="O33" s="13" t="n">
        <v>-0.0970831660260745</v>
      </c>
      <c r="P33" s="15" t="n">
        <v>0.120961623654622</v>
      </c>
      <c r="Q33" s="13" t="n">
        <v>-0.10502423967415</v>
      </c>
      <c r="R33" s="15" t="n">
        <v>0.132113821138211</v>
      </c>
      <c r="S33" s="32" t="n">
        <v>104367440540</v>
      </c>
      <c r="T33" s="15" t="n">
        <v>0.0953785644051131</v>
      </c>
      <c r="U33" s="32" t="n">
        <v>5717637837.5</v>
      </c>
      <c r="V33" s="14" t="n">
        <v>16.1603447508567</v>
      </c>
      <c r="W33" s="13" t="n">
        <v>0.0314814814814814</v>
      </c>
      <c r="X33" s="15" t="n">
        <v>0.122082585278277</v>
      </c>
      <c r="Y33" s="13" t="n">
        <v>0.00578651571408284</v>
      </c>
      <c r="Z33" s="13" t="n">
        <v>-0.00759932575002298</v>
      </c>
      <c r="AA33" s="30" t="s">
        <v>96</v>
      </c>
      <c r="AB33" s="28" t="s">
        <v>94</v>
      </c>
      <c r="AC33" s="28" t="s">
        <v>102</v>
      </c>
      <c r="AD33" s="28" t="s">
        <v>109</v>
      </c>
      <c r="AE33" s="28" t="s">
        <v>101</v>
      </c>
      <c r="AF33" s="28" t="s">
        <v>120</v>
      </c>
      <c r="AG33" s="30" t="s">
        <v>122</v>
      </c>
    </row>
    <row r="34" customFormat="false" ht="15" hidden="false" customHeight="false" outlineLevel="0" collapsed="false">
      <c r="A34" s="10" t="n">
        <v>2024</v>
      </c>
      <c r="B34" s="28" t="s">
        <v>51</v>
      </c>
      <c r="C34" s="29" t="n">
        <v>45314</v>
      </c>
      <c r="D34" s="30" t="s">
        <v>126</v>
      </c>
      <c r="E34" s="28" t="s">
        <v>225</v>
      </c>
      <c r="F34" s="30" t="s">
        <v>226</v>
      </c>
      <c r="G34" s="31" t="n">
        <v>27828</v>
      </c>
      <c r="H34" s="31" t="n">
        <v>3</v>
      </c>
      <c r="I34" s="31" t="n">
        <v>83483</v>
      </c>
      <c r="J34" s="29" t="n">
        <v>45344</v>
      </c>
      <c r="K34" s="31" t="n">
        <v>33400</v>
      </c>
      <c r="L34" s="30" t="s">
        <v>31</v>
      </c>
      <c r="M34" s="10" t="n">
        <v>20</v>
      </c>
      <c r="N34" s="12" t="n">
        <v>16509</v>
      </c>
      <c r="O34" s="13" t="n">
        <v>0.197748145020447</v>
      </c>
      <c r="P34" s="15" t="n">
        <v>0.239767426817787</v>
      </c>
      <c r="Q34" s="13" t="n">
        <v>-0.0351375243461573</v>
      </c>
      <c r="R34" s="15" t="n">
        <v>0.0127504553734061</v>
      </c>
      <c r="S34" s="32" t="n">
        <v>27416165400</v>
      </c>
      <c r="T34" s="15" t="n">
        <v>0.010909090909091</v>
      </c>
      <c r="U34" s="32" t="n">
        <v>22390022637.5</v>
      </c>
      <c r="V34" s="14" t="n">
        <v>1.17566485231276</v>
      </c>
      <c r="W34" s="13" t="n">
        <v>0.00907441016333932</v>
      </c>
      <c r="X34" s="15" t="n">
        <v>0.0071942446043165</v>
      </c>
      <c r="Y34" s="13" t="n">
        <v>0.00578651571408284</v>
      </c>
      <c r="Z34" s="13" t="n">
        <v>-0.00759932575002298</v>
      </c>
      <c r="AA34" s="30" t="s">
        <v>96</v>
      </c>
      <c r="AB34" s="28" t="s">
        <v>94</v>
      </c>
      <c r="AC34" s="28" t="s">
        <v>99</v>
      </c>
      <c r="AD34" s="28" t="s">
        <v>106</v>
      </c>
      <c r="AE34" s="28" t="s">
        <v>112</v>
      </c>
      <c r="AF34" s="28" t="s">
        <v>116</v>
      </c>
      <c r="AG34" s="30" t="s">
        <v>122</v>
      </c>
    </row>
    <row r="35" customFormat="false" ht="15" hidden="false" customHeight="false" outlineLevel="0" collapsed="false">
      <c r="A35" s="10" t="n">
        <v>2024</v>
      </c>
      <c r="B35" s="28" t="s">
        <v>51</v>
      </c>
      <c r="C35" s="29" t="n">
        <v>45315</v>
      </c>
      <c r="D35" s="30" t="s">
        <v>127</v>
      </c>
      <c r="E35" s="28" t="s">
        <v>227</v>
      </c>
      <c r="F35" s="30" t="s">
        <v>228</v>
      </c>
      <c r="G35" s="31" t="n">
        <v>9812</v>
      </c>
      <c r="H35" s="31" t="n">
        <v>10</v>
      </c>
      <c r="I35" s="31" t="n">
        <v>98116</v>
      </c>
      <c r="J35" s="29" t="n">
        <v>45321</v>
      </c>
      <c r="K35" s="31" t="n">
        <v>9341</v>
      </c>
      <c r="L35" s="30" t="s">
        <v>32</v>
      </c>
      <c r="M35" s="10" t="n">
        <v>4</v>
      </c>
      <c r="N35" s="12" t="n">
        <v>-4906</v>
      </c>
      <c r="O35" s="13" t="n">
        <v>-0.0500017152577625</v>
      </c>
      <c r="P35" s="15" t="n">
        <v>0.0351094688444087</v>
      </c>
      <c r="Q35" s="13" t="n">
        <v>-0.0623304391196472</v>
      </c>
      <c r="R35" s="15" t="n">
        <v>0.0998980632008155</v>
      </c>
      <c r="S35" s="32" t="n">
        <v>120033074460</v>
      </c>
      <c r="T35" s="15" t="n">
        <v>0.0516569200779726</v>
      </c>
      <c r="U35" s="32" t="n">
        <v>4969600223.5</v>
      </c>
      <c r="V35" s="14" t="n">
        <v>22.1072669475863</v>
      </c>
      <c r="W35" s="13" t="n">
        <v>0.0704365079365079</v>
      </c>
      <c r="X35" s="15" t="n">
        <v>0.0481927710843375</v>
      </c>
      <c r="Y35" s="13" t="n">
        <v>-0.00359879125800355</v>
      </c>
      <c r="Z35" s="13" t="n">
        <v>0.0138716696087688</v>
      </c>
      <c r="AA35" s="30" t="s">
        <v>96</v>
      </c>
      <c r="AB35" s="28" t="s">
        <v>93</v>
      </c>
      <c r="AC35" s="28" t="s">
        <v>101</v>
      </c>
      <c r="AD35" s="28" t="s">
        <v>109</v>
      </c>
      <c r="AE35" s="28" t="s">
        <v>101</v>
      </c>
      <c r="AF35" s="28" t="s">
        <v>120</v>
      </c>
      <c r="AG35" s="30" t="s">
        <v>122</v>
      </c>
    </row>
    <row r="36" customFormat="false" ht="15" hidden="false" customHeight="false" outlineLevel="0" collapsed="false">
      <c r="A36" s="10" t="n">
        <v>2024</v>
      </c>
      <c r="B36" s="28" t="s">
        <v>51</v>
      </c>
      <c r="C36" s="29" t="n">
        <v>45315</v>
      </c>
      <c r="D36" s="30" t="s">
        <v>127</v>
      </c>
      <c r="E36" s="28" t="s">
        <v>229</v>
      </c>
      <c r="F36" s="30" t="s">
        <v>230</v>
      </c>
      <c r="G36" s="31" t="n">
        <v>17748</v>
      </c>
      <c r="H36" s="31" t="n">
        <v>5</v>
      </c>
      <c r="I36" s="31" t="n">
        <v>88739</v>
      </c>
      <c r="J36" s="29" t="n">
        <v>45317</v>
      </c>
      <c r="K36" s="31" t="n">
        <v>16893</v>
      </c>
      <c r="L36" s="30" t="s">
        <v>32</v>
      </c>
      <c r="M36" s="10" t="n">
        <v>2</v>
      </c>
      <c r="N36" s="12" t="n">
        <v>-4451</v>
      </c>
      <c r="O36" s="13" t="n">
        <v>-0.0501609887574355</v>
      </c>
      <c r="P36" s="15" t="n">
        <v>0.00125480836140746</v>
      </c>
      <c r="Q36" s="13" t="n">
        <v>-0.0590345920295159</v>
      </c>
      <c r="R36" s="15" t="n">
        <v>0.0719467956469166</v>
      </c>
      <c r="S36" s="32" t="n">
        <v>26819603640</v>
      </c>
      <c r="T36" s="15" t="n">
        <v>0.0230813618003463</v>
      </c>
      <c r="U36" s="32" t="n">
        <v>21712333813</v>
      </c>
      <c r="V36" s="14" t="n">
        <v>1.09767866926921</v>
      </c>
      <c r="W36" s="13" t="n">
        <v>0.0616766467065868</v>
      </c>
      <c r="X36" s="15" t="n">
        <v>0.00676818950930636</v>
      </c>
      <c r="Y36" s="13" t="n">
        <v>-0.00359879125800355</v>
      </c>
      <c r="Z36" s="13" t="n">
        <v>0.0138716696087688</v>
      </c>
      <c r="AA36" s="30" t="s">
        <v>96</v>
      </c>
      <c r="AB36" s="28" t="s">
        <v>93</v>
      </c>
      <c r="AC36" s="28" t="s">
        <v>101</v>
      </c>
      <c r="AD36" s="28" t="s">
        <v>106</v>
      </c>
      <c r="AE36" s="28" t="s">
        <v>113</v>
      </c>
      <c r="AF36" s="28" t="s">
        <v>116</v>
      </c>
      <c r="AG36" s="30" t="s">
        <v>122</v>
      </c>
    </row>
    <row r="37" customFormat="false" ht="15" hidden="false" customHeight="false" outlineLevel="0" collapsed="false">
      <c r="A37" s="10" t="n">
        <v>2024</v>
      </c>
      <c r="B37" s="28" t="s">
        <v>51</v>
      </c>
      <c r="C37" s="29" t="n">
        <v>45315</v>
      </c>
      <c r="D37" s="30" t="s">
        <v>127</v>
      </c>
      <c r="E37" s="28" t="s">
        <v>231</v>
      </c>
      <c r="F37" s="30" t="s">
        <v>232</v>
      </c>
      <c r="G37" s="31" t="n">
        <v>4124</v>
      </c>
      <c r="H37" s="31" t="n">
        <v>24</v>
      </c>
      <c r="I37" s="31" t="n">
        <v>98979</v>
      </c>
      <c r="J37" s="29" t="n">
        <v>45316</v>
      </c>
      <c r="K37" s="31" t="n">
        <v>3926</v>
      </c>
      <c r="L37" s="30" t="s">
        <v>32</v>
      </c>
      <c r="M37" s="10" t="n">
        <v>1</v>
      </c>
      <c r="N37" s="12" t="n">
        <v>-4952</v>
      </c>
      <c r="O37" s="13" t="n">
        <v>-0.0500287223698632</v>
      </c>
      <c r="P37" s="15" t="n">
        <v>0.02324859606413</v>
      </c>
      <c r="Q37" s="13" t="n">
        <v>-0.0701046526289244</v>
      </c>
      <c r="R37" s="15" t="n">
        <v>0.0325814536340852</v>
      </c>
      <c r="S37" s="32" t="n">
        <v>21695116600</v>
      </c>
      <c r="T37" s="15" t="n">
        <v>0.0147783251231528</v>
      </c>
      <c r="U37" s="32" t="n">
        <v>18307930601.75</v>
      </c>
      <c r="V37" s="14" t="n">
        <v>1.1310181883953</v>
      </c>
      <c r="W37" s="13" t="n">
        <v>0.0377833753148615</v>
      </c>
      <c r="X37" s="15" t="n">
        <v>0.016990291262136</v>
      </c>
      <c r="Y37" s="13" t="n">
        <v>-0.00359879125800355</v>
      </c>
      <c r="Z37" s="13" t="n">
        <v>0.0138716696087688</v>
      </c>
      <c r="AA37" s="30" t="s">
        <v>96</v>
      </c>
      <c r="AB37" s="28" t="s">
        <v>93</v>
      </c>
      <c r="AC37" s="28" t="s">
        <v>100</v>
      </c>
      <c r="AD37" s="28" t="s">
        <v>106</v>
      </c>
      <c r="AE37" s="28" t="s">
        <v>112</v>
      </c>
      <c r="AF37" s="28" t="s">
        <v>116</v>
      </c>
      <c r="AG37" s="30" t="s">
        <v>122</v>
      </c>
    </row>
    <row r="38" customFormat="false" ht="15" hidden="false" customHeight="false" outlineLevel="0" collapsed="false">
      <c r="A38" s="10" t="n">
        <v>2024</v>
      </c>
      <c r="B38" s="28" t="s">
        <v>51</v>
      </c>
      <c r="C38" s="29" t="n">
        <v>45316</v>
      </c>
      <c r="D38" s="30" t="s">
        <v>128</v>
      </c>
      <c r="E38" s="28" t="s">
        <v>233</v>
      </c>
      <c r="F38" s="30" t="s">
        <v>234</v>
      </c>
      <c r="G38" s="31" t="n">
        <v>24124</v>
      </c>
      <c r="H38" s="31" t="n">
        <v>4</v>
      </c>
      <c r="I38" s="31" t="n">
        <v>96496</v>
      </c>
      <c r="J38" s="29" t="n">
        <v>45317</v>
      </c>
      <c r="K38" s="31" t="n">
        <v>22677</v>
      </c>
      <c r="L38" s="30" t="s">
        <v>32</v>
      </c>
      <c r="M38" s="10" t="n">
        <v>1</v>
      </c>
      <c r="N38" s="12" t="n">
        <v>-5979</v>
      </c>
      <c r="O38" s="13" t="n">
        <v>-0.0619562740164401</v>
      </c>
      <c r="P38" s="15" t="n">
        <v>-0.030015627526001</v>
      </c>
      <c r="Q38" s="13" t="n">
        <v>-0.110847658565501</v>
      </c>
      <c r="R38" s="15" t="n">
        <v>0.252598752598753</v>
      </c>
      <c r="S38" s="32" t="n">
        <v>160460210000</v>
      </c>
      <c r="T38" s="15" t="n">
        <v>0.248704663212435</v>
      </c>
      <c r="U38" s="32" t="n">
        <v>5144369481.5</v>
      </c>
      <c r="V38" s="14" t="n">
        <v>23.8838426150872</v>
      </c>
      <c r="W38" s="13" t="n">
        <v>0.123543123543124</v>
      </c>
      <c r="X38" s="15" t="n">
        <v>0.0373443983402491</v>
      </c>
      <c r="Y38" s="13" t="n">
        <v>0.000263190926796497</v>
      </c>
      <c r="Z38" s="13" t="n">
        <v>0.0124178292159145</v>
      </c>
      <c r="AA38" s="30" t="s">
        <v>96</v>
      </c>
      <c r="AB38" s="28" t="s">
        <v>93</v>
      </c>
      <c r="AC38" s="28" t="s">
        <v>104</v>
      </c>
      <c r="AD38" s="28" t="s">
        <v>109</v>
      </c>
      <c r="AE38" s="28" t="s">
        <v>114</v>
      </c>
      <c r="AF38" s="28" t="s">
        <v>120</v>
      </c>
      <c r="AG38" s="30" t="s">
        <v>122</v>
      </c>
    </row>
    <row r="39" customFormat="false" ht="15" hidden="false" customHeight="false" outlineLevel="0" collapsed="false">
      <c r="A39" s="10" t="n">
        <v>2024</v>
      </c>
      <c r="B39" s="28" t="s">
        <v>51</v>
      </c>
      <c r="C39" s="29" t="n">
        <v>45316</v>
      </c>
      <c r="D39" s="30" t="s">
        <v>128</v>
      </c>
      <c r="E39" s="28" t="s">
        <v>235</v>
      </c>
      <c r="F39" s="30" t="s">
        <v>236</v>
      </c>
      <c r="G39" s="31" t="n">
        <v>35135</v>
      </c>
      <c r="H39" s="31" t="n">
        <v>2</v>
      </c>
      <c r="I39" s="31" t="n">
        <v>70270</v>
      </c>
      <c r="J39" s="29" t="n">
        <v>45317</v>
      </c>
      <c r="K39" s="31" t="n">
        <v>33417</v>
      </c>
      <c r="L39" s="30" t="s">
        <v>32</v>
      </c>
      <c r="M39" s="10" t="n">
        <v>1</v>
      </c>
      <c r="N39" s="12" t="n">
        <v>-3578</v>
      </c>
      <c r="O39" s="13" t="n">
        <v>-0.0509172462153231</v>
      </c>
      <c r="P39" s="15" t="n">
        <v>-0.0194990194990194</v>
      </c>
      <c r="Q39" s="13" t="n">
        <v>-0.074999074999075</v>
      </c>
      <c r="R39" s="15" t="n">
        <v>0.0248175182481751</v>
      </c>
      <c r="S39" s="32" t="n">
        <v>156227186700</v>
      </c>
      <c r="T39" s="15" t="n">
        <v>0.0071736011477761</v>
      </c>
      <c r="U39" s="32" t="n">
        <v>24488687722.5</v>
      </c>
      <c r="V39" s="14" t="n">
        <v>5.95370151642308</v>
      </c>
      <c r="W39" s="13" t="n">
        <v>-0.00987306064880111</v>
      </c>
      <c r="X39" s="15" t="n">
        <v>0.0726495726495726</v>
      </c>
      <c r="Y39" s="13" t="n">
        <v>0.000263190926796497</v>
      </c>
      <c r="Z39" s="13" t="n">
        <v>0.0124178292159145</v>
      </c>
      <c r="AA39" s="30" t="s">
        <v>96</v>
      </c>
      <c r="AB39" s="28" t="s">
        <v>93</v>
      </c>
      <c r="AC39" s="28" t="s">
        <v>99</v>
      </c>
      <c r="AD39" s="28" t="s">
        <v>109</v>
      </c>
      <c r="AE39" s="28" t="s">
        <v>112</v>
      </c>
      <c r="AF39" s="28" t="s">
        <v>119</v>
      </c>
      <c r="AG39" s="30" t="s">
        <v>123</v>
      </c>
    </row>
    <row r="40" customFormat="false" ht="15" hidden="false" customHeight="false" outlineLevel="0" collapsed="false">
      <c r="A40" s="10" t="n">
        <v>2024</v>
      </c>
      <c r="B40" s="28" t="s">
        <v>51</v>
      </c>
      <c r="C40" s="29" t="n">
        <v>45317</v>
      </c>
      <c r="D40" s="30" t="s">
        <v>129</v>
      </c>
      <c r="E40" s="28" t="s">
        <v>237</v>
      </c>
      <c r="F40" s="28" t="s">
        <v>238</v>
      </c>
      <c r="G40" s="31" t="n">
        <v>11481</v>
      </c>
      <c r="H40" s="31" t="n">
        <v>8</v>
      </c>
      <c r="I40" s="31" t="n">
        <v>91848</v>
      </c>
      <c r="J40" s="29" t="n">
        <v>45320</v>
      </c>
      <c r="K40" s="31" t="n">
        <v>13780</v>
      </c>
      <c r="L40" s="30" t="s">
        <v>31</v>
      </c>
      <c r="M40" s="10" t="n">
        <v>1</v>
      </c>
      <c r="N40" s="12" t="n">
        <v>18164</v>
      </c>
      <c r="O40" s="13" t="n">
        <v>0.197757699035576</v>
      </c>
      <c r="P40" s="15" t="n">
        <v>0.298616421810984</v>
      </c>
      <c r="Q40" s="13" t="n">
        <v>0.0287079106110542</v>
      </c>
      <c r="R40" s="15" t="n">
        <v>0.089814814814815</v>
      </c>
      <c r="S40" s="32" t="n">
        <v>46620263800</v>
      </c>
      <c r="T40" s="15" t="n">
        <v>0.0217013888888891</v>
      </c>
      <c r="U40" s="32" t="n">
        <v>6120475950</v>
      </c>
      <c r="V40" s="14" t="n">
        <v>6.88078550194275</v>
      </c>
      <c r="W40" s="13" t="n">
        <v>0.077838827838828</v>
      </c>
      <c r="X40" s="15" t="n">
        <v>0.0152931180968563</v>
      </c>
      <c r="Y40" s="13" t="n">
        <v>0.00332747718937476</v>
      </c>
      <c r="Z40" s="13" t="n">
        <v>0.00235366435613948</v>
      </c>
      <c r="AA40" s="30" t="s">
        <v>96</v>
      </c>
      <c r="AB40" s="28" t="s">
        <v>93</v>
      </c>
      <c r="AC40" s="28" t="s">
        <v>101</v>
      </c>
      <c r="AD40" s="28" t="s">
        <v>107</v>
      </c>
      <c r="AE40" s="28" t="s">
        <v>113</v>
      </c>
      <c r="AF40" s="28" t="s">
        <v>119</v>
      </c>
      <c r="AG40" s="30" t="s">
        <v>122</v>
      </c>
    </row>
    <row r="41" customFormat="false" ht="15" hidden="false" customHeight="false" outlineLevel="0" collapsed="false">
      <c r="A41" s="10" t="n">
        <v>2024</v>
      </c>
      <c r="B41" s="28" t="s">
        <v>51</v>
      </c>
      <c r="C41" s="29" t="n">
        <v>45317</v>
      </c>
      <c r="D41" s="30" t="s">
        <v>129</v>
      </c>
      <c r="E41" s="28" t="s">
        <v>239</v>
      </c>
      <c r="F41" s="28" t="s">
        <v>240</v>
      </c>
      <c r="G41" s="31" t="n">
        <v>34835</v>
      </c>
      <c r="H41" s="31" t="n">
        <v>2</v>
      </c>
      <c r="I41" s="31" t="n">
        <v>69670</v>
      </c>
      <c r="J41" s="29" t="n">
        <v>45341</v>
      </c>
      <c r="K41" s="31" t="n">
        <v>41850</v>
      </c>
      <c r="L41" s="30" t="s">
        <v>31</v>
      </c>
      <c r="M41" s="10" t="n">
        <v>14</v>
      </c>
      <c r="N41" s="12" t="n">
        <v>13857</v>
      </c>
      <c r="O41" s="13" t="n">
        <v>0.198892121671432</v>
      </c>
      <c r="P41" s="15" t="n">
        <v>0.217173630966735</v>
      </c>
      <c r="Q41" s="13" t="n">
        <v>-0.00243434726193337</v>
      </c>
      <c r="R41" s="15" t="n">
        <v>0.0175438596491229</v>
      </c>
      <c r="S41" s="32" t="n">
        <v>24962666400</v>
      </c>
      <c r="T41" s="15" t="n">
        <v>0.0116279069767442</v>
      </c>
      <c r="U41" s="32" t="n">
        <v>16656669037.5</v>
      </c>
      <c r="V41" s="14" t="n">
        <v>1.45104661165451</v>
      </c>
      <c r="W41" s="13" t="n">
        <v>0.0145772594752187</v>
      </c>
      <c r="X41" s="15" t="n">
        <v>0.00862068965517238</v>
      </c>
      <c r="Y41" s="13" t="n">
        <v>0.00332747718937476</v>
      </c>
      <c r="Z41" s="13" t="n">
        <v>0.00235366435613948</v>
      </c>
      <c r="AA41" s="30" t="s">
        <v>96</v>
      </c>
      <c r="AB41" s="28" t="s">
        <v>93</v>
      </c>
      <c r="AC41" s="28" t="s">
        <v>99</v>
      </c>
      <c r="AD41" s="28" t="s">
        <v>106</v>
      </c>
      <c r="AE41" s="28" t="s">
        <v>112</v>
      </c>
      <c r="AF41" s="28" t="s">
        <v>116</v>
      </c>
      <c r="AG41" s="30" t="s">
        <v>122</v>
      </c>
    </row>
    <row r="42" customFormat="false" ht="15" hidden="false" customHeight="false" outlineLevel="0" collapsed="false">
      <c r="A42" s="10" t="n">
        <v>2024</v>
      </c>
      <c r="B42" s="28" t="s">
        <v>51</v>
      </c>
      <c r="C42" s="29" t="n">
        <v>45317</v>
      </c>
      <c r="D42" s="30" t="s">
        <v>129</v>
      </c>
      <c r="E42" s="28" t="s">
        <v>241</v>
      </c>
      <c r="F42" s="30" t="s">
        <v>242</v>
      </c>
      <c r="G42" s="31" t="n">
        <v>7688</v>
      </c>
      <c r="H42" s="31" t="n">
        <v>12</v>
      </c>
      <c r="I42" s="31" t="n">
        <v>92252</v>
      </c>
      <c r="J42" s="29" t="n">
        <v>45399</v>
      </c>
      <c r="K42" s="31" t="n">
        <v>7313</v>
      </c>
      <c r="L42" s="30" t="s">
        <v>32</v>
      </c>
      <c r="M42" s="10" t="n">
        <v>54</v>
      </c>
      <c r="N42" s="12" t="n">
        <v>-4685</v>
      </c>
      <c r="O42" s="13" t="n">
        <v>-0.0507842259303196</v>
      </c>
      <c r="P42" s="15" t="n">
        <v>0.196719946719947</v>
      </c>
      <c r="Q42" s="13" t="n">
        <v>-0.0569326506826506</v>
      </c>
      <c r="R42" s="15" t="n">
        <v>0.0756302521008403</v>
      </c>
      <c r="S42" s="32" t="n">
        <v>21942535680</v>
      </c>
      <c r="T42" s="15" t="n">
        <v>0.00655307994757526</v>
      </c>
      <c r="U42" s="32" t="n">
        <v>3150176436</v>
      </c>
      <c r="V42" s="14" t="n">
        <v>6.33362550775836</v>
      </c>
      <c r="W42" s="13" t="n">
        <v>0.0651872399445215</v>
      </c>
      <c r="X42" s="15" t="n">
        <v>0.0078125</v>
      </c>
      <c r="Y42" s="13" t="n">
        <v>0.00332747718937476</v>
      </c>
      <c r="Z42" s="13" t="n">
        <v>0.00235366435613948</v>
      </c>
      <c r="AA42" s="30" t="s">
        <v>96</v>
      </c>
      <c r="AB42" s="28" t="s">
        <v>93</v>
      </c>
      <c r="AC42" s="28" t="s">
        <v>101</v>
      </c>
      <c r="AD42" s="28" t="s">
        <v>106</v>
      </c>
      <c r="AE42" s="28" t="s">
        <v>112</v>
      </c>
      <c r="AF42" s="28" t="s">
        <v>119</v>
      </c>
      <c r="AG42" s="30" t="s">
        <v>122</v>
      </c>
    </row>
    <row r="43" customFormat="false" ht="15" hidden="false" customHeight="false" outlineLevel="0" collapsed="false">
      <c r="A43" s="10" t="n">
        <v>2024</v>
      </c>
      <c r="B43" s="28" t="s">
        <v>51</v>
      </c>
      <c r="C43" s="29" t="n">
        <v>45320</v>
      </c>
      <c r="D43" s="30" t="s">
        <v>125</v>
      </c>
      <c r="E43" s="28" t="s">
        <v>243</v>
      </c>
      <c r="F43" s="28" t="s">
        <v>244</v>
      </c>
      <c r="G43" s="31" t="n">
        <v>15284</v>
      </c>
      <c r="H43" s="31" t="n">
        <v>6</v>
      </c>
      <c r="I43" s="31" t="n">
        <v>91707</v>
      </c>
      <c r="J43" s="29" t="n">
        <v>45327</v>
      </c>
      <c r="K43" s="31" t="n">
        <v>18568</v>
      </c>
      <c r="L43" s="30" t="s">
        <v>31</v>
      </c>
      <c r="M43" s="10" t="n">
        <v>5</v>
      </c>
      <c r="N43" s="12" t="n">
        <v>19471</v>
      </c>
      <c r="O43" s="13" t="n">
        <v>0.212319335130771</v>
      </c>
      <c r="P43" s="15" t="n">
        <v>0.356519159778062</v>
      </c>
      <c r="Q43" s="13" t="n">
        <v>0.0188966133444106</v>
      </c>
      <c r="R43" s="15" t="n">
        <v>0.0966247518199868</v>
      </c>
      <c r="S43" s="32" t="n">
        <v>153673576850</v>
      </c>
      <c r="T43" s="15" t="n">
        <v>0.0787760416666667</v>
      </c>
      <c r="U43" s="32" t="n">
        <v>5771670685</v>
      </c>
      <c r="V43" s="14" t="n">
        <v>22.9244262098955</v>
      </c>
      <c r="W43" s="13" t="n">
        <v>0.0560866794136392</v>
      </c>
      <c r="X43" s="15" t="n">
        <v>0.179239589619795</v>
      </c>
      <c r="Y43" s="13" t="n">
        <v>0.00891243302562783</v>
      </c>
      <c r="Z43" s="13" t="n">
        <v>0.0147300505204213</v>
      </c>
      <c r="AA43" s="30" t="s">
        <v>96</v>
      </c>
      <c r="AB43" s="28" t="s">
        <v>93</v>
      </c>
      <c r="AC43" s="28" t="s">
        <v>101</v>
      </c>
      <c r="AD43" s="28" t="s">
        <v>109</v>
      </c>
      <c r="AE43" s="28" t="s">
        <v>101</v>
      </c>
      <c r="AF43" s="28" t="s">
        <v>120</v>
      </c>
      <c r="AG43" s="30" t="s">
        <v>122</v>
      </c>
    </row>
    <row r="44" customFormat="false" ht="15" hidden="false" customHeight="false" outlineLevel="0" collapsed="false">
      <c r="A44" s="10" t="n">
        <v>2024</v>
      </c>
      <c r="B44" s="28" t="s">
        <v>51</v>
      </c>
      <c r="C44" s="29" t="n">
        <v>45320</v>
      </c>
      <c r="D44" s="30" t="s">
        <v>125</v>
      </c>
      <c r="E44" s="28" t="s">
        <v>245</v>
      </c>
      <c r="F44" s="30" t="s">
        <v>246</v>
      </c>
      <c r="G44" s="31" t="n">
        <v>80981</v>
      </c>
      <c r="H44" s="31" t="n">
        <v>1</v>
      </c>
      <c r="I44" s="31" t="n">
        <v>80981</v>
      </c>
      <c r="J44" s="29" t="n">
        <v>45321</v>
      </c>
      <c r="K44" s="31" t="n">
        <v>77023</v>
      </c>
      <c r="L44" s="30" t="s">
        <v>32</v>
      </c>
      <c r="M44" s="10" t="n">
        <v>1</v>
      </c>
      <c r="N44" s="12" t="n">
        <v>-4120</v>
      </c>
      <c r="O44" s="13" t="n">
        <v>-0.0508804148879551</v>
      </c>
      <c r="P44" s="15" t="n">
        <v>0.028637617018334</v>
      </c>
      <c r="Q44" s="13" t="n">
        <v>-0.0503933643612259</v>
      </c>
      <c r="R44" s="15" t="n">
        <v>0.152421652421652</v>
      </c>
      <c r="S44" s="32" t="n">
        <v>151121847200</v>
      </c>
      <c r="T44" s="15" t="n">
        <v>0.056135770234987</v>
      </c>
      <c r="U44" s="32" t="n">
        <v>8949667015</v>
      </c>
      <c r="V44" s="14" t="n">
        <v>14.7760251317912</v>
      </c>
      <c r="W44" s="13" t="n">
        <v>0.144271570014144</v>
      </c>
      <c r="X44" s="15" t="n">
        <v>0.00988875154511737</v>
      </c>
      <c r="Y44" s="13" t="n">
        <v>0.00891243302562783</v>
      </c>
      <c r="Z44" s="13" t="n">
        <v>0.0147300505204213</v>
      </c>
      <c r="AA44" s="30" t="s">
        <v>96</v>
      </c>
      <c r="AB44" s="28" t="s">
        <v>93</v>
      </c>
      <c r="AC44" s="28" t="s">
        <v>103</v>
      </c>
      <c r="AD44" s="28" t="s">
        <v>109</v>
      </c>
      <c r="AE44" s="28" t="s">
        <v>101</v>
      </c>
      <c r="AF44" s="28" t="s">
        <v>120</v>
      </c>
      <c r="AG44" s="30" t="s">
        <v>122</v>
      </c>
    </row>
    <row r="45" customFormat="false" ht="15" hidden="false" customHeight="false" outlineLevel="0" collapsed="false">
      <c r="A45" s="10" t="n">
        <v>2024</v>
      </c>
      <c r="B45" s="28" t="s">
        <v>51</v>
      </c>
      <c r="C45" s="29" t="n">
        <v>45320</v>
      </c>
      <c r="D45" s="30" t="s">
        <v>125</v>
      </c>
      <c r="E45" s="28" t="s">
        <v>247</v>
      </c>
      <c r="F45" s="30" t="s">
        <v>248</v>
      </c>
      <c r="G45" s="31" t="n">
        <v>19940</v>
      </c>
      <c r="H45" s="31" t="n">
        <v>4</v>
      </c>
      <c r="I45" s="31" t="n">
        <v>79760</v>
      </c>
      <c r="J45" s="29" t="n">
        <v>45342</v>
      </c>
      <c r="K45" s="31" t="n">
        <v>23950</v>
      </c>
      <c r="L45" s="30" t="s">
        <v>31</v>
      </c>
      <c r="M45" s="10" t="n">
        <v>14</v>
      </c>
      <c r="N45" s="12" t="n">
        <v>15842</v>
      </c>
      <c r="O45" s="13" t="n">
        <v>0.198615967967775</v>
      </c>
      <c r="P45" s="15" t="n">
        <v>0.201108128818972</v>
      </c>
      <c r="Q45" s="13" t="n">
        <v>-0.0280803533815581</v>
      </c>
      <c r="R45" s="15" t="n">
        <v>0.0375000000000001</v>
      </c>
      <c r="S45" s="32" t="n">
        <v>63417451440</v>
      </c>
      <c r="T45" s="15" t="n">
        <v>0.0348051948051948</v>
      </c>
      <c r="U45" s="32" t="n">
        <v>23074651187</v>
      </c>
      <c r="V45" s="14" t="n">
        <v>2.59433241151452</v>
      </c>
      <c r="W45" s="13" t="n">
        <v>0.0358814352574104</v>
      </c>
      <c r="X45" s="15" t="n">
        <v>0.0025100401606426</v>
      </c>
      <c r="Y45" s="13" t="n">
        <v>0.00891243302562783</v>
      </c>
      <c r="Z45" s="13" t="n">
        <v>0.0147300505204213</v>
      </c>
      <c r="AA45" s="30" t="s">
        <v>96</v>
      </c>
      <c r="AB45" s="28" t="s">
        <v>93</v>
      </c>
      <c r="AC45" s="28" t="s">
        <v>100</v>
      </c>
      <c r="AD45" s="28" t="s">
        <v>108</v>
      </c>
      <c r="AE45" s="28" t="s">
        <v>113</v>
      </c>
      <c r="AF45" s="28" t="s">
        <v>117</v>
      </c>
      <c r="AG45" s="30" t="s">
        <v>122</v>
      </c>
    </row>
    <row r="46" customFormat="false" ht="15" hidden="false" customHeight="false" outlineLevel="0" collapsed="false">
      <c r="A46" s="10" t="n">
        <v>2024</v>
      </c>
      <c r="B46" s="28" t="s">
        <v>51</v>
      </c>
      <c r="C46" s="29" t="n">
        <v>45320</v>
      </c>
      <c r="D46" s="30" t="s">
        <v>125</v>
      </c>
      <c r="E46" s="28" t="s">
        <v>249</v>
      </c>
      <c r="F46" s="30" t="s">
        <v>250</v>
      </c>
      <c r="G46" s="31" t="n">
        <v>26326</v>
      </c>
      <c r="H46" s="31" t="n">
        <v>3</v>
      </c>
      <c r="I46" s="31" t="n">
        <v>78979</v>
      </c>
      <c r="J46" s="29" t="n">
        <v>45348</v>
      </c>
      <c r="K46" s="31" t="n">
        <v>31600</v>
      </c>
      <c r="L46" s="30" t="s">
        <v>31</v>
      </c>
      <c r="M46" s="10" t="n">
        <v>18</v>
      </c>
      <c r="N46" s="12" t="n">
        <v>15624</v>
      </c>
      <c r="O46" s="13" t="n">
        <v>0.19782996680126</v>
      </c>
      <c r="P46" s="15" t="n">
        <v>0.207917557727444</v>
      </c>
      <c r="Q46" s="13" t="n">
        <v>-0.035185346972419</v>
      </c>
      <c r="R46" s="15" t="n">
        <v>0.114406779661017</v>
      </c>
      <c r="S46" s="32" t="n">
        <v>43409780600</v>
      </c>
      <c r="T46" s="15" t="n">
        <v>0.0647773279352226</v>
      </c>
      <c r="U46" s="32" t="n">
        <v>3109275617.5</v>
      </c>
      <c r="V46" s="14" t="n">
        <v>12.5706917771495</v>
      </c>
      <c r="W46" s="13" t="n">
        <v>0.114406779661017</v>
      </c>
      <c r="X46" s="15" t="n">
        <v>0.00570342205323193</v>
      </c>
      <c r="Y46" s="13" t="n">
        <v>0.00891243302562783</v>
      </c>
      <c r="Z46" s="13" t="n">
        <v>0.0147300505204213</v>
      </c>
      <c r="AA46" s="30" t="s">
        <v>96</v>
      </c>
      <c r="AB46" s="28" t="s">
        <v>93</v>
      </c>
      <c r="AC46" s="28" t="s">
        <v>102</v>
      </c>
      <c r="AD46" s="28" t="s">
        <v>107</v>
      </c>
      <c r="AE46" s="28" t="s">
        <v>101</v>
      </c>
      <c r="AF46" s="28" t="s">
        <v>120</v>
      </c>
      <c r="AG46" s="30" t="s">
        <v>122</v>
      </c>
    </row>
    <row r="47" customFormat="false" ht="15" hidden="false" customHeight="false" outlineLevel="0" collapsed="false">
      <c r="A47" s="10" t="n">
        <v>2024</v>
      </c>
      <c r="B47" s="28" t="s">
        <v>51</v>
      </c>
      <c r="C47" s="29" t="n">
        <v>45321</v>
      </c>
      <c r="D47" s="30" t="s">
        <v>126</v>
      </c>
      <c r="E47" s="28" t="s">
        <v>251</v>
      </c>
      <c r="F47" s="30" t="s">
        <v>252</v>
      </c>
      <c r="G47" s="31" t="n">
        <v>3013</v>
      </c>
      <c r="H47" s="31" t="n">
        <v>33</v>
      </c>
      <c r="I47" s="31" t="n">
        <v>99429</v>
      </c>
      <c r="J47" s="29" t="n">
        <v>45327</v>
      </c>
      <c r="K47" s="31" t="n">
        <v>3620</v>
      </c>
      <c r="L47" s="30" t="s">
        <v>31</v>
      </c>
      <c r="M47" s="10" t="n">
        <v>4</v>
      </c>
      <c r="N47" s="12" t="n">
        <v>19783</v>
      </c>
      <c r="O47" s="13" t="n">
        <v>0.198963511073644</v>
      </c>
      <c r="P47" s="15" t="n">
        <v>0.241283633310212</v>
      </c>
      <c r="Q47" s="13" t="n">
        <v>-0.0258910524691255</v>
      </c>
      <c r="R47" s="15" t="n">
        <v>0.0846846846846847</v>
      </c>
      <c r="S47" s="32" t="n">
        <v>47080996270</v>
      </c>
      <c r="T47" s="15" t="n">
        <v>0.0846846846846847</v>
      </c>
      <c r="U47" s="32" t="n">
        <v>3573266540.25</v>
      </c>
      <c r="V47" s="14" t="n">
        <v>11.4201172156209</v>
      </c>
      <c r="W47" s="13" t="n">
        <v>0.0730837789661318</v>
      </c>
      <c r="X47" s="15" t="n">
        <v>0.0299003322259137</v>
      </c>
      <c r="Y47" s="13" t="n">
        <v>-0.000735808689740769</v>
      </c>
      <c r="Z47" s="13" t="n">
        <v>0.00814972908202583</v>
      </c>
      <c r="AA47" s="30" t="s">
        <v>96</v>
      </c>
      <c r="AB47" s="28" t="s">
        <v>93</v>
      </c>
      <c r="AC47" s="28" t="s">
        <v>101</v>
      </c>
      <c r="AD47" s="28" t="s">
        <v>107</v>
      </c>
      <c r="AE47" s="28" t="s">
        <v>101</v>
      </c>
      <c r="AF47" s="28" t="s">
        <v>120</v>
      </c>
      <c r="AG47" s="30" t="s">
        <v>122</v>
      </c>
    </row>
    <row r="48" customFormat="false" ht="15" hidden="false" customHeight="false" outlineLevel="0" collapsed="false">
      <c r="A48" s="10" t="n">
        <v>2024</v>
      </c>
      <c r="B48" s="28" t="s">
        <v>51</v>
      </c>
      <c r="C48" s="29" t="n">
        <v>45321</v>
      </c>
      <c r="D48" s="30" t="s">
        <v>126</v>
      </c>
      <c r="E48" s="28" t="s">
        <v>253</v>
      </c>
      <c r="F48" s="30" t="s">
        <v>254</v>
      </c>
      <c r="G48" s="31" t="n">
        <v>32085</v>
      </c>
      <c r="H48" s="31" t="n">
        <v>3</v>
      </c>
      <c r="I48" s="31" t="n">
        <v>96254</v>
      </c>
      <c r="J48" s="29" t="n">
        <v>45324</v>
      </c>
      <c r="K48" s="31" t="n">
        <v>38550</v>
      </c>
      <c r="L48" s="30" t="s">
        <v>31</v>
      </c>
      <c r="M48" s="10" t="n">
        <v>3</v>
      </c>
      <c r="N48" s="12" t="n">
        <v>19156</v>
      </c>
      <c r="O48" s="13" t="n">
        <v>0.199010681947668</v>
      </c>
      <c r="P48" s="15" t="n">
        <v>0.204787721641655</v>
      </c>
      <c r="Q48" s="13" t="n">
        <v>-0.0328024035889203</v>
      </c>
      <c r="R48" s="15" t="n">
        <v>0.0450097847358122</v>
      </c>
      <c r="S48" s="32" t="n">
        <v>41619185700</v>
      </c>
      <c r="T48" s="15" t="n">
        <v>0.0450097847358122</v>
      </c>
      <c r="U48" s="32" t="n">
        <v>4286661767.5</v>
      </c>
      <c r="V48" s="14" t="n">
        <v>8.85483967630494</v>
      </c>
      <c r="W48" s="13" t="n">
        <v>0.0348837209302324</v>
      </c>
      <c r="X48" s="15" t="n">
        <v>0.0187265917602997</v>
      </c>
      <c r="Y48" s="13" t="n">
        <v>-0.000735808689740769</v>
      </c>
      <c r="Z48" s="13" t="n">
        <v>0.00814972908202583</v>
      </c>
      <c r="AA48" s="30" t="s">
        <v>96</v>
      </c>
      <c r="AB48" s="28" t="s">
        <v>93</v>
      </c>
      <c r="AC48" s="28" t="s">
        <v>100</v>
      </c>
      <c r="AD48" s="28" t="s">
        <v>107</v>
      </c>
      <c r="AE48" s="28" t="s">
        <v>113</v>
      </c>
      <c r="AF48" s="28" t="s">
        <v>119</v>
      </c>
      <c r="AG48" s="30" t="s">
        <v>122</v>
      </c>
    </row>
    <row r="49" customFormat="false" ht="15" hidden="false" customHeight="false" outlineLevel="0" collapsed="false">
      <c r="A49" s="10" t="n">
        <v>2024</v>
      </c>
      <c r="B49" s="28" t="s">
        <v>51</v>
      </c>
      <c r="C49" s="29" t="n">
        <v>45322</v>
      </c>
      <c r="D49" s="30" t="s">
        <v>127</v>
      </c>
      <c r="E49" s="28" t="s">
        <v>255</v>
      </c>
      <c r="F49" s="28" t="s">
        <v>256</v>
      </c>
      <c r="G49" s="31" t="n">
        <v>82082</v>
      </c>
      <c r="H49" s="31" t="n">
        <v>1</v>
      </c>
      <c r="I49" s="31" t="n">
        <v>82082</v>
      </c>
      <c r="J49" s="29" t="n">
        <v>45341</v>
      </c>
      <c r="K49" s="31" t="n">
        <v>98500</v>
      </c>
      <c r="L49" s="30" t="s">
        <v>31</v>
      </c>
      <c r="M49" s="10" t="n">
        <v>11</v>
      </c>
      <c r="N49" s="12" t="n">
        <v>16214</v>
      </c>
      <c r="O49" s="13" t="n">
        <v>0.19752945469165</v>
      </c>
      <c r="P49" s="15" t="n">
        <v>0.262152481664677</v>
      </c>
      <c r="Q49" s="13" t="n">
        <v>-0.0107453522087667</v>
      </c>
      <c r="R49" s="15" t="n">
        <v>0.0553410553410554</v>
      </c>
      <c r="S49" s="32" t="n">
        <v>107429840000</v>
      </c>
      <c r="T49" s="15" t="n">
        <v>0.00367197062423497</v>
      </c>
      <c r="U49" s="32" t="n">
        <v>23561393660</v>
      </c>
      <c r="V49" s="14" t="n">
        <v>4.18769512152633</v>
      </c>
      <c r="W49" s="13" t="n">
        <v>0.0580645161290323</v>
      </c>
      <c r="X49" s="15" t="n">
        <v>0.00853658536585367</v>
      </c>
      <c r="Y49" s="13" t="n">
        <v>-0.000688327643958431</v>
      </c>
      <c r="Z49" s="13" t="n">
        <v>0.011094509837267</v>
      </c>
      <c r="AA49" s="30" t="s">
        <v>96</v>
      </c>
      <c r="AB49" s="28" t="s">
        <v>93</v>
      </c>
      <c r="AC49" s="28" t="s">
        <v>101</v>
      </c>
      <c r="AD49" s="28" t="s">
        <v>109</v>
      </c>
      <c r="AE49" s="28" t="s">
        <v>112</v>
      </c>
      <c r="AF49" s="28" t="s">
        <v>118</v>
      </c>
      <c r="AG49" s="30" t="s">
        <v>122</v>
      </c>
    </row>
    <row r="50" customFormat="false" ht="15" hidden="false" customHeight="false" outlineLevel="0" collapsed="false">
      <c r="A50" s="10" t="n">
        <v>2024</v>
      </c>
      <c r="B50" s="28" t="s">
        <v>52</v>
      </c>
      <c r="C50" s="29" t="n">
        <v>45324</v>
      </c>
      <c r="D50" s="30" t="s">
        <v>129</v>
      </c>
      <c r="E50" s="28" t="s">
        <v>257</v>
      </c>
      <c r="F50" s="30" t="s">
        <v>258</v>
      </c>
      <c r="G50" s="31" t="n">
        <v>22472</v>
      </c>
      <c r="H50" s="31" t="n">
        <v>4</v>
      </c>
      <c r="I50" s="31" t="n">
        <v>89890</v>
      </c>
      <c r="J50" s="29" t="n">
        <v>45337</v>
      </c>
      <c r="K50" s="31" t="n">
        <v>21379</v>
      </c>
      <c r="L50" s="30" t="s">
        <v>32</v>
      </c>
      <c r="M50" s="10" t="n">
        <v>7</v>
      </c>
      <c r="N50" s="12" t="n">
        <v>-4556</v>
      </c>
      <c r="O50" s="13" t="n">
        <v>-0.0506802390260074</v>
      </c>
      <c r="P50" s="15" t="n">
        <v>0.112473272829621</v>
      </c>
      <c r="Q50" s="13" t="n">
        <v>-0.0744222370057558</v>
      </c>
      <c r="R50" s="15" t="n">
        <v>0.247222222222222</v>
      </c>
      <c r="S50" s="32" t="n">
        <v>404079929700</v>
      </c>
      <c r="T50" s="15" t="n">
        <v>0.247222222222222</v>
      </c>
      <c r="U50" s="32" t="n">
        <v>6328530512</v>
      </c>
      <c r="V50" s="14" t="n">
        <v>48.8629727320211</v>
      </c>
      <c r="W50" s="13" t="n">
        <v>0.192246415294743</v>
      </c>
      <c r="X50" s="15" t="n">
        <v>0.0311804008908685</v>
      </c>
      <c r="Y50" s="13" t="n">
        <v>0.0286533514784892</v>
      </c>
      <c r="Z50" s="13" t="n">
        <v>0.0551731650635854</v>
      </c>
      <c r="AA50" s="30" t="s">
        <v>97</v>
      </c>
      <c r="AB50" s="28" t="s">
        <v>93</v>
      </c>
      <c r="AC50" s="28" t="s">
        <v>104</v>
      </c>
      <c r="AD50" s="28" t="s">
        <v>110</v>
      </c>
      <c r="AE50" s="28" t="s">
        <v>114</v>
      </c>
      <c r="AF50" s="28" t="s">
        <v>120</v>
      </c>
      <c r="AG50" s="30" t="s">
        <v>122</v>
      </c>
    </row>
    <row r="51" customFormat="false" ht="15" hidden="false" customHeight="false" outlineLevel="0" collapsed="false">
      <c r="A51" s="10" t="n">
        <v>2024</v>
      </c>
      <c r="B51" s="28" t="s">
        <v>52</v>
      </c>
      <c r="C51" s="29" t="n">
        <v>45327</v>
      </c>
      <c r="D51" s="30" t="s">
        <v>125</v>
      </c>
      <c r="E51" s="28" t="s">
        <v>259</v>
      </c>
      <c r="F51" s="30" t="s">
        <v>260</v>
      </c>
      <c r="G51" s="31" t="n">
        <v>23273</v>
      </c>
      <c r="H51" s="31" t="n">
        <v>4</v>
      </c>
      <c r="I51" s="31" t="n">
        <v>93093</v>
      </c>
      <c r="J51" s="29" t="n">
        <v>45328</v>
      </c>
      <c r="K51" s="31" t="n">
        <v>22128</v>
      </c>
      <c r="L51" s="30" t="s">
        <v>32</v>
      </c>
      <c r="M51" s="10" t="n">
        <v>1</v>
      </c>
      <c r="N51" s="12" t="n">
        <v>-4768</v>
      </c>
      <c r="O51" s="13" t="n">
        <v>-0.051219330991589</v>
      </c>
      <c r="P51" s="15" t="n">
        <v>0.0591558978655755</v>
      </c>
      <c r="Q51" s="13" t="n">
        <v>-0.0590055106184138</v>
      </c>
      <c r="R51" s="15" t="n">
        <v>0.142506142506143</v>
      </c>
      <c r="S51" s="32" t="n">
        <v>72967962750</v>
      </c>
      <c r="T51" s="15" t="n">
        <v>0.142506142506143</v>
      </c>
      <c r="U51" s="32" t="n">
        <v>10698155364.5</v>
      </c>
      <c r="V51" s="14" t="n">
        <v>5.83176788262831</v>
      </c>
      <c r="W51" s="13" t="n">
        <v>0.120481927710843</v>
      </c>
      <c r="X51" s="15" t="n">
        <v>0.021505376344086</v>
      </c>
      <c r="Y51" s="13" t="n">
        <v>-0.00917673239501249</v>
      </c>
      <c r="Z51" s="13" t="n">
        <v>0.0362545738108091</v>
      </c>
      <c r="AA51" s="30" t="s">
        <v>97</v>
      </c>
      <c r="AB51" s="28" t="s">
        <v>93</v>
      </c>
      <c r="AC51" s="28" t="s">
        <v>102</v>
      </c>
      <c r="AD51" s="28" t="s">
        <v>108</v>
      </c>
      <c r="AE51" s="28" t="s">
        <v>114</v>
      </c>
      <c r="AF51" s="28" t="s">
        <v>119</v>
      </c>
      <c r="AG51" s="30" t="s">
        <v>122</v>
      </c>
    </row>
    <row r="52" customFormat="false" ht="15" hidden="false" customHeight="false" outlineLevel="0" collapsed="false">
      <c r="A52" s="10" t="n">
        <v>2024</v>
      </c>
      <c r="B52" s="28" t="s">
        <v>52</v>
      </c>
      <c r="C52" s="29" t="n">
        <v>45327</v>
      </c>
      <c r="D52" s="30" t="s">
        <v>125</v>
      </c>
      <c r="E52" s="28" t="s">
        <v>261</v>
      </c>
      <c r="F52" s="28" t="s">
        <v>262</v>
      </c>
      <c r="G52" s="31" t="n">
        <v>69870</v>
      </c>
      <c r="H52" s="31" t="n">
        <v>1</v>
      </c>
      <c r="I52" s="31" t="n">
        <v>69870</v>
      </c>
      <c r="J52" s="29" t="n">
        <v>45387</v>
      </c>
      <c r="K52" s="31" t="n">
        <v>83900</v>
      </c>
      <c r="L52" s="30" t="s">
        <v>31</v>
      </c>
      <c r="M52" s="10" t="n">
        <v>41</v>
      </c>
      <c r="N52" s="12" t="n">
        <v>13856</v>
      </c>
      <c r="O52" s="13" t="n">
        <v>0.198313356128113</v>
      </c>
      <c r="P52" s="15" t="n">
        <v>0.202236159256217</v>
      </c>
      <c r="Q52" s="13" t="n">
        <v>-0.0124488691823934</v>
      </c>
      <c r="R52" s="15" t="n">
        <v>0.0145348837209303</v>
      </c>
      <c r="S52" s="32" t="n">
        <v>30358463000</v>
      </c>
      <c r="T52" s="15" t="n">
        <v>0.0115942028985507</v>
      </c>
      <c r="U52" s="32" t="n">
        <v>13549363830</v>
      </c>
      <c r="V52" s="14" t="n">
        <v>2.15507139307291</v>
      </c>
      <c r="W52" s="13" t="n">
        <v>0.00867052023121384</v>
      </c>
      <c r="X52" s="15" t="n">
        <v>0.00429799426934108</v>
      </c>
      <c r="Y52" s="13" t="n">
        <v>-0.00917673239501249</v>
      </c>
      <c r="Z52" s="13" t="n">
        <v>0.0362545738108091</v>
      </c>
      <c r="AA52" s="30" t="s">
        <v>97</v>
      </c>
      <c r="AB52" s="28" t="s">
        <v>93</v>
      </c>
      <c r="AC52" s="28" t="s">
        <v>99</v>
      </c>
      <c r="AD52" s="28" t="s">
        <v>107</v>
      </c>
      <c r="AE52" s="28" t="s">
        <v>112</v>
      </c>
      <c r="AF52" s="28" t="s">
        <v>117</v>
      </c>
      <c r="AG52" s="30" t="s">
        <v>122</v>
      </c>
    </row>
    <row r="53" customFormat="false" ht="15" hidden="false" customHeight="false" outlineLevel="0" collapsed="false">
      <c r="A53" s="10" t="n">
        <v>2024</v>
      </c>
      <c r="B53" s="28" t="s">
        <v>52</v>
      </c>
      <c r="C53" s="29" t="n">
        <v>45328</v>
      </c>
      <c r="D53" s="30" t="s">
        <v>126</v>
      </c>
      <c r="E53" s="28" t="s">
        <v>263</v>
      </c>
      <c r="F53" s="30" t="s">
        <v>264</v>
      </c>
      <c r="G53" s="31" t="n">
        <v>61061</v>
      </c>
      <c r="H53" s="31" t="n">
        <v>1</v>
      </c>
      <c r="I53" s="31" t="n">
        <v>61061</v>
      </c>
      <c r="J53" s="29" t="n">
        <v>45330</v>
      </c>
      <c r="K53" s="31" t="n">
        <v>73300</v>
      </c>
      <c r="L53" s="30" t="s">
        <v>31</v>
      </c>
      <c r="M53" s="10" t="n">
        <v>2</v>
      </c>
      <c r="N53" s="12" t="n">
        <v>12087</v>
      </c>
      <c r="O53" s="13" t="n">
        <v>0.197948049491492</v>
      </c>
      <c r="P53" s="15" t="n">
        <v>0.285599646255384</v>
      </c>
      <c r="Q53" s="13" t="n">
        <v>-0.0239268927793517</v>
      </c>
      <c r="R53" s="15" t="n">
        <v>0.0374149659863945</v>
      </c>
      <c r="S53" s="32" t="n">
        <v>67094205000</v>
      </c>
      <c r="T53" s="15" t="n">
        <v>0.020066889632107</v>
      </c>
      <c r="U53" s="32" t="n">
        <v>57384673555</v>
      </c>
      <c r="V53" s="14" t="n">
        <v>1.10103686589814</v>
      </c>
      <c r="W53" s="13" t="n">
        <v>0.0252100840336134</v>
      </c>
      <c r="X53" s="15" t="n">
        <v>0.00819672131147531</v>
      </c>
      <c r="Y53" s="13" t="n">
        <v>-0.00583102754977216</v>
      </c>
      <c r="Z53" s="13" t="n">
        <v>0.0309707420732268</v>
      </c>
      <c r="AA53" s="30" t="s">
        <v>97</v>
      </c>
      <c r="AB53" s="28" t="s">
        <v>93</v>
      </c>
      <c r="AC53" s="28" t="s">
        <v>100</v>
      </c>
      <c r="AD53" s="28" t="s">
        <v>108</v>
      </c>
      <c r="AE53" s="28" t="s">
        <v>113</v>
      </c>
      <c r="AF53" s="28" t="s">
        <v>116</v>
      </c>
      <c r="AG53" s="30" t="s">
        <v>122</v>
      </c>
    </row>
    <row r="54" customFormat="false" ht="15" hidden="false" customHeight="false" outlineLevel="0" collapsed="false">
      <c r="A54" s="10" t="n">
        <v>2024</v>
      </c>
      <c r="B54" s="28" t="s">
        <v>52</v>
      </c>
      <c r="C54" s="29" t="n">
        <v>45330</v>
      </c>
      <c r="D54" s="30" t="s">
        <v>128</v>
      </c>
      <c r="E54" s="28" t="s">
        <v>265</v>
      </c>
      <c r="F54" s="30" t="s">
        <v>266</v>
      </c>
      <c r="G54" s="31" t="n">
        <v>30530</v>
      </c>
      <c r="H54" s="31" t="n">
        <v>3</v>
      </c>
      <c r="I54" s="31" t="n">
        <v>91591</v>
      </c>
      <c r="J54" s="29" t="n">
        <v>45345</v>
      </c>
      <c r="K54" s="31" t="n">
        <v>36650</v>
      </c>
      <c r="L54" s="30" t="s">
        <v>31</v>
      </c>
      <c r="M54" s="10" t="n">
        <v>9</v>
      </c>
      <c r="N54" s="12" t="n">
        <v>18130</v>
      </c>
      <c r="O54" s="13" t="n">
        <v>0.197948049491492</v>
      </c>
      <c r="P54" s="15" t="n">
        <v>0.208627438135635</v>
      </c>
      <c r="Q54" s="13" t="n">
        <v>0.0252043038928287</v>
      </c>
      <c r="R54" s="15" t="n">
        <v>0.0608695652173914</v>
      </c>
      <c r="S54" s="32" t="n">
        <v>28479924000</v>
      </c>
      <c r="T54" s="15" t="n">
        <v>0.0166666666666666</v>
      </c>
      <c r="U54" s="32" t="n">
        <v>9870959177.5</v>
      </c>
      <c r="V54" s="14" t="n">
        <v>2.63496585192412</v>
      </c>
      <c r="W54" s="13" t="n">
        <v>0.0427350427350428</v>
      </c>
      <c r="X54" s="15" t="n">
        <v>0.0245901639344262</v>
      </c>
      <c r="Y54" s="13" t="n">
        <v>0.00411560480996953</v>
      </c>
      <c r="Z54" s="13" t="n">
        <v>0.0306238839549098</v>
      </c>
      <c r="AA54" s="30" t="s">
        <v>97</v>
      </c>
      <c r="AB54" s="28" t="s">
        <v>93</v>
      </c>
      <c r="AC54" s="28" t="s">
        <v>101</v>
      </c>
      <c r="AD54" s="28" t="s">
        <v>106</v>
      </c>
      <c r="AE54" s="28" t="s">
        <v>112</v>
      </c>
      <c r="AF54" s="28" t="s">
        <v>117</v>
      </c>
      <c r="AG54" s="30" t="s">
        <v>122</v>
      </c>
    </row>
    <row r="55" customFormat="false" ht="15" hidden="false" customHeight="false" outlineLevel="0" collapsed="false">
      <c r="A55" s="10" t="n">
        <v>2024</v>
      </c>
      <c r="B55" s="28" t="s">
        <v>52</v>
      </c>
      <c r="C55" s="29" t="n">
        <v>45337</v>
      </c>
      <c r="D55" s="30" t="s">
        <v>128</v>
      </c>
      <c r="E55" s="28" t="s">
        <v>267</v>
      </c>
      <c r="F55" s="30" t="s">
        <v>268</v>
      </c>
      <c r="G55" s="31" t="n">
        <v>8539</v>
      </c>
      <c r="H55" s="31" t="n">
        <v>11</v>
      </c>
      <c r="I55" s="31" t="n">
        <v>93924</v>
      </c>
      <c r="J55" s="29" t="n">
        <v>45345</v>
      </c>
      <c r="K55" s="31" t="n">
        <v>8122</v>
      </c>
      <c r="L55" s="30" t="s">
        <v>32</v>
      </c>
      <c r="M55" s="10" t="n">
        <v>6</v>
      </c>
      <c r="N55" s="12" t="n">
        <v>-4772</v>
      </c>
      <c r="O55" s="13" t="n">
        <v>-0.0508024713855899</v>
      </c>
      <c r="P55" s="15" t="n">
        <v>0.0610725733820694</v>
      </c>
      <c r="Q55" s="13" t="n">
        <v>-0.0607282518185214</v>
      </c>
      <c r="R55" s="15" t="n">
        <v>0.261834319526627</v>
      </c>
      <c r="S55" s="32" t="n">
        <v>417840761970</v>
      </c>
      <c r="T55" s="15" t="n">
        <v>0.241630276564774</v>
      </c>
      <c r="U55" s="32" t="n">
        <v>18912150242.5</v>
      </c>
      <c r="V55" s="14" t="n">
        <v>16.6280670960615</v>
      </c>
      <c r="W55" s="13" t="n">
        <v>0.162125340599455</v>
      </c>
      <c r="X55" s="15" t="n">
        <v>0.0293083235638922</v>
      </c>
      <c r="Y55" s="13" t="n">
        <v>-0.00252631257584657</v>
      </c>
      <c r="Z55" s="13" t="n">
        <v>0.0145951401288722</v>
      </c>
      <c r="AA55" s="30" t="s">
        <v>97</v>
      </c>
      <c r="AB55" s="28" t="s">
        <v>93</v>
      </c>
      <c r="AC55" s="28" t="s">
        <v>104</v>
      </c>
      <c r="AD55" s="28" t="s">
        <v>110</v>
      </c>
      <c r="AE55" s="28" t="s">
        <v>114</v>
      </c>
      <c r="AF55" s="28" t="s">
        <v>120</v>
      </c>
      <c r="AG55" s="30" t="s">
        <v>122</v>
      </c>
    </row>
    <row r="56" customFormat="false" ht="15" hidden="false" customHeight="false" outlineLevel="0" collapsed="false">
      <c r="A56" s="10" t="n">
        <v>2024</v>
      </c>
      <c r="B56" s="28" t="s">
        <v>52</v>
      </c>
      <c r="C56" s="29" t="n">
        <v>45341</v>
      </c>
      <c r="D56" s="30" t="s">
        <v>125</v>
      </c>
      <c r="E56" s="28" t="s">
        <v>269</v>
      </c>
      <c r="F56" s="30" t="s">
        <v>270</v>
      </c>
      <c r="G56" s="31" t="n">
        <v>11211</v>
      </c>
      <c r="H56" s="31" t="n">
        <v>8</v>
      </c>
      <c r="I56" s="31" t="n">
        <v>89690</v>
      </c>
      <c r="J56" s="29" t="n">
        <v>45342</v>
      </c>
      <c r="K56" s="31" t="n">
        <v>10669</v>
      </c>
      <c r="L56" s="30" t="s">
        <v>32</v>
      </c>
      <c r="M56" s="10" t="n">
        <v>1</v>
      </c>
      <c r="N56" s="12" t="n">
        <v>-4515</v>
      </c>
      <c r="O56" s="13" t="n">
        <v>-0.050339558120451</v>
      </c>
      <c r="P56" s="15" t="n">
        <v>0.0105965463108322</v>
      </c>
      <c r="Q56" s="13" t="n">
        <v>-0.0500570857713714</v>
      </c>
      <c r="R56" s="15" t="n">
        <v>0.0486891385767789</v>
      </c>
      <c r="S56" s="32" t="n">
        <v>29433644800</v>
      </c>
      <c r="T56" s="15" t="n">
        <v>0.0341643582640812</v>
      </c>
      <c r="U56" s="32" t="n">
        <v>6707009845</v>
      </c>
      <c r="V56" s="14" t="n">
        <v>4.08648468775681</v>
      </c>
      <c r="W56" s="13" t="n">
        <v>-0.0106007067137809</v>
      </c>
      <c r="X56" s="15" t="n">
        <v>0.111607142857143</v>
      </c>
      <c r="Y56" s="13" t="n">
        <v>0.0118923571784533</v>
      </c>
      <c r="Z56" s="13" t="n">
        <v>0.0228750686939001</v>
      </c>
      <c r="AA56" s="30" t="s">
        <v>97</v>
      </c>
      <c r="AB56" s="28" t="s">
        <v>93</v>
      </c>
      <c r="AC56" s="28" t="s">
        <v>100</v>
      </c>
      <c r="AD56" s="28" t="s">
        <v>106</v>
      </c>
      <c r="AE56" s="28" t="s">
        <v>113</v>
      </c>
      <c r="AF56" s="28" t="s">
        <v>118</v>
      </c>
      <c r="AG56" s="30" t="s">
        <v>123</v>
      </c>
    </row>
    <row r="57" customFormat="false" ht="15" hidden="false" customHeight="false" outlineLevel="0" collapsed="false">
      <c r="A57" s="10" t="n">
        <v>2024</v>
      </c>
      <c r="B57" s="28" t="s">
        <v>52</v>
      </c>
      <c r="C57" s="29" t="n">
        <v>45341</v>
      </c>
      <c r="D57" s="30" t="s">
        <v>125</v>
      </c>
      <c r="E57" s="28" t="s">
        <v>271</v>
      </c>
      <c r="F57" s="30" t="s">
        <v>272</v>
      </c>
      <c r="G57" s="31" t="n">
        <v>53453</v>
      </c>
      <c r="H57" s="31" t="n">
        <v>1</v>
      </c>
      <c r="I57" s="31" t="n">
        <v>53453</v>
      </c>
      <c r="J57" s="29" t="n">
        <v>45357</v>
      </c>
      <c r="K57" s="31" t="n">
        <v>64200</v>
      </c>
      <c r="L57" s="30" t="s">
        <v>31</v>
      </c>
      <c r="M57" s="10" t="n">
        <v>11</v>
      </c>
      <c r="N57" s="12" t="n">
        <v>10613</v>
      </c>
      <c r="O57" s="13" t="n">
        <v>0.19855410488388</v>
      </c>
      <c r="P57" s="15" t="n">
        <v>0.451731788810441</v>
      </c>
      <c r="Q57" s="13" t="n">
        <v>-0.030931615201278</v>
      </c>
      <c r="R57" s="15" t="n">
        <v>0.0171428571428571</v>
      </c>
      <c r="S57" s="32" t="n">
        <v>26995195200</v>
      </c>
      <c r="T57" s="15" t="n">
        <v>0.0113636363636365</v>
      </c>
      <c r="U57" s="32" t="n">
        <v>34474314272.5</v>
      </c>
      <c r="V57" s="14" t="n">
        <v>0.744571812440745</v>
      </c>
      <c r="W57" s="13" t="n">
        <v>0.0132827324478178</v>
      </c>
      <c r="X57" s="15" t="n">
        <v>0.0149812734082397</v>
      </c>
      <c r="Y57" s="13" t="n">
        <v>0.0118923571784533</v>
      </c>
      <c r="Z57" s="13" t="n">
        <v>0.0228750686939001</v>
      </c>
      <c r="AA57" s="30" t="s">
        <v>97</v>
      </c>
      <c r="AB57" s="28" t="s">
        <v>93</v>
      </c>
      <c r="AC57" s="28" t="s">
        <v>99</v>
      </c>
      <c r="AD57" s="28" t="s">
        <v>106</v>
      </c>
      <c r="AE57" s="28" t="s">
        <v>112</v>
      </c>
      <c r="AF57" s="28" t="s">
        <v>116</v>
      </c>
      <c r="AG57" s="30" t="s">
        <v>122</v>
      </c>
    </row>
    <row r="58" customFormat="false" ht="15" hidden="false" customHeight="false" outlineLevel="0" collapsed="false">
      <c r="A58" s="10" t="n">
        <v>2024</v>
      </c>
      <c r="B58" s="28" t="s">
        <v>52</v>
      </c>
      <c r="C58" s="29" t="n">
        <v>45342</v>
      </c>
      <c r="D58" s="30" t="s">
        <v>126</v>
      </c>
      <c r="E58" s="28" t="s">
        <v>273</v>
      </c>
      <c r="F58" s="30" t="s">
        <v>274</v>
      </c>
      <c r="G58" s="31" t="n">
        <v>1668</v>
      </c>
      <c r="H58" s="31" t="n">
        <v>59</v>
      </c>
      <c r="I58" s="31" t="n">
        <v>98392</v>
      </c>
      <c r="J58" s="29" t="n">
        <v>45344</v>
      </c>
      <c r="K58" s="31" t="n">
        <v>1587</v>
      </c>
      <c r="L58" s="30" t="s">
        <v>32</v>
      </c>
      <c r="M58" s="10" t="n">
        <v>2</v>
      </c>
      <c r="N58" s="12" t="n">
        <v>-4932</v>
      </c>
      <c r="O58" s="13" t="n">
        <v>-0.0501303026805126</v>
      </c>
      <c r="P58" s="15" t="n">
        <v>0.106336640550326</v>
      </c>
      <c r="Q58" s="13" t="n">
        <v>-0.0621623274684497</v>
      </c>
      <c r="R58" s="15" t="n">
        <v>0.216946676406136</v>
      </c>
      <c r="S58" s="32" t="n">
        <v>334411660142</v>
      </c>
      <c r="T58" s="15" t="n">
        <v>0.187455452601568</v>
      </c>
      <c r="U58" s="32" t="n">
        <v>14184192326.1</v>
      </c>
      <c r="V58" s="14" t="n">
        <v>18.8826826531609</v>
      </c>
      <c r="W58" s="13" t="n">
        <v>0.207246376811594</v>
      </c>
      <c r="X58" s="15" t="n">
        <v>0.0408163265306123</v>
      </c>
      <c r="Y58" s="13" t="n">
        <v>-0.00838351503212387</v>
      </c>
      <c r="Z58" s="13" t="n">
        <v>0.00307588955480753</v>
      </c>
      <c r="AA58" s="30" t="s">
        <v>97</v>
      </c>
      <c r="AB58" s="28" t="s">
        <v>93</v>
      </c>
      <c r="AC58" s="28" t="s">
        <v>104</v>
      </c>
      <c r="AD58" s="28" t="s">
        <v>110</v>
      </c>
      <c r="AE58" s="28" t="s">
        <v>114</v>
      </c>
      <c r="AF58" s="28" t="s">
        <v>120</v>
      </c>
      <c r="AG58" s="30" t="s">
        <v>122</v>
      </c>
    </row>
    <row r="59" customFormat="false" ht="15" hidden="false" customHeight="false" outlineLevel="0" collapsed="false">
      <c r="A59" s="10" t="n">
        <v>2024</v>
      </c>
      <c r="B59" s="28" t="s">
        <v>52</v>
      </c>
      <c r="C59" s="29" t="n">
        <v>45342</v>
      </c>
      <c r="D59" s="30" t="s">
        <v>126</v>
      </c>
      <c r="E59" s="28" t="s">
        <v>275</v>
      </c>
      <c r="F59" s="30" t="s">
        <v>276</v>
      </c>
      <c r="G59" s="31" t="n">
        <v>7237</v>
      </c>
      <c r="H59" s="31" t="n">
        <v>13</v>
      </c>
      <c r="I59" s="31" t="n">
        <v>94084</v>
      </c>
      <c r="J59" s="29" t="n">
        <v>45351</v>
      </c>
      <c r="K59" s="31" t="n">
        <v>6883</v>
      </c>
      <c r="L59" s="30" t="s">
        <v>32</v>
      </c>
      <c r="M59" s="10" t="n">
        <v>7</v>
      </c>
      <c r="N59" s="12" t="n">
        <v>-4792</v>
      </c>
      <c r="O59" s="13" t="n">
        <v>-0.050934908659805</v>
      </c>
      <c r="P59" s="15" t="n">
        <v>0.135793666913999</v>
      </c>
      <c r="Q59" s="13" t="n">
        <v>-0.0659409746546675</v>
      </c>
      <c r="R59" s="15" t="n">
        <v>0.0791044776119403</v>
      </c>
      <c r="S59" s="32" t="n">
        <v>36899215980</v>
      </c>
      <c r="T59" s="15" t="n">
        <v>0.0387931034482758</v>
      </c>
      <c r="U59" s="32" t="n">
        <v>3981914786.8</v>
      </c>
      <c r="V59" s="14" t="n">
        <v>8.69763853908843</v>
      </c>
      <c r="W59" s="13" t="n">
        <v>0.0328571428571429</v>
      </c>
      <c r="X59" s="15" t="n">
        <v>0.0788381742738589</v>
      </c>
      <c r="Y59" s="13" t="n">
        <v>-0.00838351503212387</v>
      </c>
      <c r="Z59" s="13" t="n">
        <v>0.00307588955480753</v>
      </c>
      <c r="AA59" s="30" t="s">
        <v>97</v>
      </c>
      <c r="AB59" s="28" t="s">
        <v>93</v>
      </c>
      <c r="AC59" s="28" t="s">
        <v>101</v>
      </c>
      <c r="AD59" s="28" t="s">
        <v>107</v>
      </c>
      <c r="AE59" s="28" t="s">
        <v>113</v>
      </c>
      <c r="AF59" s="28" t="s">
        <v>119</v>
      </c>
      <c r="AG59" s="30" t="s">
        <v>122</v>
      </c>
    </row>
    <row r="60" customFormat="false" ht="15" hidden="false" customHeight="false" outlineLevel="0" collapsed="false">
      <c r="A60" s="10" t="n">
        <v>2024</v>
      </c>
      <c r="B60" s="28" t="s">
        <v>52</v>
      </c>
      <c r="C60" s="29" t="n">
        <v>45342</v>
      </c>
      <c r="D60" s="30" t="s">
        <v>126</v>
      </c>
      <c r="E60" s="28" t="s">
        <v>277</v>
      </c>
      <c r="F60" s="30" t="s">
        <v>278</v>
      </c>
      <c r="G60" s="31" t="n">
        <v>94895</v>
      </c>
      <c r="H60" s="31" t="n">
        <v>1</v>
      </c>
      <c r="I60" s="31" t="n">
        <v>94895</v>
      </c>
      <c r="J60" s="29" t="n">
        <v>45356</v>
      </c>
      <c r="K60" s="31" t="n">
        <v>90310</v>
      </c>
      <c r="L60" s="30" t="s">
        <v>32</v>
      </c>
      <c r="M60" s="10" t="n">
        <v>9</v>
      </c>
      <c r="N60" s="12" t="n">
        <v>-4776</v>
      </c>
      <c r="O60" s="13" t="n">
        <v>-0.0503245482365735</v>
      </c>
      <c r="P60" s="15" t="n">
        <v>0.196061322643601</v>
      </c>
      <c r="Q60" s="13" t="n">
        <v>-0.0568503226731074</v>
      </c>
      <c r="R60" s="15" t="n">
        <v>0.12189349112426</v>
      </c>
      <c r="S60" s="32" t="n">
        <v>25287141600</v>
      </c>
      <c r="T60" s="15" t="n">
        <v>0.0921658986175116</v>
      </c>
      <c r="U60" s="32" t="n">
        <v>4305733595</v>
      </c>
      <c r="V60" s="14" t="n">
        <v>5.03633634484126</v>
      </c>
      <c r="W60" s="13" t="n">
        <v>0.12189349112426</v>
      </c>
      <c r="X60" s="15" t="n">
        <v>0.0232067510548524</v>
      </c>
      <c r="Y60" s="13" t="n">
        <v>-0.00838351503212387</v>
      </c>
      <c r="Z60" s="13" t="n">
        <v>0.00307588955480753</v>
      </c>
      <c r="AA60" s="30" t="s">
        <v>97</v>
      </c>
      <c r="AB60" s="28" t="s">
        <v>93</v>
      </c>
      <c r="AC60" s="28" t="s">
        <v>102</v>
      </c>
      <c r="AD60" s="28" t="s">
        <v>106</v>
      </c>
      <c r="AE60" s="28" t="s">
        <v>101</v>
      </c>
      <c r="AF60" s="28" t="s">
        <v>119</v>
      </c>
      <c r="AG60" s="30" t="s">
        <v>122</v>
      </c>
    </row>
    <row r="61" customFormat="false" ht="15" hidden="false" customHeight="false" outlineLevel="0" collapsed="false">
      <c r="A61" s="10" t="n">
        <v>2024</v>
      </c>
      <c r="B61" s="28" t="s">
        <v>52</v>
      </c>
      <c r="C61" s="29" t="n">
        <v>45344</v>
      </c>
      <c r="D61" s="30" t="s">
        <v>128</v>
      </c>
      <c r="E61" s="28" t="s">
        <v>279</v>
      </c>
      <c r="F61" s="30" t="s">
        <v>280</v>
      </c>
      <c r="G61" s="31" t="n">
        <v>60060</v>
      </c>
      <c r="H61" s="31" t="n">
        <v>1</v>
      </c>
      <c r="I61" s="31" t="n">
        <v>60060</v>
      </c>
      <c r="J61" s="29" t="n">
        <v>45345</v>
      </c>
      <c r="K61" s="31" t="n">
        <v>72100</v>
      </c>
      <c r="L61" s="30" t="s">
        <v>31</v>
      </c>
      <c r="M61" s="10" t="n">
        <v>1</v>
      </c>
      <c r="N61" s="12" t="n">
        <v>11890</v>
      </c>
      <c r="O61" s="13" t="n">
        <v>0.197975291375291</v>
      </c>
      <c r="P61" s="15" t="n">
        <v>0.255411255411256</v>
      </c>
      <c r="Q61" s="13" t="n">
        <v>0.0156510156510157</v>
      </c>
      <c r="R61" s="15" t="n">
        <v>0.15606936416185</v>
      </c>
      <c r="S61" s="32" t="n">
        <v>480395460000</v>
      </c>
      <c r="T61" s="15" t="n">
        <v>0.00334448160535117</v>
      </c>
      <c r="U61" s="32" t="n">
        <v>48245852042.5</v>
      </c>
      <c r="V61" s="14" t="n">
        <v>8.45588337022872</v>
      </c>
      <c r="W61" s="13" t="n">
        <v>0.0169491525423728</v>
      </c>
      <c r="X61" s="15" t="n">
        <v>0.0416666666666667</v>
      </c>
      <c r="Y61" s="13" t="n">
        <v>0.00413068959149143</v>
      </c>
      <c r="Z61" s="13" t="n">
        <v>0.0193090519550079</v>
      </c>
      <c r="AA61" s="30" t="s">
        <v>97</v>
      </c>
      <c r="AB61" s="28" t="s">
        <v>93</v>
      </c>
      <c r="AC61" s="28" t="s">
        <v>103</v>
      </c>
      <c r="AD61" s="28" t="s">
        <v>110</v>
      </c>
      <c r="AE61" s="28" t="s">
        <v>112</v>
      </c>
      <c r="AF61" s="28" t="s">
        <v>119</v>
      </c>
      <c r="AG61" s="30" t="s">
        <v>122</v>
      </c>
    </row>
    <row r="62" customFormat="false" ht="15" hidden="false" customHeight="false" outlineLevel="0" collapsed="false">
      <c r="A62" s="10" t="n">
        <v>2024</v>
      </c>
      <c r="B62" s="28" t="s">
        <v>52</v>
      </c>
      <c r="C62" s="29" t="n">
        <v>45344</v>
      </c>
      <c r="D62" s="30" t="s">
        <v>128</v>
      </c>
      <c r="E62" s="28" t="s">
        <v>281</v>
      </c>
      <c r="F62" s="30" t="s">
        <v>282</v>
      </c>
      <c r="G62" s="31" t="n">
        <v>16126</v>
      </c>
      <c r="H62" s="31" t="n">
        <v>6</v>
      </c>
      <c r="I62" s="31" t="n">
        <v>96754</v>
      </c>
      <c r="J62" s="29" t="n">
        <v>45345</v>
      </c>
      <c r="K62" s="31" t="n">
        <v>15345</v>
      </c>
      <c r="L62" s="30" t="s">
        <v>32</v>
      </c>
      <c r="M62" s="10" t="n">
        <v>1</v>
      </c>
      <c r="N62" s="12" t="n">
        <v>-4880</v>
      </c>
      <c r="O62" s="13" t="n">
        <v>-0.0504405238972665</v>
      </c>
      <c r="P62" s="15" t="n">
        <v>0.0346796061081778</v>
      </c>
      <c r="Q62" s="13" t="n">
        <v>-0.0863174092987756</v>
      </c>
      <c r="R62" s="15" t="n">
        <v>0.175182481751825</v>
      </c>
      <c r="S62" s="32" t="n">
        <v>304663262400</v>
      </c>
      <c r="T62" s="15" t="n">
        <v>0.104631217838765</v>
      </c>
      <c r="U62" s="32" t="n">
        <v>19103758752.5</v>
      </c>
      <c r="V62" s="14" t="n">
        <v>13.4834984617717</v>
      </c>
      <c r="W62" s="13" t="n">
        <v>0.14795008912656</v>
      </c>
      <c r="X62" s="15" t="n">
        <v>0.105590062111801</v>
      </c>
      <c r="Y62" s="13" t="n">
        <v>0.00413068959149143</v>
      </c>
      <c r="Z62" s="13" t="n">
        <v>0.0193090519550079</v>
      </c>
      <c r="AA62" s="30" t="s">
        <v>97</v>
      </c>
      <c r="AB62" s="28" t="s">
        <v>93</v>
      </c>
      <c r="AC62" s="28" t="s">
        <v>103</v>
      </c>
      <c r="AD62" s="28" t="s">
        <v>110</v>
      </c>
      <c r="AE62" s="28" t="s">
        <v>114</v>
      </c>
      <c r="AF62" s="28" t="s">
        <v>120</v>
      </c>
      <c r="AG62" s="30" t="s">
        <v>122</v>
      </c>
    </row>
    <row r="63" customFormat="false" ht="15" hidden="false" customHeight="false" outlineLevel="0" collapsed="false">
      <c r="A63" s="10" t="n">
        <v>2024</v>
      </c>
      <c r="B63" s="28" t="s">
        <v>52</v>
      </c>
      <c r="C63" s="29" t="n">
        <v>45345</v>
      </c>
      <c r="D63" s="30" t="s">
        <v>129</v>
      </c>
      <c r="E63" s="28" t="s">
        <v>283</v>
      </c>
      <c r="F63" s="30" t="s">
        <v>284</v>
      </c>
      <c r="G63" s="31" t="n">
        <v>73573</v>
      </c>
      <c r="H63" s="31" t="n">
        <v>1</v>
      </c>
      <c r="I63" s="31" t="n">
        <v>73573</v>
      </c>
      <c r="J63" s="29" t="n">
        <v>45349</v>
      </c>
      <c r="K63" s="31" t="n">
        <v>70030</v>
      </c>
      <c r="L63" s="30" t="s">
        <v>32</v>
      </c>
      <c r="M63" s="10" t="n">
        <v>2</v>
      </c>
      <c r="N63" s="12" t="n">
        <v>-3691</v>
      </c>
      <c r="O63" s="13" t="n">
        <v>-0.0501701608595486</v>
      </c>
      <c r="P63" s="15" t="n">
        <v>0.0193887744908154</v>
      </c>
      <c r="Q63" s="13" t="n">
        <v>-0.0621623274684497</v>
      </c>
      <c r="R63" s="15" t="n">
        <v>0.0606060606060606</v>
      </c>
      <c r="S63" s="32" t="n">
        <v>57906387000</v>
      </c>
      <c r="T63" s="15" t="n">
        <v>0.0381355932203389</v>
      </c>
      <c r="U63" s="32" t="n">
        <v>11978538555</v>
      </c>
      <c r="V63" s="14" t="n">
        <v>4.40420238461597</v>
      </c>
      <c r="W63" s="13" t="n">
        <v>0.0470085470085471</v>
      </c>
      <c r="X63" s="15" t="n">
        <v>0.0340136054421769</v>
      </c>
      <c r="Y63" s="13" t="n">
        <v>0.00128740705709252</v>
      </c>
      <c r="Z63" s="13" t="n">
        <v>0.00715051571301273</v>
      </c>
      <c r="AA63" s="30" t="s">
        <v>97</v>
      </c>
      <c r="AB63" s="28" t="s">
        <v>93</v>
      </c>
      <c r="AC63" s="28" t="s">
        <v>101</v>
      </c>
      <c r="AD63" s="28" t="s">
        <v>108</v>
      </c>
      <c r="AE63" s="28" t="s">
        <v>113</v>
      </c>
      <c r="AF63" s="28" t="s">
        <v>118</v>
      </c>
      <c r="AG63" s="30" t="s">
        <v>122</v>
      </c>
    </row>
    <row r="64" customFormat="false" ht="15" hidden="false" customHeight="false" outlineLevel="0" collapsed="false">
      <c r="A64" s="10" t="n">
        <v>2024</v>
      </c>
      <c r="B64" s="28" t="s">
        <v>52</v>
      </c>
      <c r="C64" s="29" t="n">
        <v>45348</v>
      </c>
      <c r="D64" s="30" t="s">
        <v>125</v>
      </c>
      <c r="E64" s="28" t="s">
        <v>285</v>
      </c>
      <c r="F64" s="30" t="s">
        <v>286</v>
      </c>
      <c r="G64" s="31" t="n">
        <v>14224</v>
      </c>
      <c r="H64" s="31" t="n">
        <v>6</v>
      </c>
      <c r="I64" s="31" t="n">
        <v>85345</v>
      </c>
      <c r="J64" s="29" t="n">
        <v>45377</v>
      </c>
      <c r="K64" s="31" t="n">
        <v>13536</v>
      </c>
      <c r="L64" s="30" t="s">
        <v>32</v>
      </c>
      <c r="M64" s="10" t="n">
        <v>20</v>
      </c>
      <c r="N64" s="12" t="n">
        <v>-4298</v>
      </c>
      <c r="O64" s="13" t="n">
        <v>-0.0503570819750269</v>
      </c>
      <c r="P64" s="15" t="n">
        <v>0.0756309137730673</v>
      </c>
      <c r="Q64" s="13" t="n">
        <v>-0.0502108728709714</v>
      </c>
      <c r="R64" s="15" t="n">
        <v>0.0989945862335653</v>
      </c>
      <c r="S64" s="32" t="n">
        <v>115174977260</v>
      </c>
      <c r="T64" s="15" t="n">
        <v>0.0676183320811421</v>
      </c>
      <c r="U64" s="32" t="n">
        <v>9496963260</v>
      </c>
      <c r="V64" s="14" t="n">
        <v>11.1278767164194</v>
      </c>
      <c r="W64" s="13" t="n">
        <v>0.0724528301886793</v>
      </c>
      <c r="X64" s="15" t="n">
        <v>0.109078114004222</v>
      </c>
      <c r="Y64" s="13" t="n">
        <v>-0.00772950481688339</v>
      </c>
      <c r="Z64" s="13" t="n">
        <v>-0.0123793960287436</v>
      </c>
      <c r="AA64" s="30" t="s">
        <v>97</v>
      </c>
      <c r="AB64" s="28" t="s">
        <v>94</v>
      </c>
      <c r="AC64" s="28" t="s">
        <v>101</v>
      </c>
      <c r="AD64" s="28" t="s">
        <v>109</v>
      </c>
      <c r="AE64" s="28" t="s">
        <v>101</v>
      </c>
      <c r="AF64" s="28" t="s">
        <v>120</v>
      </c>
      <c r="AG64" s="30" t="s">
        <v>122</v>
      </c>
    </row>
    <row r="65" customFormat="false" ht="15" hidden="false" customHeight="false" outlineLevel="0" collapsed="false">
      <c r="A65" s="10" t="n">
        <v>2024</v>
      </c>
      <c r="B65" s="28" t="s">
        <v>52</v>
      </c>
      <c r="C65" s="29" t="n">
        <v>45348</v>
      </c>
      <c r="D65" s="30" t="s">
        <v>125</v>
      </c>
      <c r="E65" s="28" t="s">
        <v>287</v>
      </c>
      <c r="F65" s="30" t="s">
        <v>288</v>
      </c>
      <c r="G65" s="31" t="n">
        <v>20571</v>
      </c>
      <c r="H65" s="31" t="n">
        <v>4</v>
      </c>
      <c r="I65" s="31" t="n">
        <v>82282</v>
      </c>
      <c r="J65" s="29" t="n">
        <v>45363</v>
      </c>
      <c r="K65" s="31" t="n">
        <v>19580</v>
      </c>
      <c r="L65" s="30" t="s">
        <v>32</v>
      </c>
      <c r="M65" s="10" t="n">
        <v>10</v>
      </c>
      <c r="N65" s="12" t="n">
        <v>-4126</v>
      </c>
      <c r="O65" s="13" t="n">
        <v>-0.0501404854269818</v>
      </c>
      <c r="P65" s="15" t="n">
        <v>0.108380670424466</v>
      </c>
      <c r="Q65" s="13" t="n">
        <v>-0.0564180345202243</v>
      </c>
      <c r="R65" s="15" t="n">
        <v>0.0148148148148148</v>
      </c>
      <c r="S65" s="32" t="n">
        <v>40618472400</v>
      </c>
      <c r="T65" s="15" t="n">
        <v>0.00243902439024391</v>
      </c>
      <c r="U65" s="32" t="n">
        <v>32527585654</v>
      </c>
      <c r="V65" s="14" t="n">
        <v>1.14888489633073</v>
      </c>
      <c r="W65" s="13" t="n">
        <v>-0.00242718446601942</v>
      </c>
      <c r="X65" s="15" t="n">
        <v>0.0462287104622872</v>
      </c>
      <c r="Y65" s="13" t="n">
        <v>-0.00772950481688339</v>
      </c>
      <c r="Z65" s="13" t="n">
        <v>-0.0123793960287436</v>
      </c>
      <c r="AA65" s="30" t="s">
        <v>97</v>
      </c>
      <c r="AB65" s="28" t="s">
        <v>94</v>
      </c>
      <c r="AC65" s="28" t="s">
        <v>99</v>
      </c>
      <c r="AD65" s="28" t="s">
        <v>107</v>
      </c>
      <c r="AE65" s="28" t="s">
        <v>112</v>
      </c>
      <c r="AF65" s="28" t="s">
        <v>116</v>
      </c>
      <c r="AG65" s="30" t="s">
        <v>123</v>
      </c>
    </row>
    <row r="66" customFormat="false" ht="15" hidden="false" customHeight="false" outlineLevel="0" collapsed="false">
      <c r="A66" s="10" t="n">
        <v>2024</v>
      </c>
      <c r="B66" s="28" t="s">
        <v>52</v>
      </c>
      <c r="C66" s="29" t="n">
        <v>45348</v>
      </c>
      <c r="D66" s="30" t="s">
        <v>125</v>
      </c>
      <c r="E66" s="28" t="s">
        <v>289</v>
      </c>
      <c r="F66" s="30" t="s">
        <v>290</v>
      </c>
      <c r="G66" s="31" t="n">
        <v>23473</v>
      </c>
      <c r="H66" s="31" t="n">
        <v>4</v>
      </c>
      <c r="I66" s="31" t="n">
        <v>93894</v>
      </c>
      <c r="J66" s="29" t="n">
        <v>45357</v>
      </c>
      <c r="K66" s="31" t="n">
        <v>28200</v>
      </c>
      <c r="L66" s="30" t="s">
        <v>31</v>
      </c>
      <c r="M66" s="10" t="n">
        <v>6</v>
      </c>
      <c r="N66" s="12" t="n">
        <v>18672</v>
      </c>
      <c r="O66" s="13" t="n">
        <v>0.198864631424013</v>
      </c>
      <c r="P66" s="15" t="n">
        <v>0.209877542500144</v>
      </c>
      <c r="Q66" s="13" t="n">
        <v>-0.0436003229180201</v>
      </c>
      <c r="R66" s="15" t="n">
        <v>0.0422222222222222</v>
      </c>
      <c r="S66" s="32" t="n">
        <v>40028141650</v>
      </c>
      <c r="T66" s="15" t="n">
        <v>0.0107758620689655</v>
      </c>
      <c r="U66" s="32" t="n">
        <v>11127786492.5</v>
      </c>
      <c r="V66" s="14" t="n">
        <v>3.29072885600433</v>
      </c>
      <c r="W66" s="13" t="n">
        <v>0.0195652173913044</v>
      </c>
      <c r="X66" s="15" t="n">
        <v>0.0213219616204692</v>
      </c>
      <c r="Y66" s="13" t="n">
        <v>-0.00772950481688339</v>
      </c>
      <c r="Z66" s="13" t="n">
        <v>-0.0123793960287436</v>
      </c>
      <c r="AA66" s="30" t="s">
        <v>97</v>
      </c>
      <c r="AB66" s="28" t="s">
        <v>94</v>
      </c>
      <c r="AC66" s="28" t="s">
        <v>100</v>
      </c>
      <c r="AD66" s="28" t="s">
        <v>107</v>
      </c>
      <c r="AE66" s="28" t="s">
        <v>112</v>
      </c>
      <c r="AF66" s="28" t="s">
        <v>118</v>
      </c>
      <c r="AG66" s="30" t="s">
        <v>122</v>
      </c>
    </row>
    <row r="67" customFormat="false" ht="15" hidden="false" customHeight="false" outlineLevel="0" collapsed="false">
      <c r="A67" s="10" t="n">
        <v>2024</v>
      </c>
      <c r="B67" s="28" t="s">
        <v>52</v>
      </c>
      <c r="C67" s="29" t="n">
        <v>45348</v>
      </c>
      <c r="D67" s="30" t="s">
        <v>125</v>
      </c>
      <c r="E67" s="28" t="s">
        <v>291</v>
      </c>
      <c r="F67" s="30" t="s">
        <v>292</v>
      </c>
      <c r="G67" s="31" t="n">
        <v>28666</v>
      </c>
      <c r="H67" s="31" t="n">
        <v>3</v>
      </c>
      <c r="I67" s="31" t="n">
        <v>85999</v>
      </c>
      <c r="J67" s="29" t="n">
        <v>45349</v>
      </c>
      <c r="K67" s="31" t="n">
        <v>27273</v>
      </c>
      <c r="L67" s="30" t="s">
        <v>32</v>
      </c>
      <c r="M67" s="10" t="n">
        <v>1</v>
      </c>
      <c r="N67" s="12" t="n">
        <v>-4353</v>
      </c>
      <c r="O67" s="13" t="n">
        <v>-0.050617696755642</v>
      </c>
      <c r="P67" s="15" t="n">
        <v>-0.00945078610053218</v>
      </c>
      <c r="Q67" s="13" t="n">
        <v>-0.286669337430759</v>
      </c>
      <c r="R67" s="15" t="n">
        <v>0.00681431005110733</v>
      </c>
      <c r="S67" s="32" t="n">
        <v>38894389650</v>
      </c>
      <c r="T67" s="15" t="n">
        <v>0.00681431005110733</v>
      </c>
      <c r="U67" s="32" t="n">
        <v>18236925925</v>
      </c>
      <c r="V67" s="14" t="n">
        <v>1.90134019606632</v>
      </c>
      <c r="W67" s="13" t="n">
        <v>-0.015</v>
      </c>
      <c r="X67" s="15" t="n">
        <v>0.0338409475465313</v>
      </c>
      <c r="Y67" s="13" t="n">
        <v>-0.00772950481688339</v>
      </c>
      <c r="Z67" s="13" t="n">
        <v>-0.0123793960287436</v>
      </c>
      <c r="AA67" s="30" t="s">
        <v>97</v>
      </c>
      <c r="AB67" s="28" t="s">
        <v>94</v>
      </c>
      <c r="AC67" s="28" t="s">
        <v>99</v>
      </c>
      <c r="AD67" s="28" t="s">
        <v>107</v>
      </c>
      <c r="AE67" s="28" t="s">
        <v>112</v>
      </c>
      <c r="AF67" s="28" t="s">
        <v>116</v>
      </c>
      <c r="AG67" s="30" t="s">
        <v>123</v>
      </c>
    </row>
    <row r="68" customFormat="false" ht="15" hidden="false" customHeight="false" outlineLevel="0" collapsed="false">
      <c r="A68" s="10" t="n">
        <v>2024</v>
      </c>
      <c r="B68" s="28" t="s">
        <v>52</v>
      </c>
      <c r="C68" s="29" t="n">
        <v>45349</v>
      </c>
      <c r="D68" s="30" t="s">
        <v>126</v>
      </c>
      <c r="E68" s="28" t="s">
        <v>293</v>
      </c>
      <c r="F68" s="30" t="s">
        <v>294</v>
      </c>
      <c r="G68" s="31" t="n">
        <v>35936</v>
      </c>
      <c r="H68" s="31" t="n">
        <v>2</v>
      </c>
      <c r="I68" s="31" t="n">
        <v>71872</v>
      </c>
      <c r="J68" s="29" t="n">
        <v>45351</v>
      </c>
      <c r="K68" s="31" t="n">
        <v>34166</v>
      </c>
      <c r="L68" s="30" t="s">
        <v>32</v>
      </c>
      <c r="M68" s="10" t="n">
        <v>2</v>
      </c>
      <c r="N68" s="12" t="n">
        <v>-3684</v>
      </c>
      <c r="O68" s="13" t="n">
        <v>-0.0512610980941065</v>
      </c>
      <c r="P68" s="15" t="n">
        <v>-0.00517309988062065</v>
      </c>
      <c r="Q68" s="13" t="n">
        <v>-0.0844809786313964</v>
      </c>
      <c r="R68" s="15" t="n">
        <v>0.158064516129032</v>
      </c>
      <c r="S68" s="32" t="n">
        <v>279066531900</v>
      </c>
      <c r="T68" s="15" t="n">
        <v>0.0780780780780781</v>
      </c>
      <c r="U68" s="32" t="n">
        <v>5888940295</v>
      </c>
      <c r="V68" s="14" t="n">
        <v>42.0072580403291</v>
      </c>
      <c r="W68" s="13" t="n">
        <v>0.163695299837926</v>
      </c>
      <c r="X68" s="15" t="n">
        <v>0.100278551532034</v>
      </c>
      <c r="Y68" s="13" t="n">
        <v>-0.00832237786542145</v>
      </c>
      <c r="Z68" s="13" t="n">
        <v>-0.0123185052242651</v>
      </c>
      <c r="AA68" s="30" t="s">
        <v>97</v>
      </c>
      <c r="AB68" s="28" t="s">
        <v>94</v>
      </c>
      <c r="AC68" s="28" t="s">
        <v>103</v>
      </c>
      <c r="AD68" s="28" t="s">
        <v>110</v>
      </c>
      <c r="AE68" s="28" t="s">
        <v>101</v>
      </c>
      <c r="AF68" s="28" t="s">
        <v>120</v>
      </c>
      <c r="AG68" s="30" t="s">
        <v>122</v>
      </c>
    </row>
    <row r="69" customFormat="false" ht="15" hidden="false" customHeight="false" outlineLevel="0" collapsed="false">
      <c r="A69" s="10" t="n">
        <v>2024</v>
      </c>
      <c r="B69" s="28" t="s">
        <v>52</v>
      </c>
      <c r="C69" s="29" t="n">
        <v>45349</v>
      </c>
      <c r="D69" s="30" t="s">
        <v>126</v>
      </c>
      <c r="E69" s="28" t="s">
        <v>295</v>
      </c>
      <c r="F69" s="30" t="s">
        <v>296</v>
      </c>
      <c r="G69" s="31" t="n">
        <v>17177</v>
      </c>
      <c r="H69" s="31" t="n">
        <v>5</v>
      </c>
      <c r="I69" s="31" t="n">
        <v>85886</v>
      </c>
      <c r="J69" s="29" t="n">
        <v>45398</v>
      </c>
      <c r="K69" s="31" t="n">
        <v>16344</v>
      </c>
      <c r="L69" s="30" t="s">
        <v>32</v>
      </c>
      <c r="M69" s="10" t="n">
        <v>33</v>
      </c>
      <c r="N69" s="12" t="n">
        <v>-4340</v>
      </c>
      <c r="O69" s="13" t="n">
        <v>-0.0505302781134949</v>
      </c>
      <c r="P69" s="15" t="n">
        <v>0.116599018696921</v>
      </c>
      <c r="Q69" s="13" t="n">
        <v>-0.0580515056039531</v>
      </c>
      <c r="R69" s="15" t="n">
        <v>0.0349819059107359</v>
      </c>
      <c r="S69" s="32" t="n">
        <v>178336775760</v>
      </c>
      <c r="T69" s="15" t="n">
        <v>0.0190023752969122</v>
      </c>
      <c r="U69" s="32" t="n">
        <v>20900148799</v>
      </c>
      <c r="V69" s="14" t="n">
        <v>7.94345423322224</v>
      </c>
      <c r="W69" s="13" t="n">
        <v>0.0349819059107359</v>
      </c>
      <c r="X69" s="15" t="n">
        <v>0.0780885780885781</v>
      </c>
      <c r="Y69" s="13" t="n">
        <v>-0.00832237786542145</v>
      </c>
      <c r="Z69" s="13" t="n">
        <v>-0.0123185052242651</v>
      </c>
      <c r="AA69" s="30" t="s">
        <v>97</v>
      </c>
      <c r="AB69" s="28" t="s">
        <v>94</v>
      </c>
      <c r="AC69" s="28" t="s">
        <v>100</v>
      </c>
      <c r="AD69" s="28" t="s">
        <v>109</v>
      </c>
      <c r="AE69" s="28" t="s">
        <v>112</v>
      </c>
      <c r="AF69" s="28" t="s">
        <v>119</v>
      </c>
      <c r="AG69" s="30" t="s">
        <v>122</v>
      </c>
    </row>
    <row r="70" customFormat="false" ht="15" hidden="false" customHeight="false" outlineLevel="0" collapsed="false">
      <c r="A70" s="10" t="n">
        <v>2024</v>
      </c>
      <c r="B70" s="28" t="s">
        <v>52</v>
      </c>
      <c r="C70" s="29" t="n">
        <v>45351</v>
      </c>
      <c r="D70" s="30" t="s">
        <v>128</v>
      </c>
      <c r="E70" s="28" t="s">
        <v>297</v>
      </c>
      <c r="F70" s="30" t="s">
        <v>298</v>
      </c>
      <c r="G70" s="31" t="n">
        <v>7948</v>
      </c>
      <c r="H70" s="31" t="n">
        <v>12</v>
      </c>
      <c r="I70" s="31" t="n">
        <v>95375</v>
      </c>
      <c r="J70" s="29" t="n">
        <v>45359</v>
      </c>
      <c r="K70" s="31" t="n">
        <v>7562</v>
      </c>
      <c r="L70" s="30" t="s">
        <v>32</v>
      </c>
      <c r="M70" s="10" t="n">
        <v>5</v>
      </c>
      <c r="N70" s="12" t="n">
        <v>-4817</v>
      </c>
      <c r="O70" s="13" t="n">
        <v>-0.0505098087680581</v>
      </c>
      <c r="P70" s="15" t="n">
        <v>0.127336139930599</v>
      </c>
      <c r="Q70" s="13" t="n">
        <v>-0.0613920084952829</v>
      </c>
      <c r="R70" s="15" t="n">
        <v>0.217791411042945</v>
      </c>
      <c r="S70" s="32" t="n">
        <v>310559808440</v>
      </c>
      <c r="T70" s="15" t="n">
        <v>0.0891632373113855</v>
      </c>
      <c r="U70" s="32" t="n">
        <v>37259492467</v>
      </c>
      <c r="V70" s="14" t="n">
        <v>7.12311627374651</v>
      </c>
      <c r="W70" s="13" t="n">
        <v>0.142446043165468</v>
      </c>
      <c r="X70" s="15" t="n">
        <v>0.0365239294710327</v>
      </c>
      <c r="Y70" s="13" t="n">
        <v>-0.00374393448680188</v>
      </c>
      <c r="Z70" s="13" t="n">
        <v>-0.00822364099734629</v>
      </c>
      <c r="AA70" s="30" t="s">
        <v>97</v>
      </c>
      <c r="AB70" s="28" t="s">
        <v>94</v>
      </c>
      <c r="AC70" s="28" t="s">
        <v>104</v>
      </c>
      <c r="AD70" s="28" t="s">
        <v>110</v>
      </c>
      <c r="AE70" s="28" t="s">
        <v>101</v>
      </c>
      <c r="AF70" s="28" t="s">
        <v>119</v>
      </c>
      <c r="AG70" s="30" t="s">
        <v>122</v>
      </c>
    </row>
    <row r="71" customFormat="false" ht="15" hidden="false" customHeight="false" outlineLevel="0" collapsed="false">
      <c r="A71" s="10" t="n">
        <v>2024</v>
      </c>
      <c r="B71" s="28" t="s">
        <v>52</v>
      </c>
      <c r="C71" s="29" t="n">
        <v>45351</v>
      </c>
      <c r="D71" s="30" t="s">
        <v>128</v>
      </c>
      <c r="E71" s="28" t="s">
        <v>299</v>
      </c>
      <c r="F71" s="30" t="s">
        <v>300</v>
      </c>
      <c r="G71" s="31" t="n">
        <v>6456</v>
      </c>
      <c r="H71" s="31" t="n">
        <v>15</v>
      </c>
      <c r="I71" s="31" t="n">
        <v>96847</v>
      </c>
      <c r="J71" s="29" t="n">
        <v>45356</v>
      </c>
      <c r="K71" s="31" t="n">
        <v>6144</v>
      </c>
      <c r="L71" s="30" t="s">
        <v>32</v>
      </c>
      <c r="M71" s="10" t="n">
        <v>2</v>
      </c>
      <c r="N71" s="12" t="n">
        <v>-4883</v>
      </c>
      <c r="O71" s="13" t="n">
        <v>-0.0504222870153103</v>
      </c>
      <c r="P71" s="15" t="n">
        <v>0.012940547824269</v>
      </c>
      <c r="Q71" s="13" t="n">
        <v>-0.0706967451153496</v>
      </c>
      <c r="R71" s="15" t="n">
        <v>0.0591133004926108</v>
      </c>
      <c r="S71" s="32" t="n">
        <v>153939453900</v>
      </c>
      <c r="T71" s="15" t="n">
        <v>0.015748031496063</v>
      </c>
      <c r="U71" s="32" t="n">
        <v>23800496233</v>
      </c>
      <c r="V71" s="14" t="n">
        <v>5.87686623073133</v>
      </c>
      <c r="W71" s="13" t="n">
        <v>0.0591133004926108</v>
      </c>
      <c r="X71" s="15" t="n">
        <v>0.075968992248062</v>
      </c>
      <c r="Y71" s="13" t="n">
        <v>-0.00374393448680188</v>
      </c>
      <c r="Z71" s="13" t="n">
        <v>-0.00822364099734629</v>
      </c>
      <c r="AA71" s="30" t="s">
        <v>97</v>
      </c>
      <c r="AB71" s="28" t="s">
        <v>94</v>
      </c>
      <c r="AC71" s="28" t="s">
        <v>101</v>
      </c>
      <c r="AD71" s="28" t="s">
        <v>109</v>
      </c>
      <c r="AE71" s="28" t="s">
        <v>112</v>
      </c>
      <c r="AF71" s="28" t="s">
        <v>119</v>
      </c>
      <c r="AG71" s="30" t="s">
        <v>122</v>
      </c>
    </row>
    <row r="72" customFormat="false" ht="15" hidden="false" customHeight="false" outlineLevel="0" collapsed="false">
      <c r="A72" s="10" t="n">
        <v>2024</v>
      </c>
      <c r="B72" s="28" t="s">
        <v>53</v>
      </c>
      <c r="C72" s="29" t="n">
        <v>45356</v>
      </c>
      <c r="D72" s="30" t="s">
        <v>126</v>
      </c>
      <c r="E72" s="28" t="s">
        <v>301</v>
      </c>
      <c r="F72" s="28" t="s">
        <v>302</v>
      </c>
      <c r="G72" s="31" t="n">
        <v>15576</v>
      </c>
      <c r="H72" s="31" t="n">
        <v>6</v>
      </c>
      <c r="I72" s="31" t="n">
        <v>93453</v>
      </c>
      <c r="J72" s="29" t="n">
        <v>45372</v>
      </c>
      <c r="K72" s="31" t="n">
        <v>18700</v>
      </c>
      <c r="L72" s="30" t="s">
        <v>31</v>
      </c>
      <c r="M72" s="10" t="n">
        <v>12</v>
      </c>
      <c r="N72" s="12" t="n">
        <v>18514</v>
      </c>
      <c r="O72" s="13" t="n">
        <v>0.198107719144609</v>
      </c>
      <c r="P72" s="15" t="n">
        <v>0.200598886974209</v>
      </c>
      <c r="Q72" s="13" t="n">
        <v>-0.018975882729096</v>
      </c>
      <c r="R72" s="15" t="n">
        <v>0.132459970887918</v>
      </c>
      <c r="S72" s="32" t="n">
        <v>252150967000</v>
      </c>
      <c r="T72" s="15" t="n">
        <v>0.116212338593974</v>
      </c>
      <c r="U72" s="32" t="n">
        <v>12103934955</v>
      </c>
      <c r="V72" s="14" t="n">
        <v>17.9994290858543</v>
      </c>
      <c r="W72" s="13" t="n">
        <v>0.0865921787709498</v>
      </c>
      <c r="X72" s="15" t="n">
        <v>0.0347043701799485</v>
      </c>
      <c r="Y72" s="13" t="n">
        <v>-0.00929973413305307</v>
      </c>
      <c r="Z72" s="13" t="n">
        <v>0.000876437432945076</v>
      </c>
      <c r="AA72" s="30" t="s">
        <v>97</v>
      </c>
      <c r="AB72" s="28" t="s">
        <v>93</v>
      </c>
      <c r="AC72" s="28" t="s">
        <v>102</v>
      </c>
      <c r="AD72" s="28" t="s">
        <v>110</v>
      </c>
      <c r="AE72" s="28" t="s">
        <v>114</v>
      </c>
      <c r="AF72" s="28" t="s">
        <v>120</v>
      </c>
      <c r="AG72" s="30" t="s">
        <v>122</v>
      </c>
    </row>
    <row r="73" customFormat="false" ht="15" hidden="false" customHeight="false" outlineLevel="0" collapsed="false">
      <c r="A73" s="10" t="n">
        <v>2024</v>
      </c>
      <c r="B73" s="28" t="s">
        <v>53</v>
      </c>
      <c r="C73" s="29" t="n">
        <v>45356</v>
      </c>
      <c r="D73" s="30" t="s">
        <v>126</v>
      </c>
      <c r="E73" s="28" t="s">
        <v>189</v>
      </c>
      <c r="F73" s="30" t="s">
        <v>190</v>
      </c>
      <c r="G73" s="31" t="n">
        <v>21872</v>
      </c>
      <c r="H73" s="31" t="n">
        <v>4</v>
      </c>
      <c r="I73" s="31" t="n">
        <v>87487</v>
      </c>
      <c r="J73" s="29" t="n">
        <v>45357</v>
      </c>
      <c r="K73" s="31" t="n">
        <v>20779</v>
      </c>
      <c r="L73" s="30" t="s">
        <v>32</v>
      </c>
      <c r="M73" s="10" t="n">
        <v>1</v>
      </c>
      <c r="N73" s="12" t="n">
        <v>-4546</v>
      </c>
      <c r="O73" s="13" t="n">
        <v>-0.051959492109721</v>
      </c>
      <c r="P73" s="15" t="n">
        <v>-0.0147152618548498</v>
      </c>
      <c r="Q73" s="13" t="n">
        <v>-0.0627221748503213</v>
      </c>
      <c r="R73" s="15" t="n">
        <v>0.0963371801304567</v>
      </c>
      <c r="S73" s="32" t="n">
        <v>48729301900</v>
      </c>
      <c r="T73" s="15" t="n">
        <v>0.0258215962441315</v>
      </c>
      <c r="U73" s="32" t="n">
        <v>8130797145</v>
      </c>
      <c r="V73" s="14" t="n">
        <v>5.59302506382573</v>
      </c>
      <c r="W73" s="13" t="n">
        <v>0.071078431372549</v>
      </c>
      <c r="X73" s="15" t="n">
        <v>0.0183066361556064</v>
      </c>
      <c r="Y73" s="13" t="n">
        <v>-0.00929973413305307</v>
      </c>
      <c r="Z73" s="13" t="n">
        <v>0.000876437432945076</v>
      </c>
      <c r="AA73" s="30" t="s">
        <v>97</v>
      </c>
      <c r="AB73" s="28" t="s">
        <v>93</v>
      </c>
      <c r="AC73" s="28" t="s">
        <v>101</v>
      </c>
      <c r="AD73" s="28" t="s">
        <v>107</v>
      </c>
      <c r="AE73" s="28" t="s">
        <v>113</v>
      </c>
      <c r="AF73" s="28" t="s">
        <v>119</v>
      </c>
      <c r="AG73" s="30" t="s">
        <v>122</v>
      </c>
    </row>
    <row r="74" customFormat="false" ht="15" hidden="false" customHeight="false" outlineLevel="0" collapsed="false">
      <c r="A74" s="10" t="n">
        <v>2024</v>
      </c>
      <c r="B74" s="28" t="s">
        <v>53</v>
      </c>
      <c r="C74" s="29" t="n">
        <v>45357</v>
      </c>
      <c r="D74" s="30" t="s">
        <v>127</v>
      </c>
      <c r="E74" s="28" t="s">
        <v>303</v>
      </c>
      <c r="F74" s="30" t="s">
        <v>304</v>
      </c>
      <c r="G74" s="31" t="n">
        <v>13459</v>
      </c>
      <c r="H74" s="31" t="n">
        <v>7</v>
      </c>
      <c r="I74" s="31" t="n">
        <v>94212</v>
      </c>
      <c r="J74" s="29" t="n">
        <v>45362</v>
      </c>
      <c r="K74" s="31" t="n">
        <v>12717</v>
      </c>
      <c r="L74" s="30" t="s">
        <v>32</v>
      </c>
      <c r="M74" s="10" t="n">
        <v>3</v>
      </c>
      <c r="N74" s="12" t="n">
        <v>-5377</v>
      </c>
      <c r="O74" s="13" t="n">
        <v>-0.0570758023891002</v>
      </c>
      <c r="P74" s="15" t="n">
        <v>0.0769372471500132</v>
      </c>
      <c r="Q74" s="13" t="n">
        <v>-0.0541373520096923</v>
      </c>
      <c r="R74" s="15" t="n">
        <v>0.121272365805169</v>
      </c>
      <c r="S74" s="32" t="n">
        <v>166885372200</v>
      </c>
      <c r="T74" s="15" t="n">
        <v>0.0742857142857143</v>
      </c>
      <c r="U74" s="32" t="n">
        <v>5242360365</v>
      </c>
      <c r="V74" s="14" t="n">
        <v>28.0666057236626</v>
      </c>
      <c r="W74" s="13" t="n">
        <v>0.0641509433962264</v>
      </c>
      <c r="X74" s="15" t="n">
        <v>0.120567375886525</v>
      </c>
      <c r="Y74" s="13" t="n">
        <v>-0.00298558164112639</v>
      </c>
      <c r="Z74" s="13" t="n">
        <v>0.00626273785261211</v>
      </c>
      <c r="AA74" s="30" t="s">
        <v>97</v>
      </c>
      <c r="AB74" s="28" t="s">
        <v>93</v>
      </c>
      <c r="AC74" s="28" t="s">
        <v>102</v>
      </c>
      <c r="AD74" s="28" t="s">
        <v>109</v>
      </c>
      <c r="AE74" s="28" t="s">
        <v>101</v>
      </c>
      <c r="AF74" s="28" t="s">
        <v>120</v>
      </c>
      <c r="AG74" s="30" t="s">
        <v>122</v>
      </c>
    </row>
    <row r="75" customFormat="false" ht="15" hidden="false" customHeight="false" outlineLevel="0" collapsed="false">
      <c r="A75" s="10" t="n">
        <v>2024</v>
      </c>
      <c r="B75" s="28" t="s">
        <v>53</v>
      </c>
      <c r="C75" s="29" t="n">
        <v>45357</v>
      </c>
      <c r="D75" s="30" t="s">
        <v>127</v>
      </c>
      <c r="E75" s="28" t="s">
        <v>305</v>
      </c>
      <c r="F75" s="30" t="s">
        <v>306</v>
      </c>
      <c r="G75" s="31" t="n">
        <v>41541</v>
      </c>
      <c r="H75" s="31" t="n">
        <v>2</v>
      </c>
      <c r="I75" s="31" t="n">
        <v>83083</v>
      </c>
      <c r="J75" s="29" t="n">
        <v>45362</v>
      </c>
      <c r="K75" s="31" t="n">
        <v>39011</v>
      </c>
      <c r="L75" s="30" t="s">
        <v>32</v>
      </c>
      <c r="M75" s="10" t="n">
        <v>3</v>
      </c>
      <c r="N75" s="12" t="n">
        <v>-5226</v>
      </c>
      <c r="O75" s="13" t="n">
        <v>-0.0628974056666226</v>
      </c>
      <c r="P75" s="15" t="n">
        <v>0.00983353995402214</v>
      </c>
      <c r="Q75" s="13" t="n">
        <v>-0.0696050937014791</v>
      </c>
      <c r="R75" s="15" t="n">
        <v>0.0935441370223979</v>
      </c>
      <c r="S75" s="32" t="n">
        <v>102649171000</v>
      </c>
      <c r="T75" s="15" t="n">
        <v>0.0297766749379653</v>
      </c>
      <c r="U75" s="32" t="n">
        <v>24091540835</v>
      </c>
      <c r="V75" s="14" t="n">
        <v>3.91562208744348</v>
      </c>
      <c r="W75" s="13" t="n">
        <v>0.108144192256342</v>
      </c>
      <c r="X75" s="15" t="n">
        <v>0.0036144578313253</v>
      </c>
      <c r="Y75" s="13" t="n">
        <v>-0.00298558164112639</v>
      </c>
      <c r="Z75" s="13" t="n">
        <v>0.00626273785261211</v>
      </c>
      <c r="AA75" s="30" t="s">
        <v>97</v>
      </c>
      <c r="AB75" s="28" t="s">
        <v>93</v>
      </c>
      <c r="AC75" s="28" t="s">
        <v>101</v>
      </c>
      <c r="AD75" s="28" t="s">
        <v>109</v>
      </c>
      <c r="AE75" s="28" t="s">
        <v>113</v>
      </c>
      <c r="AF75" s="28" t="s">
        <v>118</v>
      </c>
      <c r="AG75" s="30" t="s">
        <v>122</v>
      </c>
    </row>
    <row r="76" customFormat="false" ht="15" hidden="false" customHeight="false" outlineLevel="0" collapsed="false">
      <c r="A76" s="10" t="n">
        <v>2024</v>
      </c>
      <c r="B76" s="28" t="s">
        <v>53</v>
      </c>
      <c r="C76" s="29" t="n">
        <v>45357</v>
      </c>
      <c r="D76" s="30" t="s">
        <v>127</v>
      </c>
      <c r="E76" s="28" t="s">
        <v>307</v>
      </c>
      <c r="F76" s="30" t="s">
        <v>308</v>
      </c>
      <c r="G76" s="31" t="n">
        <v>15465</v>
      </c>
      <c r="H76" s="31" t="n">
        <v>6</v>
      </c>
      <c r="I76" s="31" t="n">
        <v>92793</v>
      </c>
      <c r="J76" s="29" t="n">
        <v>45373</v>
      </c>
      <c r="K76" s="31" t="n">
        <v>18560</v>
      </c>
      <c r="L76" s="30" t="s">
        <v>31</v>
      </c>
      <c r="M76" s="10" t="n">
        <v>12</v>
      </c>
      <c r="N76" s="12" t="n">
        <v>18336</v>
      </c>
      <c r="O76" s="13" t="n">
        <v>0.197604219890142</v>
      </c>
      <c r="P76" s="15" t="n">
        <v>0.260875047282814</v>
      </c>
      <c r="Q76" s="13" t="n">
        <v>-0.0423815666534112</v>
      </c>
      <c r="R76" s="15" t="n">
        <v>0.141906873614191</v>
      </c>
      <c r="S76" s="32" t="n">
        <v>70762498650</v>
      </c>
      <c r="T76" s="15" t="n">
        <v>0.0872624912033779</v>
      </c>
      <c r="U76" s="32" t="n">
        <v>3433454992</v>
      </c>
      <c r="V76" s="14" t="n">
        <v>18.1201028788594</v>
      </c>
      <c r="W76" s="13" t="n">
        <v>0.127737226277372</v>
      </c>
      <c r="X76" s="15" t="n">
        <v>0.100323624595469</v>
      </c>
      <c r="Y76" s="13" t="n">
        <v>-0.00298558164112639</v>
      </c>
      <c r="Z76" s="13" t="n">
        <v>0.00626273785261211</v>
      </c>
      <c r="AA76" s="30" t="s">
        <v>97</v>
      </c>
      <c r="AB76" s="28" t="s">
        <v>93</v>
      </c>
      <c r="AC76" s="28" t="s">
        <v>102</v>
      </c>
      <c r="AD76" s="28" t="s">
        <v>108</v>
      </c>
      <c r="AE76" s="28" t="s">
        <v>101</v>
      </c>
      <c r="AF76" s="28" t="s">
        <v>120</v>
      </c>
      <c r="AG76" s="30" t="s">
        <v>122</v>
      </c>
    </row>
    <row r="77" customFormat="false" ht="15" hidden="false" customHeight="false" outlineLevel="0" collapsed="false">
      <c r="A77" s="10" t="n">
        <v>2024</v>
      </c>
      <c r="B77" s="28" t="s">
        <v>53</v>
      </c>
      <c r="C77" s="29" t="n">
        <v>45359</v>
      </c>
      <c r="D77" s="30" t="s">
        <v>129</v>
      </c>
      <c r="E77" s="28" t="s">
        <v>309</v>
      </c>
      <c r="F77" s="28" t="s">
        <v>310</v>
      </c>
      <c r="G77" s="31" t="n">
        <v>8308</v>
      </c>
      <c r="H77" s="31" t="n">
        <v>11</v>
      </c>
      <c r="I77" s="31" t="n">
        <v>91391</v>
      </c>
      <c r="J77" s="29" t="n">
        <v>45362</v>
      </c>
      <c r="K77" s="31" t="n">
        <v>7902</v>
      </c>
      <c r="L77" s="30" t="s">
        <v>32</v>
      </c>
      <c r="M77" s="10" t="n">
        <v>1</v>
      </c>
      <c r="N77" s="12" t="n">
        <v>-4652</v>
      </c>
      <c r="O77" s="13" t="n">
        <v>-0.0508967322436599</v>
      </c>
      <c r="P77" s="15" t="n">
        <v>0.00622269296968092</v>
      </c>
      <c r="Q77" s="13" t="n">
        <v>-0.0479400117954334</v>
      </c>
      <c r="R77" s="15" t="n">
        <v>0.0349127182044888</v>
      </c>
      <c r="S77" s="32" t="n">
        <v>32776484200</v>
      </c>
      <c r="T77" s="15" t="n">
        <v>0.0146699266503667</v>
      </c>
      <c r="U77" s="32" t="n">
        <v>16436018149</v>
      </c>
      <c r="V77" s="14" t="n">
        <v>1.87809928252711</v>
      </c>
      <c r="W77" s="13" t="n">
        <v>0.0259579728059332</v>
      </c>
      <c r="X77" s="15" t="n">
        <v>0.0036144578313253</v>
      </c>
      <c r="Y77" s="13" t="n">
        <v>0.0123620459129332</v>
      </c>
      <c r="Z77" s="13" t="n">
        <v>0.0143772990811244</v>
      </c>
      <c r="AA77" s="30" t="s">
        <v>97</v>
      </c>
      <c r="AB77" s="28" t="s">
        <v>93</v>
      </c>
      <c r="AC77" s="28" t="s">
        <v>100</v>
      </c>
      <c r="AD77" s="28" t="s">
        <v>107</v>
      </c>
      <c r="AE77" s="28" t="s">
        <v>112</v>
      </c>
      <c r="AF77" s="28" t="s">
        <v>116</v>
      </c>
      <c r="AG77" s="30" t="s">
        <v>122</v>
      </c>
    </row>
    <row r="78" customFormat="false" ht="15" hidden="false" customHeight="false" outlineLevel="0" collapsed="false">
      <c r="A78" s="10" t="n">
        <v>2024</v>
      </c>
      <c r="B78" s="28" t="s">
        <v>53</v>
      </c>
      <c r="C78" s="29" t="n">
        <v>45362</v>
      </c>
      <c r="D78" s="30" t="s">
        <v>125</v>
      </c>
      <c r="E78" s="28" t="s">
        <v>311</v>
      </c>
      <c r="F78" s="30" t="s">
        <v>312</v>
      </c>
      <c r="G78" s="31" t="n">
        <v>89089</v>
      </c>
      <c r="H78" s="31" t="n">
        <v>1</v>
      </c>
      <c r="I78" s="31" t="n">
        <v>89089</v>
      </c>
      <c r="J78" s="29" t="n">
        <v>45383</v>
      </c>
      <c r="K78" s="31" t="n">
        <v>84815</v>
      </c>
      <c r="L78" s="30" t="s">
        <v>32</v>
      </c>
      <c r="M78" s="10" t="n">
        <v>15</v>
      </c>
      <c r="N78" s="12" t="n">
        <v>-4453</v>
      </c>
      <c r="O78" s="13" t="n">
        <v>-0.0499798268585346</v>
      </c>
      <c r="P78" s="15" t="n">
        <v>0.0764516382493912</v>
      </c>
      <c r="Q78" s="13" t="n">
        <v>-0.0470203953350019</v>
      </c>
      <c r="R78" s="15" t="n">
        <v>0.0800970873786409</v>
      </c>
      <c r="S78" s="32" t="n">
        <v>273772722000</v>
      </c>
      <c r="T78" s="15" t="n">
        <v>0.063321385902031</v>
      </c>
      <c r="U78" s="32" t="n">
        <v>94974640075</v>
      </c>
      <c r="V78" s="14" t="n">
        <v>2.58185146341452</v>
      </c>
      <c r="W78" s="13" t="n">
        <v>0.0761789600967351</v>
      </c>
      <c r="X78" s="15" t="n">
        <v>0.00898876404494375</v>
      </c>
      <c r="Y78" s="13" t="n">
        <v>-0.00765198574812986</v>
      </c>
      <c r="Z78" s="13" t="n">
        <v>-0.00539586503980516</v>
      </c>
      <c r="AA78" s="30" t="s">
        <v>97</v>
      </c>
      <c r="AB78" s="28" t="s">
        <v>94</v>
      </c>
      <c r="AC78" s="28" t="s">
        <v>101</v>
      </c>
      <c r="AD78" s="28" t="s">
        <v>110</v>
      </c>
      <c r="AE78" s="28" t="s">
        <v>101</v>
      </c>
      <c r="AF78" s="28" t="s">
        <v>117</v>
      </c>
      <c r="AG78" s="30" t="s">
        <v>122</v>
      </c>
    </row>
    <row r="79" customFormat="false" ht="15" hidden="false" customHeight="false" outlineLevel="0" collapsed="false">
      <c r="A79" s="10" t="n">
        <v>2024</v>
      </c>
      <c r="B79" s="28" t="s">
        <v>53</v>
      </c>
      <c r="C79" s="29" t="n">
        <v>45362</v>
      </c>
      <c r="D79" s="30" t="s">
        <v>125</v>
      </c>
      <c r="E79" s="28" t="s">
        <v>313</v>
      </c>
      <c r="F79" s="30" t="s">
        <v>314</v>
      </c>
      <c r="G79" s="31" t="n">
        <v>48605</v>
      </c>
      <c r="H79" s="31" t="n">
        <v>2</v>
      </c>
      <c r="I79" s="31" t="n">
        <v>97210</v>
      </c>
      <c r="J79" s="29" t="n">
        <v>45364</v>
      </c>
      <c r="K79" s="31" t="n">
        <v>46254</v>
      </c>
      <c r="L79" s="30" t="s">
        <v>32</v>
      </c>
      <c r="M79" s="10" t="n">
        <v>2</v>
      </c>
      <c r="N79" s="12" t="n">
        <v>-4897</v>
      </c>
      <c r="O79" s="13" t="n">
        <v>-0.0503784853224767</v>
      </c>
      <c r="P79" s="15" t="n">
        <v>0.0422567123598052</v>
      </c>
      <c r="Q79" s="13" t="n">
        <v>-0.058673285477409</v>
      </c>
      <c r="R79" s="15" t="n">
        <v>0.125290023201856</v>
      </c>
      <c r="S79" s="32" t="n">
        <v>272028740000</v>
      </c>
      <c r="T79" s="15" t="n">
        <v>0.10730593607306</v>
      </c>
      <c r="U79" s="32" t="n">
        <v>39809746565</v>
      </c>
      <c r="V79" s="14" t="n">
        <v>5.88526964385443</v>
      </c>
      <c r="W79" s="13" t="n">
        <v>0.168674698795181</v>
      </c>
      <c r="X79" s="15" t="n">
        <v>0.0329896907216494</v>
      </c>
      <c r="Y79" s="13" t="n">
        <v>-0.00765198574812986</v>
      </c>
      <c r="Z79" s="13" t="n">
        <v>-0.00539586503980516</v>
      </c>
      <c r="AA79" s="30" t="s">
        <v>97</v>
      </c>
      <c r="AB79" s="28" t="s">
        <v>94</v>
      </c>
      <c r="AC79" s="28" t="s">
        <v>102</v>
      </c>
      <c r="AD79" s="28" t="s">
        <v>110</v>
      </c>
      <c r="AE79" s="28" t="s">
        <v>114</v>
      </c>
      <c r="AF79" s="28" t="s">
        <v>119</v>
      </c>
      <c r="AG79" s="30" t="s">
        <v>122</v>
      </c>
    </row>
    <row r="80" customFormat="false" ht="15" hidden="false" customHeight="false" outlineLevel="0" collapsed="false">
      <c r="A80" s="10" t="n">
        <v>2024</v>
      </c>
      <c r="B80" s="28" t="s">
        <v>53</v>
      </c>
      <c r="C80" s="29" t="n">
        <v>45362</v>
      </c>
      <c r="D80" s="30" t="s">
        <v>125</v>
      </c>
      <c r="E80" s="28" t="s">
        <v>315</v>
      </c>
      <c r="F80" s="30" t="s">
        <v>316</v>
      </c>
      <c r="G80" s="31" t="n">
        <v>55055</v>
      </c>
      <c r="H80" s="31" t="n">
        <v>1</v>
      </c>
      <c r="I80" s="31" t="n">
        <v>55055</v>
      </c>
      <c r="J80" s="29" t="n">
        <v>45364</v>
      </c>
      <c r="K80" s="31" t="n">
        <v>66100</v>
      </c>
      <c r="L80" s="30" t="s">
        <v>31</v>
      </c>
      <c r="M80" s="10" t="n">
        <v>2</v>
      </c>
      <c r="N80" s="12" t="n">
        <v>10908</v>
      </c>
      <c r="O80" s="13" t="n">
        <v>0.198126360003633</v>
      </c>
      <c r="P80" s="15" t="n">
        <v>0.282354009626737</v>
      </c>
      <c r="Q80" s="13" t="n">
        <v>-0.0209790209790208</v>
      </c>
      <c r="R80" s="15" t="n">
        <v>0.101101101101101</v>
      </c>
      <c r="S80" s="32" t="n">
        <v>94740800000</v>
      </c>
      <c r="T80" s="15" t="n">
        <v>0.0204081632653062</v>
      </c>
      <c r="U80" s="32" t="n">
        <v>23172988517.5</v>
      </c>
      <c r="V80" s="14" t="n">
        <v>3.65744297692961</v>
      </c>
      <c r="W80" s="13" t="n">
        <v>0.0597302504816957</v>
      </c>
      <c r="X80" s="15" t="n">
        <v>0.00363636363636366</v>
      </c>
      <c r="Y80" s="13" t="n">
        <v>-0.00765198574812986</v>
      </c>
      <c r="Z80" s="13" t="n">
        <v>-0.00539586503980516</v>
      </c>
      <c r="AA80" s="30" t="s">
        <v>97</v>
      </c>
      <c r="AB80" s="28" t="s">
        <v>94</v>
      </c>
      <c r="AC80" s="28" t="s">
        <v>102</v>
      </c>
      <c r="AD80" s="28" t="s">
        <v>108</v>
      </c>
      <c r="AE80" s="28" t="s">
        <v>113</v>
      </c>
      <c r="AF80" s="28" t="s">
        <v>118</v>
      </c>
      <c r="AG80" s="30" t="s">
        <v>122</v>
      </c>
    </row>
    <row r="81" customFormat="false" ht="15" hidden="false" customHeight="false" outlineLevel="0" collapsed="false">
      <c r="A81" s="10" t="n">
        <v>2024</v>
      </c>
      <c r="B81" s="28" t="s">
        <v>53</v>
      </c>
      <c r="C81" s="29" t="n">
        <v>45363</v>
      </c>
      <c r="D81" s="30" t="s">
        <v>126</v>
      </c>
      <c r="E81" s="28" t="s">
        <v>317</v>
      </c>
      <c r="F81" s="30" t="s">
        <v>318</v>
      </c>
      <c r="G81" s="31" t="n">
        <v>20921</v>
      </c>
      <c r="H81" s="31" t="n">
        <v>4</v>
      </c>
      <c r="I81" s="31" t="n">
        <v>83684</v>
      </c>
      <c r="J81" s="29" t="n">
        <v>45364</v>
      </c>
      <c r="K81" s="31" t="n">
        <v>19910</v>
      </c>
      <c r="L81" s="30" t="s">
        <v>32</v>
      </c>
      <c r="M81" s="10" t="n">
        <v>1</v>
      </c>
      <c r="N81" s="12" t="n">
        <v>-4211</v>
      </c>
      <c r="O81" s="13" t="n">
        <v>-0.0503225373430398</v>
      </c>
      <c r="P81" s="15" t="n">
        <v>0.00856081717325741</v>
      </c>
      <c r="Q81" s="13" t="n">
        <v>-0.0545339827636477</v>
      </c>
      <c r="R81" s="15" t="n">
        <v>0.163049526989427</v>
      </c>
      <c r="S81" s="32" t="n">
        <v>67915051600</v>
      </c>
      <c r="T81" s="15" t="n">
        <v>0.0762100926879505</v>
      </c>
      <c r="U81" s="32" t="n">
        <v>3780389021</v>
      </c>
      <c r="V81" s="14" t="n">
        <v>16.1420990981951</v>
      </c>
      <c r="W81" s="13" t="n">
        <v>0.154696132596685</v>
      </c>
      <c r="X81" s="15" t="n">
        <v>0.0502392344497609</v>
      </c>
      <c r="Y81" s="13" t="n">
        <v>0.00825989533205007</v>
      </c>
      <c r="Z81" s="13" t="n">
        <v>0.0122329584056766</v>
      </c>
      <c r="AA81" s="30" t="s">
        <v>97</v>
      </c>
      <c r="AB81" s="28" t="s">
        <v>93</v>
      </c>
      <c r="AC81" s="28" t="s">
        <v>103</v>
      </c>
      <c r="AD81" s="28" t="s">
        <v>108</v>
      </c>
      <c r="AE81" s="28" t="s">
        <v>101</v>
      </c>
      <c r="AF81" s="28" t="s">
        <v>120</v>
      </c>
      <c r="AG81" s="30" t="s">
        <v>122</v>
      </c>
    </row>
    <row r="82" customFormat="false" ht="15" hidden="false" customHeight="false" outlineLevel="0" collapsed="false">
      <c r="A82" s="10" t="n">
        <v>2024</v>
      </c>
      <c r="B82" s="28" t="s">
        <v>53</v>
      </c>
      <c r="C82" s="29" t="n">
        <v>45364</v>
      </c>
      <c r="D82" s="30" t="s">
        <v>127</v>
      </c>
      <c r="E82" s="28" t="s">
        <v>237</v>
      </c>
      <c r="F82" s="28" t="s">
        <v>238</v>
      </c>
      <c r="G82" s="31" t="n">
        <v>18377</v>
      </c>
      <c r="H82" s="31" t="n">
        <v>5</v>
      </c>
      <c r="I82" s="31" t="n">
        <v>91887</v>
      </c>
      <c r="J82" s="29" t="n">
        <v>45376</v>
      </c>
      <c r="K82" s="31" t="n">
        <v>22100</v>
      </c>
      <c r="L82" s="30" t="s">
        <v>31</v>
      </c>
      <c r="M82" s="10" t="n">
        <v>8</v>
      </c>
      <c r="N82" s="12" t="n">
        <v>18384</v>
      </c>
      <c r="O82" s="13" t="n">
        <v>0.200073087669893</v>
      </c>
      <c r="P82" s="15" t="n">
        <v>0.304428056020413</v>
      </c>
      <c r="Q82" s="13" t="n">
        <v>-0.0190276814480634</v>
      </c>
      <c r="R82" s="15" t="n">
        <v>0.164400494437577</v>
      </c>
      <c r="S82" s="32" t="n">
        <v>535588286520</v>
      </c>
      <c r="T82" s="15" t="n">
        <v>0.147381242387333</v>
      </c>
      <c r="U82" s="32" t="n">
        <v>33076706586</v>
      </c>
      <c r="V82" s="14" t="n">
        <v>12.990080620901</v>
      </c>
      <c r="W82" s="13" t="n">
        <v>0.168009919404836</v>
      </c>
      <c r="X82" s="15" t="n">
        <v>0.0907643312101911</v>
      </c>
      <c r="Y82" s="13" t="n">
        <v>0.00438509812402832</v>
      </c>
      <c r="Z82" s="13" t="n">
        <v>0.0197161450544958</v>
      </c>
      <c r="AA82" s="30" t="s">
        <v>97</v>
      </c>
      <c r="AB82" s="28" t="s">
        <v>93</v>
      </c>
      <c r="AC82" s="28" t="s">
        <v>103</v>
      </c>
      <c r="AD82" s="28" t="s">
        <v>110</v>
      </c>
      <c r="AE82" s="28" t="s">
        <v>114</v>
      </c>
      <c r="AF82" s="28" t="s">
        <v>120</v>
      </c>
      <c r="AG82" s="30" t="s">
        <v>122</v>
      </c>
    </row>
    <row r="83" customFormat="false" ht="15" hidden="false" customHeight="false" outlineLevel="0" collapsed="false">
      <c r="A83" s="10" t="n">
        <v>2024</v>
      </c>
      <c r="B83" s="28" t="s">
        <v>53</v>
      </c>
      <c r="C83" s="29" t="n">
        <v>45364</v>
      </c>
      <c r="D83" s="30" t="s">
        <v>127</v>
      </c>
      <c r="E83" s="28" t="s">
        <v>185</v>
      </c>
      <c r="F83" s="30" t="s">
        <v>186</v>
      </c>
      <c r="G83" s="31" t="n">
        <v>8488</v>
      </c>
      <c r="H83" s="31" t="n">
        <v>11</v>
      </c>
      <c r="I83" s="31" t="n">
        <v>93373</v>
      </c>
      <c r="J83" s="29" t="n">
        <v>45366</v>
      </c>
      <c r="K83" s="31" t="n">
        <v>10350</v>
      </c>
      <c r="L83" s="30" t="s">
        <v>31</v>
      </c>
      <c r="M83" s="10" t="n">
        <v>2</v>
      </c>
      <c r="N83" s="12" t="n">
        <v>20241</v>
      </c>
      <c r="O83" s="13" t="n">
        <v>0.216771934197878</v>
      </c>
      <c r="P83" s="15" t="n">
        <v>0.219299568356172</v>
      </c>
      <c r="Q83" s="13" t="n">
        <v>0.0366991499066971</v>
      </c>
      <c r="R83" s="15" t="n">
        <v>0.12317880794702</v>
      </c>
      <c r="S83" s="32" t="n">
        <v>102346018880</v>
      </c>
      <c r="T83" s="15" t="n">
        <v>0.0341463414634147</v>
      </c>
      <c r="U83" s="32" t="n">
        <v>8583336018.5</v>
      </c>
      <c r="V83" s="14" t="n">
        <v>10.7973440681376</v>
      </c>
      <c r="W83" s="13" t="n">
        <v>0.112860892388452</v>
      </c>
      <c r="X83" s="15" t="n">
        <v>0.0377358490566038</v>
      </c>
      <c r="Y83" s="13" t="n">
        <v>0.00438509812402832</v>
      </c>
      <c r="Z83" s="13" t="n">
        <v>0.0197161450544958</v>
      </c>
      <c r="AA83" s="30" t="s">
        <v>97</v>
      </c>
      <c r="AB83" s="28" t="s">
        <v>93</v>
      </c>
      <c r="AC83" s="28" t="s">
        <v>102</v>
      </c>
      <c r="AD83" s="28" t="s">
        <v>109</v>
      </c>
      <c r="AE83" s="28" t="s">
        <v>113</v>
      </c>
      <c r="AF83" s="28" t="s">
        <v>120</v>
      </c>
      <c r="AG83" s="30" t="s">
        <v>122</v>
      </c>
    </row>
    <row r="84" customFormat="false" ht="15" hidden="false" customHeight="false" outlineLevel="0" collapsed="false">
      <c r="A84" s="10" t="n">
        <v>2024</v>
      </c>
      <c r="B84" s="28" t="s">
        <v>53</v>
      </c>
      <c r="C84" s="29" t="n">
        <v>45364</v>
      </c>
      <c r="D84" s="30" t="s">
        <v>127</v>
      </c>
      <c r="E84" s="28" t="s">
        <v>319</v>
      </c>
      <c r="F84" s="28" t="s">
        <v>320</v>
      </c>
      <c r="G84" s="31" t="n">
        <v>2447</v>
      </c>
      <c r="H84" s="31" t="n">
        <v>40</v>
      </c>
      <c r="I84" s="31" t="n">
        <v>97898</v>
      </c>
      <c r="J84" s="29" t="n">
        <v>45366</v>
      </c>
      <c r="K84" s="31" t="n">
        <v>2328</v>
      </c>
      <c r="L84" s="30" t="s">
        <v>32</v>
      </c>
      <c r="M84" s="10" t="n">
        <v>2</v>
      </c>
      <c r="N84" s="12" t="n">
        <v>-4987</v>
      </c>
      <c r="O84" s="13" t="n">
        <v>-0.0509433606271029</v>
      </c>
      <c r="P84" s="15" t="n">
        <v>0.0194304672832282</v>
      </c>
      <c r="Q84" s="13" t="n">
        <v>-0.0561585653610193</v>
      </c>
      <c r="R84" s="15" t="n">
        <v>0.13986013986014</v>
      </c>
      <c r="S84" s="32" t="n">
        <v>49606321380</v>
      </c>
      <c r="T84" s="15" t="n">
        <v>0.0360169491525424</v>
      </c>
      <c r="U84" s="32" t="n">
        <v>3198416347.5</v>
      </c>
      <c r="V84" s="14" t="n">
        <v>14.4431729545146</v>
      </c>
      <c r="W84" s="13" t="n">
        <v>0.0723684210526316</v>
      </c>
      <c r="X84" s="15" t="n">
        <v>0.0327198364008181</v>
      </c>
      <c r="Y84" s="13" t="n">
        <v>0.00438509812402832</v>
      </c>
      <c r="Z84" s="13" t="n">
        <v>0.0197161450544958</v>
      </c>
      <c r="AA84" s="30" t="s">
        <v>97</v>
      </c>
      <c r="AB84" s="28" t="s">
        <v>93</v>
      </c>
      <c r="AC84" s="28" t="s">
        <v>102</v>
      </c>
      <c r="AD84" s="28" t="s">
        <v>107</v>
      </c>
      <c r="AE84" s="28" t="s">
        <v>113</v>
      </c>
      <c r="AF84" s="28" t="s">
        <v>120</v>
      </c>
      <c r="AG84" s="30" t="s">
        <v>122</v>
      </c>
    </row>
    <row r="85" customFormat="false" ht="15" hidden="false" customHeight="false" outlineLevel="0" collapsed="false">
      <c r="A85" s="10" t="n">
        <v>2024</v>
      </c>
      <c r="B85" s="28" t="s">
        <v>53</v>
      </c>
      <c r="C85" s="29" t="n">
        <v>45366</v>
      </c>
      <c r="D85" s="30" t="s">
        <v>129</v>
      </c>
      <c r="E85" s="28" t="s">
        <v>191</v>
      </c>
      <c r="F85" s="30" t="s">
        <v>192</v>
      </c>
      <c r="G85" s="31" t="n">
        <v>29830</v>
      </c>
      <c r="H85" s="31" t="n">
        <v>3</v>
      </c>
      <c r="I85" s="31" t="n">
        <v>89489</v>
      </c>
      <c r="J85" s="29" t="n">
        <v>45369</v>
      </c>
      <c r="K85" s="31" t="n">
        <v>28372</v>
      </c>
      <c r="L85" s="30" t="s">
        <v>32</v>
      </c>
      <c r="M85" s="10" t="n">
        <v>1</v>
      </c>
      <c r="N85" s="12" t="n">
        <v>-4554</v>
      </c>
      <c r="O85" s="13" t="n">
        <v>-0.0508886781004232</v>
      </c>
      <c r="P85" s="15" t="n">
        <v>-0.0177607627272055</v>
      </c>
      <c r="Q85" s="13" t="n">
        <v>-0.0546366385292558</v>
      </c>
      <c r="R85" s="15" t="n">
        <v>0.226337448559671</v>
      </c>
      <c r="S85" s="32" t="n">
        <v>233612153200</v>
      </c>
      <c r="T85" s="15" t="n">
        <v>0.12241054613936</v>
      </c>
      <c r="U85" s="32" t="n">
        <v>3997384785</v>
      </c>
      <c r="V85" s="14" t="n">
        <v>49.8005996272896</v>
      </c>
      <c r="W85" s="13" t="n">
        <v>0.196787148594378</v>
      </c>
      <c r="X85" s="15" t="n">
        <v>0.0369127516778522</v>
      </c>
      <c r="Y85" s="13" t="n">
        <v>-0.01909694125263</v>
      </c>
      <c r="Z85" s="13" t="n">
        <v>-0.00504038651668615</v>
      </c>
      <c r="AA85" s="30" t="s">
        <v>97</v>
      </c>
      <c r="AB85" s="28" t="s">
        <v>94</v>
      </c>
      <c r="AC85" s="28" t="s">
        <v>104</v>
      </c>
      <c r="AD85" s="28" t="s">
        <v>110</v>
      </c>
      <c r="AE85" s="28" t="s">
        <v>114</v>
      </c>
      <c r="AF85" s="28" t="s">
        <v>120</v>
      </c>
      <c r="AG85" s="30" t="s">
        <v>122</v>
      </c>
    </row>
    <row r="86" customFormat="false" ht="15" hidden="false" customHeight="false" outlineLevel="0" collapsed="false">
      <c r="A86" s="10" t="n">
        <v>2024</v>
      </c>
      <c r="B86" s="28" t="s">
        <v>53</v>
      </c>
      <c r="C86" s="29" t="n">
        <v>45366</v>
      </c>
      <c r="D86" s="30" t="s">
        <v>129</v>
      </c>
      <c r="E86" s="28" t="s">
        <v>321</v>
      </c>
      <c r="F86" s="30" t="s">
        <v>322</v>
      </c>
      <c r="G86" s="31" t="n">
        <v>4850</v>
      </c>
      <c r="H86" s="31" t="n">
        <v>20</v>
      </c>
      <c r="I86" s="31" t="n">
        <v>96997</v>
      </c>
      <c r="J86" s="29" t="n">
        <v>45370</v>
      </c>
      <c r="K86" s="31" t="n">
        <v>4560</v>
      </c>
      <c r="L86" s="30" t="s">
        <v>32</v>
      </c>
      <c r="M86" s="10" t="n">
        <v>2</v>
      </c>
      <c r="N86" s="12" t="n">
        <v>-5981</v>
      </c>
      <c r="O86" s="13" t="n">
        <v>-0.0616577076174599</v>
      </c>
      <c r="P86" s="15" t="n">
        <v>0.0144654107502407</v>
      </c>
      <c r="Q86" s="13" t="n">
        <v>-0.0814139420950565</v>
      </c>
      <c r="R86" s="15" t="n">
        <v>0.086322869955157</v>
      </c>
      <c r="S86" s="32" t="n">
        <v>154017651705</v>
      </c>
      <c r="T86" s="15" t="n">
        <v>0.0441810344827587</v>
      </c>
      <c r="U86" s="32" t="n">
        <v>8701356791.5</v>
      </c>
      <c r="V86" s="14" t="n">
        <v>16.5894809430431</v>
      </c>
      <c r="W86" s="13" t="n">
        <v>-0.0481335952848723</v>
      </c>
      <c r="X86" s="15" t="n">
        <v>0.0815273477812177</v>
      </c>
      <c r="Y86" s="13" t="n">
        <v>-0.01909694125263</v>
      </c>
      <c r="Z86" s="13" t="n">
        <v>-0.00504038651668615</v>
      </c>
      <c r="AA86" s="30" t="s">
        <v>97</v>
      </c>
      <c r="AB86" s="28" t="s">
        <v>94</v>
      </c>
      <c r="AC86" s="28" t="s">
        <v>101</v>
      </c>
      <c r="AD86" s="28" t="s">
        <v>109</v>
      </c>
      <c r="AE86" s="28" t="s">
        <v>113</v>
      </c>
      <c r="AF86" s="28" t="s">
        <v>120</v>
      </c>
      <c r="AG86" s="30" t="s">
        <v>123</v>
      </c>
    </row>
    <row r="87" customFormat="false" ht="15" hidden="false" customHeight="false" outlineLevel="0" collapsed="false">
      <c r="A87" s="10" t="n">
        <v>2024</v>
      </c>
      <c r="B87" s="28" t="s">
        <v>53</v>
      </c>
      <c r="C87" s="29" t="n">
        <v>45370</v>
      </c>
      <c r="D87" s="30" t="s">
        <v>126</v>
      </c>
      <c r="E87" s="28" t="s">
        <v>323</v>
      </c>
      <c r="F87" s="30" t="s">
        <v>324</v>
      </c>
      <c r="G87" s="31" t="n">
        <v>8709</v>
      </c>
      <c r="H87" s="31" t="n">
        <v>11</v>
      </c>
      <c r="I87" s="31" t="n">
        <v>95796</v>
      </c>
      <c r="J87" s="29" t="n">
        <v>45371</v>
      </c>
      <c r="K87" s="31" t="n">
        <v>8282</v>
      </c>
      <c r="L87" s="30" t="s">
        <v>32</v>
      </c>
      <c r="M87" s="10" t="n">
        <v>1</v>
      </c>
      <c r="N87" s="12" t="n">
        <v>-4889</v>
      </c>
      <c r="O87" s="13" t="n">
        <v>-0.0510346710186364</v>
      </c>
      <c r="P87" s="15" t="n">
        <v>-0.0113334940921147</v>
      </c>
      <c r="Q87" s="13" t="n">
        <v>-0.0641542365680295</v>
      </c>
      <c r="R87" s="15" t="n">
        <v>0.11969111969112</v>
      </c>
      <c r="S87" s="32" t="n">
        <v>260415603600</v>
      </c>
      <c r="T87" s="15" t="n">
        <v>0.0648714810281519</v>
      </c>
      <c r="U87" s="32" t="n">
        <v>37990368927.5</v>
      </c>
      <c r="V87" s="14" t="n">
        <v>5.90854859261375</v>
      </c>
      <c r="W87" s="13" t="n">
        <v>0.113956466069142</v>
      </c>
      <c r="X87" s="15" t="n">
        <v>0.0517241379310345</v>
      </c>
      <c r="Y87" s="13" t="n">
        <v>-0.0110468233401841</v>
      </c>
      <c r="Z87" s="13" t="n">
        <v>-0.00956070713436075</v>
      </c>
      <c r="AA87" s="30" t="s">
        <v>96</v>
      </c>
      <c r="AB87" s="28" t="s">
        <v>94</v>
      </c>
      <c r="AC87" s="28" t="s">
        <v>102</v>
      </c>
      <c r="AD87" s="28" t="s">
        <v>110</v>
      </c>
      <c r="AE87" s="28" t="s">
        <v>101</v>
      </c>
      <c r="AF87" s="28" t="s">
        <v>119</v>
      </c>
      <c r="AG87" s="30" t="s">
        <v>122</v>
      </c>
    </row>
    <row r="88" customFormat="false" ht="15" hidden="false" customHeight="false" outlineLevel="0" collapsed="false">
      <c r="A88" s="10" t="n">
        <v>2024</v>
      </c>
      <c r="B88" s="28" t="s">
        <v>53</v>
      </c>
      <c r="C88" s="29" t="n">
        <v>45370</v>
      </c>
      <c r="D88" s="30" t="s">
        <v>126</v>
      </c>
      <c r="E88" s="28" t="s">
        <v>325</v>
      </c>
      <c r="F88" s="30" t="s">
        <v>326</v>
      </c>
      <c r="G88" s="31" t="n">
        <v>18076</v>
      </c>
      <c r="H88" s="31" t="n">
        <v>5</v>
      </c>
      <c r="I88" s="31" t="n">
        <v>90382</v>
      </c>
      <c r="J88" s="29" t="n">
        <v>45372</v>
      </c>
      <c r="K88" s="31" t="n">
        <v>21700</v>
      </c>
      <c r="L88" s="30" t="s">
        <v>31</v>
      </c>
      <c r="M88" s="10" t="n">
        <v>2</v>
      </c>
      <c r="N88" s="12" t="n">
        <v>17893</v>
      </c>
      <c r="O88" s="13" t="n">
        <v>0.197971509113031</v>
      </c>
      <c r="P88" s="15" t="n">
        <v>0.262275630506678</v>
      </c>
      <c r="Q88" s="13" t="n">
        <v>0.0216704388958129</v>
      </c>
      <c r="R88" s="15" t="n">
        <v>0.230329949238579</v>
      </c>
      <c r="S88" s="32" t="n">
        <v>245078916110</v>
      </c>
      <c r="T88" s="15" t="n">
        <v>0.172309552599758</v>
      </c>
      <c r="U88" s="32" t="n">
        <v>4174683444</v>
      </c>
      <c r="V88" s="14" t="n">
        <v>48.6213253043101</v>
      </c>
      <c r="W88" s="13" t="n">
        <v>0.234245703373648</v>
      </c>
      <c r="X88" s="15" t="n">
        <v>0.0170190820010314</v>
      </c>
      <c r="Y88" s="13" t="n">
        <v>-0.0110468233401841</v>
      </c>
      <c r="Z88" s="13" t="n">
        <v>-0.00956070713436075</v>
      </c>
      <c r="AA88" s="30" t="s">
        <v>96</v>
      </c>
      <c r="AB88" s="28" t="s">
        <v>94</v>
      </c>
      <c r="AC88" s="28" t="s">
        <v>104</v>
      </c>
      <c r="AD88" s="28" t="s">
        <v>110</v>
      </c>
      <c r="AE88" s="28" t="s">
        <v>114</v>
      </c>
      <c r="AF88" s="28" t="s">
        <v>120</v>
      </c>
      <c r="AG88" s="30" t="s">
        <v>122</v>
      </c>
    </row>
    <row r="89" customFormat="false" ht="15" hidden="false" customHeight="false" outlineLevel="0" collapsed="false">
      <c r="A89" s="10" t="n">
        <v>2024</v>
      </c>
      <c r="B89" s="28" t="s">
        <v>53</v>
      </c>
      <c r="C89" s="29" t="n">
        <v>45371</v>
      </c>
      <c r="D89" s="30" t="s">
        <v>127</v>
      </c>
      <c r="E89" s="28" t="s">
        <v>327</v>
      </c>
      <c r="F89" s="30" t="s">
        <v>328</v>
      </c>
      <c r="G89" s="31" t="n">
        <v>76977</v>
      </c>
      <c r="H89" s="31" t="n">
        <v>1</v>
      </c>
      <c r="I89" s="31" t="n">
        <v>76977</v>
      </c>
      <c r="J89" s="29" t="n">
        <v>45509</v>
      </c>
      <c r="K89" s="31" t="n">
        <v>73227</v>
      </c>
      <c r="L89" s="30" t="s">
        <v>32</v>
      </c>
      <c r="M89" s="10" t="n">
        <v>93</v>
      </c>
      <c r="N89" s="12" t="n">
        <v>-3905</v>
      </c>
      <c r="O89" s="13" t="n">
        <v>-0.0507235105596614</v>
      </c>
      <c r="P89" s="15" t="n">
        <v>0.153592831096082</v>
      </c>
      <c r="Q89" s="13" t="n">
        <v>-0.0880380997416107</v>
      </c>
      <c r="R89" s="15" t="n">
        <v>0.0563186813186813</v>
      </c>
      <c r="S89" s="32" t="n">
        <v>3853174239300</v>
      </c>
      <c r="T89" s="15" t="n">
        <v>0.026702269692924</v>
      </c>
      <c r="U89" s="32" t="n">
        <v>1196022592295</v>
      </c>
      <c r="V89" s="14" t="n">
        <v>3.06899498816171</v>
      </c>
      <c r="W89" s="13" t="n">
        <v>0.0434192672998643</v>
      </c>
      <c r="X89" s="15" t="n">
        <v>0.00390117035110538</v>
      </c>
      <c r="Y89" s="13" t="n">
        <v>0.0127890910596835</v>
      </c>
      <c r="Z89" s="13" t="n">
        <v>-0.00127340295592848</v>
      </c>
      <c r="AA89" s="30" t="s">
        <v>97</v>
      </c>
      <c r="AB89" s="28" t="s">
        <v>94</v>
      </c>
      <c r="AC89" s="28" t="s">
        <v>101</v>
      </c>
      <c r="AD89" s="28" t="s">
        <v>110</v>
      </c>
      <c r="AE89" s="28" t="s">
        <v>113</v>
      </c>
      <c r="AF89" s="28" t="s">
        <v>118</v>
      </c>
      <c r="AG89" s="30" t="s">
        <v>122</v>
      </c>
    </row>
    <row r="90" customFormat="false" ht="15" hidden="false" customHeight="false" outlineLevel="0" collapsed="false">
      <c r="A90" s="10" t="n">
        <v>2024</v>
      </c>
      <c r="B90" s="28" t="s">
        <v>53</v>
      </c>
      <c r="C90" s="29" t="n">
        <v>45372</v>
      </c>
      <c r="D90" s="30" t="s">
        <v>128</v>
      </c>
      <c r="E90" s="28" t="s">
        <v>329</v>
      </c>
      <c r="F90" s="30" t="s">
        <v>330</v>
      </c>
      <c r="G90" s="31" t="n">
        <v>10500</v>
      </c>
      <c r="H90" s="31" t="n">
        <v>9</v>
      </c>
      <c r="I90" s="31" t="n">
        <v>94504</v>
      </c>
      <c r="J90" s="29" t="n">
        <v>45377</v>
      </c>
      <c r="K90" s="31" t="n">
        <v>9990</v>
      </c>
      <c r="L90" s="30" t="s">
        <v>32</v>
      </c>
      <c r="M90" s="10" t="n">
        <v>3</v>
      </c>
      <c r="N90" s="12" t="n">
        <v>-4784</v>
      </c>
      <c r="O90" s="13" t="n">
        <v>-0.050621025637851</v>
      </c>
      <c r="P90" s="15" t="n">
        <v>0.0856636214119533</v>
      </c>
      <c r="Q90" s="13" t="n">
        <v>-0.0790905948198606</v>
      </c>
      <c r="R90" s="15" t="n">
        <v>0.103049421661409</v>
      </c>
      <c r="S90" s="32" t="n">
        <v>272657663990</v>
      </c>
      <c r="T90" s="15" t="n">
        <v>0.0254154447702835</v>
      </c>
      <c r="U90" s="32" t="n">
        <v>32211910800</v>
      </c>
      <c r="V90" s="14" t="n">
        <v>7.89420736287581</v>
      </c>
      <c r="W90" s="13" t="n">
        <v>0.09958071278826</v>
      </c>
      <c r="X90" s="15" t="n">
        <v>0.0972354623450906</v>
      </c>
      <c r="Y90" s="13" t="n">
        <v>0.0240582274528465</v>
      </c>
      <c r="Z90" s="13" t="n">
        <v>0.0132781120805072</v>
      </c>
      <c r="AA90" s="30" t="s">
        <v>97</v>
      </c>
      <c r="AB90" s="28" t="s">
        <v>93</v>
      </c>
      <c r="AC90" s="28" t="s">
        <v>102</v>
      </c>
      <c r="AD90" s="28" t="s">
        <v>110</v>
      </c>
      <c r="AE90" s="28" t="s">
        <v>113</v>
      </c>
      <c r="AF90" s="28" t="s">
        <v>119</v>
      </c>
      <c r="AG90" s="30" t="s">
        <v>122</v>
      </c>
    </row>
    <row r="91" customFormat="false" ht="15" hidden="false" customHeight="false" outlineLevel="0" collapsed="false">
      <c r="A91" s="10" t="n">
        <v>2024</v>
      </c>
      <c r="B91" s="28" t="s">
        <v>53</v>
      </c>
      <c r="C91" s="29" t="n">
        <v>45372</v>
      </c>
      <c r="D91" s="30" t="s">
        <v>128</v>
      </c>
      <c r="E91" s="28" t="s">
        <v>331</v>
      </c>
      <c r="F91" s="30" t="s">
        <v>332</v>
      </c>
      <c r="G91" s="31" t="n">
        <v>41491</v>
      </c>
      <c r="H91" s="31" t="n">
        <v>2</v>
      </c>
      <c r="I91" s="31" t="n">
        <v>82983</v>
      </c>
      <c r="J91" s="29" t="n">
        <v>45373</v>
      </c>
      <c r="K91" s="31" t="n">
        <v>39460</v>
      </c>
      <c r="L91" s="30" t="s">
        <v>32</v>
      </c>
      <c r="M91" s="10" t="n">
        <v>1</v>
      </c>
      <c r="N91" s="12" t="n">
        <v>-4228</v>
      </c>
      <c r="O91" s="13" t="n">
        <v>-0.0509531889702578</v>
      </c>
      <c r="P91" s="15" t="n">
        <v>-0.0118446089495546</v>
      </c>
      <c r="Q91" s="13" t="n">
        <v>-0.0564321083018308</v>
      </c>
      <c r="R91" s="15" t="n">
        <v>0.140302613480055</v>
      </c>
      <c r="S91" s="32" t="n">
        <v>71363387300</v>
      </c>
      <c r="T91" s="15" t="n">
        <v>0.0752269779507133</v>
      </c>
      <c r="U91" s="32" t="n">
        <v>8813878747.5</v>
      </c>
      <c r="V91" s="14" t="n">
        <v>7.17542655402198</v>
      </c>
      <c r="W91" s="13" t="n">
        <v>0.0980132450331126</v>
      </c>
      <c r="X91" s="15" t="n">
        <v>0.0108564535585043</v>
      </c>
      <c r="Y91" s="13" t="n">
        <v>0.0240582274528465</v>
      </c>
      <c r="Z91" s="13" t="n">
        <v>0.0132781120805072</v>
      </c>
      <c r="AA91" s="30" t="s">
        <v>97</v>
      </c>
      <c r="AB91" s="28" t="s">
        <v>93</v>
      </c>
      <c r="AC91" s="28" t="s">
        <v>102</v>
      </c>
      <c r="AD91" s="28" t="s">
        <v>108</v>
      </c>
      <c r="AE91" s="28" t="s">
        <v>101</v>
      </c>
      <c r="AF91" s="28" t="s">
        <v>119</v>
      </c>
      <c r="AG91" s="30" t="s">
        <v>122</v>
      </c>
    </row>
    <row r="92" customFormat="false" ht="15" hidden="false" customHeight="false" outlineLevel="0" collapsed="false">
      <c r="A92" s="10" t="n">
        <v>2024</v>
      </c>
      <c r="B92" s="28" t="s">
        <v>53</v>
      </c>
      <c r="C92" s="29" t="n">
        <v>45373</v>
      </c>
      <c r="D92" s="30" t="s">
        <v>129</v>
      </c>
      <c r="E92" s="28" t="s">
        <v>333</v>
      </c>
      <c r="F92" s="30" t="s">
        <v>334</v>
      </c>
      <c r="G92" s="31" t="n">
        <v>16276</v>
      </c>
      <c r="H92" s="31" t="n">
        <v>6</v>
      </c>
      <c r="I92" s="31" t="n">
        <v>97658</v>
      </c>
      <c r="J92" s="29" t="n">
        <v>45376</v>
      </c>
      <c r="K92" s="31" t="n">
        <v>19540</v>
      </c>
      <c r="L92" s="30" t="s">
        <v>31</v>
      </c>
      <c r="M92" s="10" t="n">
        <v>1</v>
      </c>
      <c r="N92" s="12" t="n">
        <v>19339</v>
      </c>
      <c r="O92" s="13" t="n">
        <v>0.198030478807785</v>
      </c>
      <c r="P92" s="15" t="n">
        <v>0.219567640231847</v>
      </c>
      <c r="Q92" s="13" t="n">
        <v>-0.026189063089432</v>
      </c>
      <c r="R92" s="15" t="n">
        <v>0.283346487766377</v>
      </c>
      <c r="S92" s="32" t="n">
        <v>166353393360</v>
      </c>
      <c r="T92" s="15" t="n">
        <v>0.273296789350039</v>
      </c>
      <c r="U92" s="32" t="n">
        <v>4775875401.5</v>
      </c>
      <c r="V92" s="14" t="n">
        <v>26.3958190168787</v>
      </c>
      <c r="W92" s="13" t="n">
        <v>0.223476297968397</v>
      </c>
      <c r="X92" s="15" t="n">
        <v>0.00553505535055354</v>
      </c>
      <c r="Y92" s="13" t="n">
        <v>-0.00228686757221785</v>
      </c>
      <c r="Z92" s="13" t="n">
        <v>0.0306430082044666</v>
      </c>
      <c r="AA92" s="30" t="s">
        <v>97</v>
      </c>
      <c r="AB92" s="28" t="s">
        <v>93</v>
      </c>
      <c r="AC92" s="28" t="s">
        <v>104</v>
      </c>
      <c r="AD92" s="28" t="s">
        <v>109</v>
      </c>
      <c r="AE92" s="28" t="s">
        <v>114</v>
      </c>
      <c r="AF92" s="28" t="s">
        <v>120</v>
      </c>
      <c r="AG92" s="30" t="s">
        <v>122</v>
      </c>
    </row>
    <row r="93" customFormat="false" ht="15" hidden="false" customHeight="false" outlineLevel="0" collapsed="false">
      <c r="A93" s="10" t="n">
        <v>2024</v>
      </c>
      <c r="B93" s="28" t="s">
        <v>53</v>
      </c>
      <c r="C93" s="29" t="n">
        <v>45373</v>
      </c>
      <c r="D93" s="30" t="s">
        <v>129</v>
      </c>
      <c r="E93" s="28" t="s">
        <v>335</v>
      </c>
      <c r="F93" s="30" t="s">
        <v>336</v>
      </c>
      <c r="G93" s="31" t="n">
        <v>3468</v>
      </c>
      <c r="H93" s="31" t="n">
        <v>28</v>
      </c>
      <c r="I93" s="31" t="n">
        <v>97117</v>
      </c>
      <c r="J93" s="29" t="n">
        <v>45376</v>
      </c>
      <c r="K93" s="31" t="n">
        <v>3302</v>
      </c>
      <c r="L93" s="30" t="s">
        <v>32</v>
      </c>
      <c r="M93" s="10" t="n">
        <v>1</v>
      </c>
      <c r="N93" s="12" t="n">
        <v>-4864</v>
      </c>
      <c r="O93" s="13" t="n">
        <v>-0.0500880288542626</v>
      </c>
      <c r="P93" s="15" t="n">
        <v>0.0191828373646557</v>
      </c>
      <c r="Q93" s="13" t="n">
        <v>-0.0485704771419057</v>
      </c>
      <c r="R93" s="15" t="n">
        <v>0.233096085409253</v>
      </c>
      <c r="S93" s="32" t="n">
        <v>99580978035</v>
      </c>
      <c r="T93" s="15" t="n">
        <v>0.032017870439315</v>
      </c>
      <c r="U93" s="32" t="n">
        <v>4128160598.25</v>
      </c>
      <c r="V93" s="14" t="n">
        <v>20.3518811775455</v>
      </c>
      <c r="W93" s="13" t="n">
        <v>0.05</v>
      </c>
      <c r="X93" s="15" t="n">
        <v>0.0533910533910533</v>
      </c>
      <c r="Y93" s="13" t="n">
        <v>-0.00228686757221785</v>
      </c>
      <c r="Z93" s="13" t="n">
        <v>0.0306430082044666</v>
      </c>
      <c r="AA93" s="30" t="s">
        <v>97</v>
      </c>
      <c r="AB93" s="28" t="s">
        <v>93</v>
      </c>
      <c r="AC93" s="28" t="s">
        <v>104</v>
      </c>
      <c r="AD93" s="28" t="s">
        <v>108</v>
      </c>
      <c r="AE93" s="28" t="s">
        <v>113</v>
      </c>
      <c r="AF93" s="28" t="s">
        <v>120</v>
      </c>
      <c r="AG93" s="30" t="s">
        <v>122</v>
      </c>
    </row>
    <row r="94" customFormat="false" ht="15" hidden="false" customHeight="false" outlineLevel="0" collapsed="false">
      <c r="A94" s="10" t="n">
        <v>2024</v>
      </c>
      <c r="B94" s="28" t="s">
        <v>53</v>
      </c>
      <c r="C94" s="29" t="n">
        <v>45376</v>
      </c>
      <c r="D94" s="30" t="s">
        <v>125</v>
      </c>
      <c r="E94" s="28" t="s">
        <v>337</v>
      </c>
      <c r="F94" s="30" t="s">
        <v>338</v>
      </c>
      <c r="G94" s="31" t="n">
        <v>9900</v>
      </c>
      <c r="H94" s="31" t="n">
        <v>10</v>
      </c>
      <c r="I94" s="31" t="n">
        <v>98999</v>
      </c>
      <c r="J94" s="29" t="n">
        <v>45378</v>
      </c>
      <c r="K94" s="31" t="n">
        <v>9421</v>
      </c>
      <c r="L94" s="30" t="s">
        <v>32</v>
      </c>
      <c r="M94" s="10" t="n">
        <v>2</v>
      </c>
      <c r="N94" s="12" t="n">
        <v>-4992</v>
      </c>
      <c r="O94" s="13" t="n">
        <v>-0.0504222870153104</v>
      </c>
      <c r="P94" s="15" t="n">
        <v>0.00203133570170988</v>
      </c>
      <c r="Q94" s="13" t="n">
        <v>-0.0626158472467875</v>
      </c>
      <c r="R94" s="15" t="n">
        <v>0.185851318944844</v>
      </c>
      <c r="S94" s="32" t="n">
        <v>152363727930</v>
      </c>
      <c r="T94" s="15" t="n">
        <v>0.0964523281596452</v>
      </c>
      <c r="U94" s="32" t="n">
        <v>6766360996.5</v>
      </c>
      <c r="V94" s="14" t="n">
        <v>19.1475960818727</v>
      </c>
      <c r="W94" s="13" t="n">
        <v>0.177380952380952</v>
      </c>
      <c r="X94" s="15" t="n">
        <v>0.0101112234580385</v>
      </c>
      <c r="Y94" s="13" t="n">
        <v>-0.00399845737404303</v>
      </c>
      <c r="Z94" s="13" t="n">
        <v>0.019260268668275</v>
      </c>
      <c r="AA94" s="30" t="s">
        <v>97</v>
      </c>
      <c r="AB94" s="28" t="s">
        <v>93</v>
      </c>
      <c r="AC94" s="28" t="s">
        <v>103</v>
      </c>
      <c r="AD94" s="28" t="s">
        <v>109</v>
      </c>
      <c r="AE94" s="28" t="s">
        <v>101</v>
      </c>
      <c r="AF94" s="28" t="s">
        <v>120</v>
      </c>
      <c r="AG94" s="30" t="s">
        <v>122</v>
      </c>
    </row>
    <row r="95" customFormat="false" ht="15" hidden="false" customHeight="false" outlineLevel="0" collapsed="false">
      <c r="A95" s="10" t="n">
        <v>2024</v>
      </c>
      <c r="B95" s="28" t="s">
        <v>53</v>
      </c>
      <c r="C95" s="29" t="n">
        <v>45376</v>
      </c>
      <c r="D95" s="30" t="s">
        <v>125</v>
      </c>
      <c r="E95" s="28" t="s">
        <v>339</v>
      </c>
      <c r="F95" s="28" t="s">
        <v>340</v>
      </c>
      <c r="G95" s="31" t="n">
        <v>8118</v>
      </c>
      <c r="H95" s="31" t="n">
        <v>12</v>
      </c>
      <c r="I95" s="31" t="n">
        <v>97417</v>
      </c>
      <c r="J95" s="29" t="n">
        <v>45384</v>
      </c>
      <c r="K95" s="31" t="n">
        <v>7722</v>
      </c>
      <c r="L95" s="30" t="s">
        <v>32</v>
      </c>
      <c r="M95" s="10" t="n">
        <v>6</v>
      </c>
      <c r="N95" s="12" t="n">
        <v>-4945</v>
      </c>
      <c r="O95" s="13" t="n">
        <v>-0.0507650355809416</v>
      </c>
      <c r="P95" s="15" t="n">
        <v>0.182541256523994</v>
      </c>
      <c r="Q95" s="13" t="n">
        <v>-0.10447136094485</v>
      </c>
      <c r="R95" s="15" t="n">
        <v>0.205052005943536</v>
      </c>
      <c r="S95" s="32" t="n">
        <v>57735860450</v>
      </c>
      <c r="T95" s="15" t="n">
        <v>0.151988636363637</v>
      </c>
      <c r="U95" s="32" t="n">
        <v>6963720207</v>
      </c>
      <c r="V95" s="14" t="n">
        <v>6.90502272351645</v>
      </c>
      <c r="W95" s="13" t="n">
        <v>0.182215743440233</v>
      </c>
      <c r="X95" s="15" t="n">
        <v>0.0221948212083847</v>
      </c>
      <c r="Y95" s="13" t="n">
        <v>-0.00399845737404303</v>
      </c>
      <c r="Z95" s="13" t="n">
        <v>0.019260268668275</v>
      </c>
      <c r="AA95" s="30" t="s">
        <v>97</v>
      </c>
      <c r="AB95" s="28" t="s">
        <v>93</v>
      </c>
      <c r="AC95" s="28" t="s">
        <v>104</v>
      </c>
      <c r="AD95" s="28" t="s">
        <v>108</v>
      </c>
      <c r="AE95" s="28" t="s">
        <v>114</v>
      </c>
      <c r="AF95" s="28" t="s">
        <v>119</v>
      </c>
      <c r="AG95" s="30" t="s">
        <v>122</v>
      </c>
    </row>
    <row r="96" customFormat="false" ht="15" hidden="false" customHeight="false" outlineLevel="0" collapsed="false">
      <c r="A96" s="10" t="n">
        <v>2024</v>
      </c>
      <c r="B96" s="28" t="s">
        <v>53</v>
      </c>
      <c r="C96" s="29" t="n">
        <v>45376</v>
      </c>
      <c r="D96" s="30" t="s">
        <v>125</v>
      </c>
      <c r="E96" s="28" t="s">
        <v>341</v>
      </c>
      <c r="F96" s="30" t="s">
        <v>342</v>
      </c>
      <c r="G96" s="31" t="n">
        <v>98799</v>
      </c>
      <c r="H96" s="31" t="n">
        <v>1</v>
      </c>
      <c r="I96" s="31" t="n">
        <v>98799</v>
      </c>
      <c r="J96" s="29" t="n">
        <v>45387</v>
      </c>
      <c r="K96" s="31" t="n">
        <v>118600</v>
      </c>
      <c r="L96" s="30" t="s">
        <v>31</v>
      </c>
      <c r="M96" s="10" t="n">
        <v>9</v>
      </c>
      <c r="N96" s="12" t="n">
        <v>19555</v>
      </c>
      <c r="O96" s="13" t="n">
        <v>0.19792983303424</v>
      </c>
      <c r="P96" s="15" t="n">
        <v>0.204469289575673</v>
      </c>
      <c r="Q96" s="13" t="n">
        <v>-0.0283272958044993</v>
      </c>
      <c r="R96" s="15" t="n">
        <v>0.0846153846153845</v>
      </c>
      <c r="S96" s="32" t="n">
        <v>22513173900</v>
      </c>
      <c r="T96" s="15" t="n">
        <v>0.0335078534031414</v>
      </c>
      <c r="U96" s="32" t="n">
        <v>6768283925</v>
      </c>
      <c r="V96" s="14" t="n">
        <v>3.10375537568385</v>
      </c>
      <c r="W96" s="13" t="n">
        <v>0.0810514786418402</v>
      </c>
      <c r="X96" s="15" t="n">
        <v>0.00709219858156018</v>
      </c>
      <c r="Y96" s="13" t="n">
        <v>-0.00399845737404303</v>
      </c>
      <c r="Z96" s="13" t="n">
        <v>0.019260268668275</v>
      </c>
      <c r="AA96" s="30" t="s">
        <v>97</v>
      </c>
      <c r="AB96" s="28" t="s">
        <v>93</v>
      </c>
      <c r="AC96" s="28" t="s">
        <v>101</v>
      </c>
      <c r="AD96" s="28" t="s">
        <v>106</v>
      </c>
      <c r="AE96" s="28" t="s">
        <v>113</v>
      </c>
      <c r="AF96" s="28" t="s">
        <v>118</v>
      </c>
      <c r="AG96" s="30" t="s">
        <v>122</v>
      </c>
    </row>
    <row r="97" customFormat="false" ht="15" hidden="false" customHeight="false" outlineLevel="0" collapsed="false">
      <c r="A97" s="10" t="n">
        <v>2024</v>
      </c>
      <c r="B97" s="28" t="s">
        <v>53</v>
      </c>
      <c r="C97" s="29" t="n">
        <v>45377</v>
      </c>
      <c r="D97" s="30" t="s">
        <v>126</v>
      </c>
      <c r="E97" s="28" t="s">
        <v>343</v>
      </c>
      <c r="F97" s="30" t="s">
        <v>344</v>
      </c>
      <c r="G97" s="31" t="n">
        <v>6787</v>
      </c>
      <c r="H97" s="31" t="n">
        <v>14</v>
      </c>
      <c r="I97" s="31" t="n">
        <v>95015</v>
      </c>
      <c r="J97" s="29" t="n">
        <v>45378</v>
      </c>
      <c r="K97" s="31" t="n">
        <v>6454</v>
      </c>
      <c r="L97" s="30" t="s">
        <v>32</v>
      </c>
      <c r="M97" s="10" t="n">
        <v>1</v>
      </c>
      <c r="N97" s="12" t="n">
        <v>-4856</v>
      </c>
      <c r="O97" s="13" t="n">
        <v>-0.0511055935215227</v>
      </c>
      <c r="P97" s="15" t="n">
        <v>-0.0113131706052059</v>
      </c>
      <c r="Q97" s="13" t="n">
        <v>-0.0628840186362308</v>
      </c>
      <c r="R97" s="15" t="n">
        <v>0.13</v>
      </c>
      <c r="S97" s="32" t="n">
        <v>108148722420</v>
      </c>
      <c r="T97" s="15" t="n">
        <v>0.0626959247648904</v>
      </c>
      <c r="U97" s="32" t="n">
        <v>4100175529.5</v>
      </c>
      <c r="V97" s="14" t="n">
        <v>23.5594293649016</v>
      </c>
      <c r="W97" s="13" t="n">
        <v>0.131886477462437</v>
      </c>
      <c r="X97" s="15" t="n">
        <v>0.0162241887905605</v>
      </c>
      <c r="Y97" s="13" t="n">
        <v>0.00713041127715464</v>
      </c>
      <c r="Z97" s="13" t="n">
        <v>0.0379945560713357</v>
      </c>
      <c r="AA97" s="30" t="s">
        <v>97</v>
      </c>
      <c r="AB97" s="28" t="s">
        <v>93</v>
      </c>
      <c r="AC97" s="28" t="s">
        <v>102</v>
      </c>
      <c r="AD97" s="28" t="s">
        <v>109</v>
      </c>
      <c r="AE97" s="28" t="s">
        <v>101</v>
      </c>
      <c r="AF97" s="28" t="s">
        <v>120</v>
      </c>
      <c r="AG97" s="30" t="s">
        <v>122</v>
      </c>
    </row>
    <row r="98" customFormat="false" ht="15" hidden="false" customHeight="false" outlineLevel="0" collapsed="false">
      <c r="A98" s="10" t="n">
        <v>2024</v>
      </c>
      <c r="B98" s="28" t="s">
        <v>53</v>
      </c>
      <c r="C98" s="29" t="n">
        <v>45377</v>
      </c>
      <c r="D98" s="30" t="s">
        <v>126</v>
      </c>
      <c r="E98" s="28" t="s">
        <v>345</v>
      </c>
      <c r="F98" s="30" t="s">
        <v>346</v>
      </c>
      <c r="G98" s="31" t="n">
        <v>18569</v>
      </c>
      <c r="H98" s="31" t="n">
        <v>5</v>
      </c>
      <c r="I98" s="31" t="n">
        <v>92843</v>
      </c>
      <c r="J98" s="29" t="n">
        <v>45378</v>
      </c>
      <c r="K98" s="31" t="n">
        <v>17672</v>
      </c>
      <c r="L98" s="30" t="s">
        <v>32</v>
      </c>
      <c r="M98" s="10" t="n">
        <v>1</v>
      </c>
      <c r="N98" s="12" t="n">
        <v>-4667</v>
      </c>
      <c r="O98" s="13" t="n">
        <v>-0.0502724384510369</v>
      </c>
      <c r="P98" s="15" t="n">
        <v>-0.0176938964000958</v>
      </c>
      <c r="Q98" s="13" t="n">
        <v>-0.0629316774869335</v>
      </c>
      <c r="R98" s="15" t="n">
        <v>0.110778443113772</v>
      </c>
      <c r="S98" s="32" t="n">
        <v>63128914800</v>
      </c>
      <c r="T98" s="15" t="n">
        <v>0.05218377765173</v>
      </c>
      <c r="U98" s="32" t="n">
        <v>22262148117</v>
      </c>
      <c r="V98" s="14" t="n">
        <v>2.57170534390567</v>
      </c>
      <c r="W98" s="13" t="n">
        <v>0.100890207715134</v>
      </c>
      <c r="X98" s="15" t="n">
        <v>0.0215633423180592</v>
      </c>
      <c r="Y98" s="13" t="n">
        <v>0.00713041127715464</v>
      </c>
      <c r="Z98" s="13" t="n">
        <v>0.0379945560713357</v>
      </c>
      <c r="AA98" s="30" t="s">
        <v>97</v>
      </c>
      <c r="AB98" s="28" t="s">
        <v>93</v>
      </c>
      <c r="AC98" s="28" t="s">
        <v>102</v>
      </c>
      <c r="AD98" s="28" t="s">
        <v>108</v>
      </c>
      <c r="AE98" s="28" t="s">
        <v>101</v>
      </c>
      <c r="AF98" s="28" t="s">
        <v>117</v>
      </c>
      <c r="AG98" s="30" t="s">
        <v>122</v>
      </c>
    </row>
    <row r="99" customFormat="false" ht="15" hidden="false" customHeight="false" outlineLevel="0" collapsed="false">
      <c r="A99" s="10" t="n">
        <v>2024</v>
      </c>
      <c r="B99" s="28" t="s">
        <v>53</v>
      </c>
      <c r="C99" s="29" t="n">
        <v>45378</v>
      </c>
      <c r="D99" s="30" t="s">
        <v>127</v>
      </c>
      <c r="E99" s="28" t="s">
        <v>347</v>
      </c>
      <c r="F99" s="30" t="s">
        <v>348</v>
      </c>
      <c r="G99" s="31" t="n">
        <v>2918</v>
      </c>
      <c r="H99" s="31" t="n">
        <v>34</v>
      </c>
      <c r="I99" s="31" t="n">
        <v>99209</v>
      </c>
      <c r="J99" s="29" t="n">
        <v>45379</v>
      </c>
      <c r="K99" s="31" t="n">
        <v>2777</v>
      </c>
      <c r="L99" s="30" t="s">
        <v>32</v>
      </c>
      <c r="M99" s="10" t="n">
        <v>1</v>
      </c>
      <c r="N99" s="12" t="n">
        <v>-4983</v>
      </c>
      <c r="O99" s="13" t="n">
        <v>-0.0502236241460083</v>
      </c>
      <c r="P99" s="15" t="n">
        <v>-0.000999000999000854</v>
      </c>
      <c r="Q99" s="13" t="n">
        <v>-0.0472649134741757</v>
      </c>
      <c r="R99" s="15" t="n">
        <v>0.140900195694716</v>
      </c>
      <c r="S99" s="32" t="n">
        <v>128082106295</v>
      </c>
      <c r="T99" s="15" t="n">
        <v>0.0410714285714287</v>
      </c>
      <c r="U99" s="32" t="n">
        <v>4855051793</v>
      </c>
      <c r="V99" s="14" t="n">
        <v>24.6241323314092</v>
      </c>
      <c r="W99" s="13" t="n">
        <v>0.108365019011407</v>
      </c>
      <c r="X99" s="15" t="n">
        <v>0.0840480274442539</v>
      </c>
      <c r="Y99" s="13" t="n">
        <v>-0.000718148482639291</v>
      </c>
      <c r="Z99" s="13" t="n">
        <v>0.0241511594192125</v>
      </c>
      <c r="AA99" s="30" t="s">
        <v>97</v>
      </c>
      <c r="AB99" s="28" t="s">
        <v>93</v>
      </c>
      <c r="AC99" s="28" t="s">
        <v>102</v>
      </c>
      <c r="AD99" s="28" t="s">
        <v>109</v>
      </c>
      <c r="AE99" s="28" t="s">
        <v>113</v>
      </c>
      <c r="AF99" s="28" t="s">
        <v>120</v>
      </c>
      <c r="AG99" s="30" t="s">
        <v>122</v>
      </c>
    </row>
    <row r="100" customFormat="false" ht="15" hidden="false" customHeight="false" outlineLevel="0" collapsed="false">
      <c r="A100" s="10" t="n">
        <v>2024</v>
      </c>
      <c r="B100" s="28" t="s">
        <v>53</v>
      </c>
      <c r="C100" s="29" t="n">
        <v>45378</v>
      </c>
      <c r="D100" s="30" t="s">
        <v>127</v>
      </c>
      <c r="E100" s="28" t="s">
        <v>225</v>
      </c>
      <c r="F100" s="30" t="s">
        <v>226</v>
      </c>
      <c r="G100" s="31" t="n">
        <v>34334</v>
      </c>
      <c r="H100" s="31" t="n">
        <v>2</v>
      </c>
      <c r="I100" s="31" t="n">
        <v>68669</v>
      </c>
      <c r="J100" s="29" t="n">
        <v>45391</v>
      </c>
      <c r="K100" s="31" t="n">
        <v>41250</v>
      </c>
      <c r="L100" s="30" t="s">
        <v>31</v>
      </c>
      <c r="M100" s="10" t="n">
        <v>9</v>
      </c>
      <c r="N100" s="12" t="n">
        <v>13660</v>
      </c>
      <c r="O100" s="13" t="n">
        <v>0.198929710377087</v>
      </c>
      <c r="P100" s="15" t="n">
        <v>0.218897720355447</v>
      </c>
      <c r="Q100" s="13" t="n">
        <v>-0.0242993158445052</v>
      </c>
      <c r="R100" s="15" t="n">
        <v>0.0331325301204819</v>
      </c>
      <c r="S100" s="32" t="n">
        <v>85814312500</v>
      </c>
      <c r="T100" s="15" t="n">
        <v>0.00439238653001461</v>
      </c>
      <c r="U100" s="32" t="n">
        <v>64220499045</v>
      </c>
      <c r="V100" s="14" t="n">
        <v>1.25046282431189</v>
      </c>
      <c r="W100" s="13" t="n">
        <v>0.0254110612855008</v>
      </c>
      <c r="X100" s="15" t="n">
        <v>0.00291545189504383</v>
      </c>
      <c r="Y100" s="13" t="n">
        <v>-0.000718148482639291</v>
      </c>
      <c r="Z100" s="13" t="n">
        <v>0.0241511594192125</v>
      </c>
      <c r="AA100" s="30" t="s">
        <v>97</v>
      </c>
      <c r="AB100" s="28" t="s">
        <v>93</v>
      </c>
      <c r="AC100" s="28" t="s">
        <v>100</v>
      </c>
      <c r="AD100" s="28" t="s">
        <v>108</v>
      </c>
      <c r="AE100" s="28" t="s">
        <v>112</v>
      </c>
      <c r="AF100" s="28" t="s">
        <v>116</v>
      </c>
      <c r="AG100" s="30" t="s">
        <v>122</v>
      </c>
    </row>
    <row r="101" customFormat="false" ht="15" hidden="false" customHeight="false" outlineLevel="0" collapsed="false">
      <c r="A101" s="10" t="n">
        <v>2024</v>
      </c>
      <c r="B101" s="28" t="s">
        <v>53</v>
      </c>
      <c r="C101" s="29" t="n">
        <v>45379</v>
      </c>
      <c r="D101" s="30" t="s">
        <v>128</v>
      </c>
      <c r="E101" s="28" t="s">
        <v>349</v>
      </c>
      <c r="F101" s="30" t="s">
        <v>350</v>
      </c>
      <c r="G101" s="31" t="n">
        <v>44394</v>
      </c>
      <c r="H101" s="31" t="n">
        <v>2</v>
      </c>
      <c r="I101" s="31" t="n">
        <v>88789</v>
      </c>
      <c r="J101" s="29" t="n">
        <v>45380</v>
      </c>
      <c r="K101" s="31" t="n">
        <v>41908</v>
      </c>
      <c r="L101" s="30" t="s">
        <v>32</v>
      </c>
      <c r="M101" s="10" t="n">
        <v>1</v>
      </c>
      <c r="N101" s="12" t="n">
        <v>-5149</v>
      </c>
      <c r="O101" s="13" t="n">
        <v>-0.0579956649889006</v>
      </c>
      <c r="P101" s="15" t="n">
        <v>-0.0415447010711948</v>
      </c>
      <c r="Q101" s="13" t="n">
        <v>-0.13727760401943</v>
      </c>
      <c r="R101" s="15" t="n">
        <v>0.0910209102091022</v>
      </c>
      <c r="S101" s="32" t="n">
        <v>131714488450</v>
      </c>
      <c r="T101" s="15" t="n">
        <v>0.0114025085518814</v>
      </c>
      <c r="U101" s="32" t="n">
        <v>13692920997.5</v>
      </c>
      <c r="V101" s="14" t="n">
        <v>8.83339961113717</v>
      </c>
      <c r="W101" s="13" t="n">
        <v>0.0725513905683193</v>
      </c>
      <c r="X101" s="15" t="n">
        <v>0.0597519729425029</v>
      </c>
      <c r="Y101" s="13" t="n">
        <v>-0.00337191618483468</v>
      </c>
      <c r="Z101" s="13" t="n">
        <v>-0.00328147346870622</v>
      </c>
      <c r="AA101" s="30" t="s">
        <v>97</v>
      </c>
      <c r="AB101" s="28" t="s">
        <v>94</v>
      </c>
      <c r="AC101" s="28" t="s">
        <v>101</v>
      </c>
      <c r="AD101" s="28" t="s">
        <v>109</v>
      </c>
      <c r="AE101" s="28" t="s">
        <v>112</v>
      </c>
      <c r="AF101" s="28" t="s">
        <v>119</v>
      </c>
      <c r="AG101" s="30" t="s">
        <v>122</v>
      </c>
    </row>
    <row r="102" customFormat="false" ht="15" hidden="false" customHeight="false" outlineLevel="0" collapsed="false">
      <c r="A102" s="10" t="n">
        <v>2024</v>
      </c>
      <c r="B102" s="28" t="s">
        <v>53</v>
      </c>
      <c r="C102" s="29" t="n">
        <v>45379</v>
      </c>
      <c r="D102" s="30" t="s">
        <v>128</v>
      </c>
      <c r="E102" s="28" t="s">
        <v>351</v>
      </c>
      <c r="F102" s="30" t="s">
        <v>352</v>
      </c>
      <c r="G102" s="31" t="n">
        <v>18759</v>
      </c>
      <c r="H102" s="31" t="n">
        <v>5</v>
      </c>
      <c r="I102" s="31" t="n">
        <v>93794</v>
      </c>
      <c r="J102" s="29" t="n">
        <v>45393</v>
      </c>
      <c r="K102" s="31" t="n">
        <v>17852</v>
      </c>
      <c r="L102" s="30" t="s">
        <v>32</v>
      </c>
      <c r="M102" s="10" t="n">
        <v>9</v>
      </c>
      <c r="N102" s="12" t="n">
        <v>-4721</v>
      </c>
      <c r="O102" s="13" t="n">
        <v>-0.0503357615969942</v>
      </c>
      <c r="P102" s="15" t="n">
        <v>0.1434669919195</v>
      </c>
      <c r="Q102" s="13" t="n">
        <v>-0.0750977944147634</v>
      </c>
      <c r="R102" s="15" t="n">
        <v>0.111506524317912</v>
      </c>
      <c r="S102" s="32" t="n">
        <v>74511514320</v>
      </c>
      <c r="T102" s="15" t="n">
        <v>0.105604719764012</v>
      </c>
      <c r="U102" s="32" t="n">
        <v>3006165681.5</v>
      </c>
      <c r="V102" s="14" t="n">
        <v>21.6166427905434</v>
      </c>
      <c r="W102" s="13" t="n">
        <v>0.102352941176471</v>
      </c>
      <c r="X102" s="15" t="n">
        <v>0.0752401280683031</v>
      </c>
      <c r="Y102" s="13" t="n">
        <v>-0.00337191618483468</v>
      </c>
      <c r="Z102" s="13" t="n">
        <v>-0.00328147346870622</v>
      </c>
      <c r="AA102" s="30" t="s">
        <v>97</v>
      </c>
      <c r="AB102" s="28" t="s">
        <v>94</v>
      </c>
      <c r="AC102" s="28" t="s">
        <v>102</v>
      </c>
      <c r="AD102" s="28" t="s">
        <v>108</v>
      </c>
      <c r="AE102" s="28" t="s">
        <v>114</v>
      </c>
      <c r="AF102" s="28" t="s">
        <v>120</v>
      </c>
      <c r="AG102" s="30" t="s">
        <v>122</v>
      </c>
    </row>
    <row r="103" customFormat="false" ht="15" hidden="false" customHeight="false" outlineLevel="0" collapsed="false">
      <c r="A103" s="10" t="n">
        <v>2024</v>
      </c>
      <c r="B103" s="28" t="s">
        <v>53</v>
      </c>
      <c r="C103" s="29" t="n">
        <v>45380</v>
      </c>
      <c r="D103" s="30" t="s">
        <v>129</v>
      </c>
      <c r="E103" s="28" t="s">
        <v>353</v>
      </c>
      <c r="F103" s="30" t="s">
        <v>354</v>
      </c>
      <c r="G103" s="31" t="n">
        <v>29529</v>
      </c>
      <c r="H103" s="31" t="n">
        <v>3</v>
      </c>
      <c r="I103" s="31" t="n">
        <v>88588</v>
      </c>
      <c r="J103" s="29" t="n">
        <v>45384</v>
      </c>
      <c r="K103" s="31" t="n">
        <v>28072</v>
      </c>
      <c r="L103" s="30" t="s">
        <v>32</v>
      </c>
      <c r="M103" s="10" t="n">
        <v>2</v>
      </c>
      <c r="N103" s="12" t="n">
        <v>-4550</v>
      </c>
      <c r="O103" s="13" t="n">
        <v>-0.0513645551059109</v>
      </c>
      <c r="P103" s="15" t="n">
        <v>0.0260925515162804</v>
      </c>
      <c r="Q103" s="13" t="n">
        <v>-0.0873533246414602</v>
      </c>
      <c r="R103" s="15" t="n">
        <v>0.0314685314685315</v>
      </c>
      <c r="S103" s="32" t="n">
        <v>539181825000</v>
      </c>
      <c r="T103" s="15" t="n">
        <v>0.00854700854700852</v>
      </c>
      <c r="U103" s="32" t="n">
        <v>106137679275</v>
      </c>
      <c r="V103" s="14" t="n">
        <v>4.69060686685587</v>
      </c>
      <c r="W103" s="13" t="n">
        <v>0.0314685314685315</v>
      </c>
      <c r="X103" s="15" t="n">
        <v>0.035593220338983</v>
      </c>
      <c r="Y103" s="13" t="n">
        <v>0.000294993845190161</v>
      </c>
      <c r="Z103" s="13" t="n">
        <v>-0.00070218587187465</v>
      </c>
      <c r="AA103" s="30" t="s">
        <v>97</v>
      </c>
      <c r="AB103" s="28" t="s">
        <v>94</v>
      </c>
      <c r="AC103" s="28" t="s">
        <v>100</v>
      </c>
      <c r="AD103" s="28" t="s">
        <v>110</v>
      </c>
      <c r="AE103" s="28" t="s">
        <v>112</v>
      </c>
      <c r="AF103" s="28" t="s">
        <v>118</v>
      </c>
      <c r="AG103" s="30" t="s">
        <v>122</v>
      </c>
    </row>
    <row r="104" customFormat="false" ht="15" hidden="false" customHeight="false" outlineLevel="0" collapsed="false">
      <c r="A104" s="10" t="n">
        <v>2024</v>
      </c>
      <c r="B104" s="28" t="s">
        <v>54</v>
      </c>
      <c r="C104" s="29" t="n">
        <v>45383</v>
      </c>
      <c r="D104" s="30" t="s">
        <v>125</v>
      </c>
      <c r="E104" s="28" t="s">
        <v>355</v>
      </c>
      <c r="F104" s="30" t="s">
        <v>356</v>
      </c>
      <c r="G104" s="31" t="n">
        <v>57157</v>
      </c>
      <c r="H104" s="31" t="n">
        <v>1</v>
      </c>
      <c r="I104" s="31" t="n">
        <v>57157</v>
      </c>
      <c r="J104" s="29" t="n">
        <v>45385</v>
      </c>
      <c r="K104" s="31" t="n">
        <v>54346</v>
      </c>
      <c r="L104" s="30" t="s">
        <v>32</v>
      </c>
      <c r="M104" s="10" t="n">
        <v>2</v>
      </c>
      <c r="N104" s="12" t="n">
        <v>-2926</v>
      </c>
      <c r="O104" s="13" t="n">
        <v>-0.0511930711145248</v>
      </c>
      <c r="P104" s="15" t="n">
        <v>0.0112479464493476</v>
      </c>
      <c r="Q104" s="13" t="n">
        <v>-0.0727311217678992</v>
      </c>
      <c r="R104" s="15" t="n">
        <v>0.126232741617357</v>
      </c>
      <c r="S104" s="32" t="n">
        <v>91969828000</v>
      </c>
      <c r="T104" s="15" t="n">
        <v>0.0980769230769232</v>
      </c>
      <c r="U104" s="32" t="n">
        <v>11453122042.5</v>
      </c>
      <c r="V104" s="14" t="n">
        <v>7.17903003668228</v>
      </c>
      <c r="W104" s="13" t="n">
        <v>0.0959692898272553</v>
      </c>
      <c r="X104" s="15" t="n">
        <v>0.00700525394045526</v>
      </c>
      <c r="Y104" s="13" t="n">
        <v>0.000447821512180369</v>
      </c>
      <c r="Z104" s="13" t="n">
        <v>0.00375880799395079</v>
      </c>
      <c r="AA104" s="30" t="s">
        <v>97</v>
      </c>
      <c r="AB104" s="28" t="s">
        <v>93</v>
      </c>
      <c r="AC104" s="28" t="s">
        <v>102</v>
      </c>
      <c r="AD104" s="28" t="s">
        <v>108</v>
      </c>
      <c r="AE104" s="28" t="s">
        <v>101</v>
      </c>
      <c r="AF104" s="28" t="s">
        <v>119</v>
      </c>
      <c r="AG104" s="30" t="s">
        <v>122</v>
      </c>
    </row>
    <row r="105" customFormat="false" ht="15" hidden="false" customHeight="false" outlineLevel="0" collapsed="false">
      <c r="A105" s="10" t="n">
        <v>2024</v>
      </c>
      <c r="B105" s="28" t="s">
        <v>54</v>
      </c>
      <c r="C105" s="29" t="n">
        <v>45384</v>
      </c>
      <c r="D105" s="30" t="s">
        <v>126</v>
      </c>
      <c r="E105" s="28" t="s">
        <v>357</v>
      </c>
      <c r="F105" s="30" t="s">
        <v>358</v>
      </c>
      <c r="G105" s="31" t="n">
        <v>18338</v>
      </c>
      <c r="H105" s="31" t="n">
        <v>5</v>
      </c>
      <c r="I105" s="31" t="n">
        <v>91692</v>
      </c>
      <c r="J105" s="29" t="n">
        <v>45385</v>
      </c>
      <c r="K105" s="31" t="n">
        <v>17453</v>
      </c>
      <c r="L105" s="30" t="s">
        <v>32</v>
      </c>
      <c r="M105" s="10" t="n">
        <v>1</v>
      </c>
      <c r="N105" s="12" t="n">
        <v>-4613</v>
      </c>
      <c r="O105" s="13" t="n">
        <v>-0.0503084896271854</v>
      </c>
      <c r="P105" s="15" t="n">
        <v>-0.0102692067757569</v>
      </c>
      <c r="Q105" s="13" t="n">
        <v>-0.056620235659537</v>
      </c>
      <c r="R105" s="15" t="n">
        <v>0.0663562281722934</v>
      </c>
      <c r="S105" s="32" t="n">
        <v>209533314560</v>
      </c>
      <c r="T105" s="15" t="n">
        <v>0.0415008527572485</v>
      </c>
      <c r="U105" s="32" t="n">
        <v>21466366988</v>
      </c>
      <c r="V105" s="14" t="n">
        <v>8.76328769325312</v>
      </c>
      <c r="W105" s="13" t="n">
        <v>0.0397275822928491</v>
      </c>
      <c r="X105" s="15" t="n">
        <v>0.0840611353711791</v>
      </c>
      <c r="Y105" s="13" t="n">
        <v>0.00192877366386934</v>
      </c>
      <c r="Z105" s="13" t="n">
        <v>-0.00142541592766299</v>
      </c>
      <c r="AA105" s="30" t="s">
        <v>97</v>
      </c>
      <c r="AB105" s="28" t="s">
        <v>94</v>
      </c>
      <c r="AC105" s="28" t="s">
        <v>101</v>
      </c>
      <c r="AD105" s="28" t="s">
        <v>110</v>
      </c>
      <c r="AE105" s="28" t="s">
        <v>113</v>
      </c>
      <c r="AF105" s="28" t="s">
        <v>119</v>
      </c>
      <c r="AG105" s="30" t="s">
        <v>122</v>
      </c>
    </row>
    <row r="106" customFormat="false" ht="15" hidden="false" customHeight="false" outlineLevel="0" collapsed="false">
      <c r="A106" s="10" t="n">
        <v>2024</v>
      </c>
      <c r="B106" s="28" t="s">
        <v>54</v>
      </c>
      <c r="C106" s="29" t="n">
        <v>45385</v>
      </c>
      <c r="D106" s="30" t="s">
        <v>127</v>
      </c>
      <c r="E106" s="28" t="s">
        <v>359</v>
      </c>
      <c r="F106" s="28" t="s">
        <v>360</v>
      </c>
      <c r="G106" s="31" t="n">
        <v>15646</v>
      </c>
      <c r="H106" s="31" t="n">
        <v>6</v>
      </c>
      <c r="I106" s="31" t="n">
        <v>93874</v>
      </c>
      <c r="J106" s="29" t="n">
        <v>45390</v>
      </c>
      <c r="K106" s="31" t="n">
        <v>14895</v>
      </c>
      <c r="L106" s="30" t="s">
        <v>32</v>
      </c>
      <c r="M106" s="10" t="n">
        <v>3</v>
      </c>
      <c r="N106" s="12" t="n">
        <v>-4692</v>
      </c>
      <c r="O106" s="13" t="n">
        <v>-0.0499776787511911</v>
      </c>
      <c r="P106" s="15" t="n">
        <v>0.0124232772985173</v>
      </c>
      <c r="Q106" s="13" t="n">
        <v>-0.0495748653138287</v>
      </c>
      <c r="R106" s="15" t="n">
        <v>0.0433911882510014</v>
      </c>
      <c r="S106" s="32" t="n">
        <v>63545187330</v>
      </c>
      <c r="T106" s="15" t="n">
        <v>0.0116504854368933</v>
      </c>
      <c r="U106" s="32" t="n">
        <v>5290604316.5</v>
      </c>
      <c r="V106" s="14" t="n">
        <v>11.6429993504924</v>
      </c>
      <c r="W106" s="13" t="n">
        <v>0.00838709677419347</v>
      </c>
      <c r="X106" s="15" t="n">
        <v>0.0588611644273833</v>
      </c>
      <c r="Y106" s="13" t="n">
        <v>-0.016777085240233</v>
      </c>
      <c r="Z106" s="13" t="n">
        <v>-0.0174729865595205</v>
      </c>
      <c r="AA106" s="30" t="s">
        <v>96</v>
      </c>
      <c r="AB106" s="28" t="s">
        <v>94</v>
      </c>
      <c r="AC106" s="28" t="s">
        <v>100</v>
      </c>
      <c r="AD106" s="28" t="s">
        <v>108</v>
      </c>
      <c r="AE106" s="28" t="s">
        <v>112</v>
      </c>
      <c r="AF106" s="28" t="s">
        <v>120</v>
      </c>
      <c r="AG106" s="30" t="s">
        <v>122</v>
      </c>
    </row>
    <row r="107" customFormat="false" ht="15" hidden="false" customHeight="false" outlineLevel="0" collapsed="false">
      <c r="A107" s="10" t="n">
        <v>2024</v>
      </c>
      <c r="B107" s="28" t="s">
        <v>54</v>
      </c>
      <c r="C107" s="29" t="n">
        <v>45386</v>
      </c>
      <c r="D107" s="30" t="s">
        <v>128</v>
      </c>
      <c r="E107" s="28" t="s">
        <v>361</v>
      </c>
      <c r="F107" s="30" t="s">
        <v>362</v>
      </c>
      <c r="G107" s="31" t="n">
        <v>53353</v>
      </c>
      <c r="H107" s="31" t="n">
        <v>1</v>
      </c>
      <c r="I107" s="31" t="n">
        <v>53353</v>
      </c>
      <c r="J107" s="29" t="n">
        <v>45387</v>
      </c>
      <c r="K107" s="31" t="n">
        <v>50749</v>
      </c>
      <c r="L107" s="30" t="s">
        <v>32</v>
      </c>
      <c r="M107" s="10" t="n">
        <v>1</v>
      </c>
      <c r="N107" s="12" t="n">
        <v>-2711</v>
      </c>
      <c r="O107" s="13" t="n">
        <v>-0.0508134255050765</v>
      </c>
      <c r="P107" s="15" t="n">
        <v>0.0271154736445545</v>
      </c>
      <c r="Q107" s="13" t="n">
        <v>-0.0694108892983189</v>
      </c>
      <c r="R107" s="15" t="n">
        <v>0.209988649262202</v>
      </c>
      <c r="S107" s="32" t="n">
        <v>148083763100</v>
      </c>
      <c r="T107" s="15" t="n">
        <v>0.151187904967603</v>
      </c>
      <c r="U107" s="32" t="n">
        <v>14070664667.5</v>
      </c>
      <c r="V107" s="14" t="n">
        <v>8.68873271260689</v>
      </c>
      <c r="W107" s="13" t="n">
        <v>0.203160270880361</v>
      </c>
      <c r="X107" s="15" t="n">
        <v>0.0112570356472797</v>
      </c>
      <c r="Y107" s="13" t="n">
        <v>0.0129406679793276</v>
      </c>
      <c r="Z107" s="13" t="n">
        <v>-0.00139120554151406</v>
      </c>
      <c r="AA107" s="30" t="s">
        <v>97</v>
      </c>
      <c r="AB107" s="28" t="s">
        <v>94</v>
      </c>
      <c r="AC107" s="28" t="s">
        <v>104</v>
      </c>
      <c r="AD107" s="28" t="s">
        <v>109</v>
      </c>
      <c r="AE107" s="28" t="s">
        <v>114</v>
      </c>
      <c r="AF107" s="28" t="s">
        <v>119</v>
      </c>
      <c r="AG107" s="30" t="s">
        <v>122</v>
      </c>
    </row>
    <row r="108" customFormat="false" ht="15" hidden="false" customHeight="false" outlineLevel="0" collapsed="false">
      <c r="A108" s="10" t="n">
        <v>2024</v>
      </c>
      <c r="B108" s="28" t="s">
        <v>54</v>
      </c>
      <c r="C108" s="29" t="n">
        <v>45386</v>
      </c>
      <c r="D108" s="30" t="s">
        <v>128</v>
      </c>
      <c r="E108" s="28" t="s">
        <v>235</v>
      </c>
      <c r="F108" s="30" t="s">
        <v>236</v>
      </c>
      <c r="G108" s="31" t="n">
        <v>37437</v>
      </c>
      <c r="H108" s="31" t="n">
        <v>2</v>
      </c>
      <c r="I108" s="31" t="n">
        <v>74875</v>
      </c>
      <c r="J108" s="29" t="n">
        <v>45391</v>
      </c>
      <c r="K108" s="31" t="n">
        <v>35614</v>
      </c>
      <c r="L108" s="30" t="s">
        <v>32</v>
      </c>
      <c r="M108" s="10" t="n">
        <v>3</v>
      </c>
      <c r="N108" s="12" t="n">
        <v>-3796</v>
      </c>
      <c r="O108" s="13" t="n">
        <v>-0.0507009993348897</v>
      </c>
      <c r="P108" s="15" t="n">
        <v>0.107181588465011</v>
      </c>
      <c r="Q108" s="13" t="n">
        <v>-0.0597637656461184</v>
      </c>
      <c r="R108" s="15" t="n">
        <v>0.0594900849858358</v>
      </c>
      <c r="S108" s="32" t="n">
        <v>65615495000</v>
      </c>
      <c r="T108" s="15" t="n">
        <v>0.00133868808567605</v>
      </c>
      <c r="U108" s="32" t="n">
        <v>35945247785</v>
      </c>
      <c r="V108" s="14" t="n">
        <v>1.75668638238004</v>
      </c>
      <c r="W108" s="13" t="n">
        <v>0.0535211267605633</v>
      </c>
      <c r="X108" s="15" t="n">
        <v>0.0213903743315509</v>
      </c>
      <c r="Y108" s="13" t="n">
        <v>0.0129406679793276</v>
      </c>
      <c r="Z108" s="13" t="n">
        <v>-0.00139120554151406</v>
      </c>
      <c r="AA108" s="30" t="s">
        <v>97</v>
      </c>
      <c r="AB108" s="28" t="s">
        <v>94</v>
      </c>
      <c r="AC108" s="28" t="s">
        <v>101</v>
      </c>
      <c r="AD108" s="28" t="s">
        <v>108</v>
      </c>
      <c r="AE108" s="28" t="s">
        <v>112</v>
      </c>
      <c r="AF108" s="28" t="s">
        <v>116</v>
      </c>
      <c r="AG108" s="30" t="s">
        <v>122</v>
      </c>
    </row>
    <row r="109" customFormat="false" ht="15" hidden="false" customHeight="false" outlineLevel="0" collapsed="false">
      <c r="A109" s="10" t="n">
        <v>2024</v>
      </c>
      <c r="B109" s="28" t="s">
        <v>54</v>
      </c>
      <c r="C109" s="29" t="n">
        <v>45390</v>
      </c>
      <c r="D109" s="30" t="s">
        <v>125</v>
      </c>
      <c r="E109" s="28" t="s">
        <v>363</v>
      </c>
      <c r="F109" s="30" t="s">
        <v>364</v>
      </c>
      <c r="G109" s="31" t="n">
        <v>15235</v>
      </c>
      <c r="H109" s="31" t="n">
        <v>6</v>
      </c>
      <c r="I109" s="31" t="n">
        <v>91411</v>
      </c>
      <c r="J109" s="29" t="n">
        <v>45391</v>
      </c>
      <c r="K109" s="31" t="n">
        <v>14486</v>
      </c>
      <c r="L109" s="30" t="s">
        <v>32</v>
      </c>
      <c r="M109" s="10" t="n">
        <v>1</v>
      </c>
      <c r="N109" s="12" t="n">
        <v>-4682</v>
      </c>
      <c r="O109" s="13" t="n">
        <v>-0.0512137014102848</v>
      </c>
      <c r="P109" s="15" t="n">
        <v>-0.0430069273696079</v>
      </c>
      <c r="Q109" s="13" t="n">
        <v>-0.162466967986022</v>
      </c>
      <c r="R109" s="15" t="n">
        <v>0.146084337349398</v>
      </c>
      <c r="S109" s="32" t="n">
        <v>155540820440</v>
      </c>
      <c r="T109" s="15" t="n">
        <v>0.129918337045286</v>
      </c>
      <c r="U109" s="32" t="n">
        <v>5576706828</v>
      </c>
      <c r="V109" s="14" t="n">
        <v>23.7349811446346</v>
      </c>
      <c r="W109" s="13" t="n">
        <v>0.0106241699867198</v>
      </c>
      <c r="X109" s="15" t="n">
        <v>0.134034165571616</v>
      </c>
      <c r="Y109" s="13" t="n">
        <v>0.00126740377494738</v>
      </c>
      <c r="Z109" s="13" t="n">
        <v>-0.0109940098840552</v>
      </c>
      <c r="AA109" s="30" t="s">
        <v>96</v>
      </c>
      <c r="AB109" s="28" t="s">
        <v>94</v>
      </c>
      <c r="AC109" s="28" t="s">
        <v>102</v>
      </c>
      <c r="AD109" s="28" t="s">
        <v>109</v>
      </c>
      <c r="AE109" s="28" t="s">
        <v>114</v>
      </c>
      <c r="AF109" s="28" t="s">
        <v>120</v>
      </c>
      <c r="AG109" s="30" t="s">
        <v>122</v>
      </c>
    </row>
    <row r="110" customFormat="false" ht="15" hidden="false" customHeight="false" outlineLevel="0" collapsed="false">
      <c r="A110" s="10" t="n">
        <v>2024</v>
      </c>
      <c r="B110" s="28" t="s">
        <v>54</v>
      </c>
      <c r="C110" s="29" t="n">
        <v>45390</v>
      </c>
      <c r="D110" s="30" t="s">
        <v>125</v>
      </c>
      <c r="E110" s="28" t="s">
        <v>253</v>
      </c>
      <c r="F110" s="30" t="s">
        <v>254</v>
      </c>
      <c r="G110" s="31" t="n">
        <v>35389</v>
      </c>
      <c r="H110" s="31" t="n">
        <v>2</v>
      </c>
      <c r="I110" s="31" t="n">
        <v>70779</v>
      </c>
      <c r="J110" s="29" t="n">
        <v>45391</v>
      </c>
      <c r="K110" s="31" t="n">
        <v>33666</v>
      </c>
      <c r="L110" s="30" t="s">
        <v>32</v>
      </c>
      <c r="M110" s="10" t="n">
        <v>1</v>
      </c>
      <c r="N110" s="12" t="n">
        <v>-3588</v>
      </c>
      <c r="O110" s="13" t="n">
        <v>-0.0506950798405858</v>
      </c>
      <c r="P110" s="15" t="n">
        <v>0.0040892893184914</v>
      </c>
      <c r="Q110" s="13" t="n">
        <v>-0.0552740977189192</v>
      </c>
      <c r="R110" s="15" t="n">
        <v>0.0517857142857141</v>
      </c>
      <c r="S110" s="32" t="n">
        <v>30968707050</v>
      </c>
      <c r="T110" s="15" t="n">
        <v>0.00511945392491464</v>
      </c>
      <c r="U110" s="32" t="n">
        <v>16180220297.5</v>
      </c>
      <c r="V110" s="14" t="n">
        <v>1.8509247063665</v>
      </c>
      <c r="W110" s="13" t="n">
        <v>0.0369718309859153</v>
      </c>
      <c r="X110" s="15" t="n">
        <v>0.00679117147707986</v>
      </c>
      <c r="Y110" s="13" t="n">
        <v>0.00126740377494738</v>
      </c>
      <c r="Z110" s="13" t="n">
        <v>-0.0109940098840552</v>
      </c>
      <c r="AA110" s="30" t="s">
        <v>96</v>
      </c>
      <c r="AB110" s="28" t="s">
        <v>94</v>
      </c>
      <c r="AC110" s="28" t="s">
        <v>101</v>
      </c>
      <c r="AD110" s="28" t="s">
        <v>107</v>
      </c>
      <c r="AE110" s="28" t="s">
        <v>112</v>
      </c>
      <c r="AF110" s="28" t="s">
        <v>116</v>
      </c>
      <c r="AG110" s="30" t="s">
        <v>122</v>
      </c>
    </row>
    <row r="111" customFormat="false" ht="15" hidden="false" customHeight="false" outlineLevel="0" collapsed="false">
      <c r="A111" s="10" t="n">
        <v>2024</v>
      </c>
      <c r="B111" s="28" t="s">
        <v>54</v>
      </c>
      <c r="C111" s="29" t="n">
        <v>45393</v>
      </c>
      <c r="D111" s="30" t="s">
        <v>128</v>
      </c>
      <c r="E111" s="28" t="s">
        <v>365</v>
      </c>
      <c r="F111" s="30" t="s">
        <v>366</v>
      </c>
      <c r="G111" s="31" t="n">
        <v>32833</v>
      </c>
      <c r="H111" s="31" t="n">
        <v>3</v>
      </c>
      <c r="I111" s="31" t="n">
        <v>98498</v>
      </c>
      <c r="J111" s="29" t="n">
        <v>45394</v>
      </c>
      <c r="K111" s="31" t="n">
        <v>31219</v>
      </c>
      <c r="L111" s="30" t="s">
        <v>32</v>
      </c>
      <c r="M111" s="10" t="n">
        <v>1</v>
      </c>
      <c r="N111" s="12" t="n">
        <v>-5040</v>
      </c>
      <c r="O111" s="13" t="n">
        <v>-0.0511638204021589</v>
      </c>
      <c r="P111" s="15" t="n">
        <v>-0.0131819400112082</v>
      </c>
      <c r="Q111" s="13" t="n">
        <v>-0.0588679613069856</v>
      </c>
      <c r="R111" s="15" t="n">
        <v>0.111864406779661</v>
      </c>
      <c r="S111" s="32" t="n">
        <v>92536147200</v>
      </c>
      <c r="T111" s="15" t="n">
        <v>0.0429252782193959</v>
      </c>
      <c r="U111" s="32" t="n">
        <v>3653673302.5</v>
      </c>
      <c r="V111" s="14" t="n">
        <v>22.8734229658175</v>
      </c>
      <c r="W111" s="13" t="n">
        <v>0.100671140939597</v>
      </c>
      <c r="X111" s="15" t="n">
        <v>0.0609756097560976</v>
      </c>
      <c r="Y111" s="13" t="n">
        <v>0.000665395022845239</v>
      </c>
      <c r="Z111" s="13" t="n">
        <v>-3.69416727918903E-006</v>
      </c>
      <c r="AA111" s="30" t="s">
        <v>96</v>
      </c>
      <c r="AB111" s="28" t="s">
        <v>94</v>
      </c>
      <c r="AC111" s="28" t="s">
        <v>102</v>
      </c>
      <c r="AD111" s="28" t="s">
        <v>108</v>
      </c>
      <c r="AE111" s="28" t="s">
        <v>113</v>
      </c>
      <c r="AF111" s="28" t="s">
        <v>120</v>
      </c>
      <c r="AG111" s="30" t="s">
        <v>122</v>
      </c>
    </row>
    <row r="112" customFormat="false" ht="15" hidden="false" customHeight="false" outlineLevel="0" collapsed="false">
      <c r="A112" s="10" t="n">
        <v>2024</v>
      </c>
      <c r="B112" s="28" t="s">
        <v>54</v>
      </c>
      <c r="C112" s="29" t="n">
        <v>45393</v>
      </c>
      <c r="D112" s="30" t="s">
        <v>128</v>
      </c>
      <c r="E112" s="28" t="s">
        <v>223</v>
      </c>
      <c r="F112" s="30" t="s">
        <v>224</v>
      </c>
      <c r="G112" s="31" t="n">
        <v>11381</v>
      </c>
      <c r="H112" s="31" t="n">
        <v>8</v>
      </c>
      <c r="I112" s="31" t="n">
        <v>91051</v>
      </c>
      <c r="J112" s="29" t="n">
        <v>45397</v>
      </c>
      <c r="K112" s="31" t="n">
        <v>10829</v>
      </c>
      <c r="L112" s="30" t="s">
        <v>32</v>
      </c>
      <c r="M112" s="10" t="n">
        <v>2</v>
      </c>
      <c r="N112" s="12" t="n">
        <v>-4600</v>
      </c>
      <c r="O112" s="13" t="n">
        <v>-0.0505241519694027</v>
      </c>
      <c r="P112" s="15" t="n">
        <v>0.0675340490643921</v>
      </c>
      <c r="Q112" s="13" t="n">
        <v>-0.0598671337457616</v>
      </c>
      <c r="R112" s="15" t="n">
        <v>0.0197309417040359</v>
      </c>
      <c r="S112" s="32" t="n">
        <v>36248412750</v>
      </c>
      <c r="T112" s="15" t="n">
        <v>0.0197309417040359</v>
      </c>
      <c r="U112" s="32" t="n">
        <v>12942340386.5</v>
      </c>
      <c r="V112" s="14" t="n">
        <v>2.65037963010034</v>
      </c>
      <c r="W112" s="13" t="n">
        <v>0.0736543909348442</v>
      </c>
      <c r="X112" s="15" t="n">
        <v>0.0334212840809147</v>
      </c>
      <c r="Y112" s="13" t="n">
        <v>0.000665395022845239</v>
      </c>
      <c r="Z112" s="13" t="n">
        <v>-3.69416727918903E-006</v>
      </c>
      <c r="AA112" s="30" t="s">
        <v>96</v>
      </c>
      <c r="AB112" s="28" t="s">
        <v>94</v>
      </c>
      <c r="AC112" s="28" t="s">
        <v>99</v>
      </c>
      <c r="AD112" s="28" t="s">
        <v>107</v>
      </c>
      <c r="AE112" s="28" t="s">
        <v>112</v>
      </c>
      <c r="AF112" s="28" t="s">
        <v>117</v>
      </c>
      <c r="AG112" s="30" t="s">
        <v>122</v>
      </c>
    </row>
    <row r="113" customFormat="false" ht="15" hidden="false" customHeight="false" outlineLevel="0" collapsed="false">
      <c r="A113" s="10" t="n">
        <v>2024</v>
      </c>
      <c r="B113" s="28" t="s">
        <v>54</v>
      </c>
      <c r="C113" s="29" t="n">
        <v>45394</v>
      </c>
      <c r="D113" s="30" t="s">
        <v>129</v>
      </c>
      <c r="E113" s="28" t="s">
        <v>367</v>
      </c>
      <c r="F113" s="30" t="s">
        <v>368</v>
      </c>
      <c r="G113" s="31" t="n">
        <v>69269</v>
      </c>
      <c r="H113" s="31" t="n">
        <v>1</v>
      </c>
      <c r="I113" s="31" t="n">
        <v>69269</v>
      </c>
      <c r="J113" s="29" t="n">
        <v>45398</v>
      </c>
      <c r="K113" s="31" t="n">
        <v>65534</v>
      </c>
      <c r="L113" s="30" t="s">
        <v>32</v>
      </c>
      <c r="M113" s="10" t="n">
        <v>2</v>
      </c>
      <c r="N113" s="12" t="n">
        <v>-3873</v>
      </c>
      <c r="O113" s="13" t="n">
        <v>-0.0559120425816959</v>
      </c>
      <c r="P113" s="15" t="n">
        <v>-0.00388628712328132</v>
      </c>
      <c r="Q113" s="13" t="n">
        <v>-0.0760684402302899</v>
      </c>
      <c r="R113" s="15" t="n">
        <v>0.0679012345679013</v>
      </c>
      <c r="S113" s="32" t="n">
        <v>98760025600</v>
      </c>
      <c r="T113" s="15" t="n">
        <v>0.00289855072463774</v>
      </c>
      <c r="U113" s="32" t="n">
        <v>6400257025</v>
      </c>
      <c r="V113" s="14" t="n">
        <v>14.6977910080087</v>
      </c>
      <c r="W113" s="13" t="n">
        <v>0.0679012345679013</v>
      </c>
      <c r="X113" s="15" t="n">
        <v>0.0924855491329479</v>
      </c>
      <c r="Y113" s="13" t="n">
        <v>-0.00928717084847941</v>
      </c>
      <c r="Z113" s="13" t="n">
        <v>-0.0219474835886214</v>
      </c>
      <c r="AA113" s="30" t="s">
        <v>96</v>
      </c>
      <c r="AB113" s="28" t="s">
        <v>94</v>
      </c>
      <c r="AC113" s="28" t="s">
        <v>101</v>
      </c>
      <c r="AD113" s="28" t="s">
        <v>108</v>
      </c>
      <c r="AE113" s="28" t="s">
        <v>112</v>
      </c>
      <c r="AF113" s="28" t="s">
        <v>120</v>
      </c>
      <c r="AG113" s="30" t="s">
        <v>122</v>
      </c>
    </row>
    <row r="114" customFormat="false" ht="15" hidden="false" customHeight="false" outlineLevel="0" collapsed="false">
      <c r="A114" s="10" t="n">
        <v>2024</v>
      </c>
      <c r="B114" s="28" t="s">
        <v>54</v>
      </c>
      <c r="C114" s="29" t="n">
        <v>45394</v>
      </c>
      <c r="D114" s="30" t="s">
        <v>129</v>
      </c>
      <c r="E114" s="28" t="s">
        <v>369</v>
      </c>
      <c r="F114" s="28" t="s">
        <v>370</v>
      </c>
      <c r="G114" s="31" t="n">
        <v>19059</v>
      </c>
      <c r="H114" s="31" t="n">
        <v>5</v>
      </c>
      <c r="I114" s="31" t="n">
        <v>95295</v>
      </c>
      <c r="J114" s="29" t="n">
        <v>45398</v>
      </c>
      <c r="K114" s="31" t="n">
        <v>18142</v>
      </c>
      <c r="L114" s="30" t="s">
        <v>32</v>
      </c>
      <c r="M114" s="10" t="n">
        <v>2</v>
      </c>
      <c r="N114" s="12" t="n">
        <v>-4777</v>
      </c>
      <c r="O114" s="13" t="n">
        <v>-0.0501303026805126</v>
      </c>
      <c r="P114" s="15" t="n">
        <v>0.0121181339668737</v>
      </c>
      <c r="Q114" s="13" t="n">
        <v>-0.0776030691997077</v>
      </c>
      <c r="R114" s="15" t="n">
        <v>0.0577777777777777</v>
      </c>
      <c r="S114" s="32" t="n">
        <v>46778880960</v>
      </c>
      <c r="T114" s="15" t="n">
        <v>0.000525486074619108</v>
      </c>
      <c r="U114" s="32" t="n">
        <v>8643352967</v>
      </c>
      <c r="V114" s="14" t="n">
        <v>5.27413830929545</v>
      </c>
      <c r="W114" s="13" t="n">
        <v>0.0404371584699454</v>
      </c>
      <c r="X114" s="15" t="n">
        <v>0.0635504201680672</v>
      </c>
      <c r="Y114" s="13" t="n">
        <v>-0.00928717084847941</v>
      </c>
      <c r="Z114" s="13" t="n">
        <v>-0.0219474835886214</v>
      </c>
      <c r="AA114" s="30" t="s">
        <v>96</v>
      </c>
      <c r="AB114" s="28" t="s">
        <v>94</v>
      </c>
      <c r="AC114" s="28" t="s">
        <v>101</v>
      </c>
      <c r="AD114" s="28" t="s">
        <v>107</v>
      </c>
      <c r="AE114" s="28" t="s">
        <v>112</v>
      </c>
      <c r="AF114" s="28" t="s">
        <v>119</v>
      </c>
      <c r="AG114" s="30" t="s">
        <v>122</v>
      </c>
    </row>
    <row r="115" customFormat="false" ht="15" hidden="false" customHeight="false" outlineLevel="0" collapsed="false">
      <c r="A115" s="10" t="n">
        <v>2024</v>
      </c>
      <c r="B115" s="28" t="s">
        <v>54</v>
      </c>
      <c r="C115" s="29" t="n">
        <v>45397</v>
      </c>
      <c r="D115" s="30" t="s">
        <v>125</v>
      </c>
      <c r="E115" s="28" t="s">
        <v>371</v>
      </c>
      <c r="F115" s="30" t="s">
        <v>372</v>
      </c>
      <c r="G115" s="31" t="n">
        <v>13914</v>
      </c>
      <c r="H115" s="31" t="n">
        <v>7</v>
      </c>
      <c r="I115" s="31" t="n">
        <v>97397</v>
      </c>
      <c r="J115" s="29" t="n">
        <v>45398</v>
      </c>
      <c r="K115" s="31" t="n">
        <v>13237</v>
      </c>
      <c r="L115" s="30" t="s">
        <v>32</v>
      </c>
      <c r="M115" s="10" t="n">
        <v>1</v>
      </c>
      <c r="N115" s="12" t="n">
        <v>-4935</v>
      </c>
      <c r="O115" s="13" t="n">
        <v>-0.0506722592156047</v>
      </c>
      <c r="P115" s="15" t="n">
        <v>0.00978158532115381</v>
      </c>
      <c r="Q115" s="13" t="n">
        <v>-0.0872436915602382</v>
      </c>
      <c r="R115" s="15" t="n">
        <v>0.151615575807788</v>
      </c>
      <c r="S115" s="32" t="n">
        <v>68387027000</v>
      </c>
      <c r="T115" s="15" t="n">
        <v>0.0808709175738724</v>
      </c>
      <c r="U115" s="32" t="n">
        <v>3840825507</v>
      </c>
      <c r="V115" s="14" t="n">
        <v>15.6253830972872</v>
      </c>
      <c r="W115" s="13" t="n">
        <v>0.0970797158642462</v>
      </c>
      <c r="X115" s="15" t="n">
        <v>0.0359712230215827</v>
      </c>
      <c r="Y115" s="13" t="n">
        <v>-0.00424711576466741</v>
      </c>
      <c r="Z115" s="13" t="n">
        <v>-0.0161299236241854</v>
      </c>
      <c r="AA115" s="30" t="s">
        <v>96</v>
      </c>
      <c r="AB115" s="28" t="s">
        <v>94</v>
      </c>
      <c r="AC115" s="28" t="s">
        <v>103</v>
      </c>
      <c r="AD115" s="28" t="s">
        <v>108</v>
      </c>
      <c r="AE115" s="28" t="s">
        <v>101</v>
      </c>
      <c r="AF115" s="28" t="s">
        <v>120</v>
      </c>
      <c r="AG115" s="30" t="s">
        <v>122</v>
      </c>
    </row>
    <row r="116" customFormat="false" ht="15" hidden="false" customHeight="false" outlineLevel="0" collapsed="false">
      <c r="A116" s="10" t="n">
        <v>2024</v>
      </c>
      <c r="B116" s="28" t="s">
        <v>54</v>
      </c>
      <c r="C116" s="29" t="n">
        <v>45397</v>
      </c>
      <c r="D116" s="30" t="s">
        <v>125</v>
      </c>
      <c r="E116" s="28" t="s">
        <v>373</v>
      </c>
      <c r="F116" s="30" t="s">
        <v>374</v>
      </c>
      <c r="G116" s="31" t="n">
        <v>43694</v>
      </c>
      <c r="H116" s="31" t="n">
        <v>2</v>
      </c>
      <c r="I116" s="31" t="n">
        <v>87387</v>
      </c>
      <c r="J116" s="29" t="n">
        <v>45398</v>
      </c>
      <c r="K116" s="31" t="n">
        <v>41558</v>
      </c>
      <c r="L116" s="30" t="s">
        <v>32</v>
      </c>
      <c r="M116" s="10" t="n">
        <v>1</v>
      </c>
      <c r="N116" s="12" t="n">
        <v>-4446</v>
      </c>
      <c r="O116" s="13" t="n">
        <v>-0.0508733632347033</v>
      </c>
      <c r="P116" s="15" t="n">
        <v>0.0401969164855764</v>
      </c>
      <c r="Q116" s="13" t="n">
        <v>-0.094834146380538</v>
      </c>
      <c r="R116" s="15" t="n">
        <v>0.0104166666666667</v>
      </c>
      <c r="S116" s="32" t="n">
        <v>32671457550</v>
      </c>
      <c r="T116" s="15" t="n">
        <v>0.00808314087759809</v>
      </c>
      <c r="U116" s="32" t="n">
        <v>22533730190</v>
      </c>
      <c r="V116" s="14" t="n">
        <v>1.34269462772898</v>
      </c>
      <c r="W116" s="13" t="n">
        <v>0.0246478873239437</v>
      </c>
      <c r="X116" s="15" t="n">
        <v>0.00343642611683848</v>
      </c>
      <c r="Y116" s="13" t="n">
        <v>-0.00424711576466741</v>
      </c>
      <c r="Z116" s="13" t="n">
        <v>-0.0161299236241854</v>
      </c>
      <c r="AA116" s="30" t="s">
        <v>96</v>
      </c>
      <c r="AB116" s="28" t="s">
        <v>94</v>
      </c>
      <c r="AC116" s="28" t="s">
        <v>99</v>
      </c>
      <c r="AD116" s="28" t="s">
        <v>107</v>
      </c>
      <c r="AE116" s="28" t="s">
        <v>112</v>
      </c>
      <c r="AF116" s="28" t="s">
        <v>116</v>
      </c>
      <c r="AG116" s="30" t="s">
        <v>122</v>
      </c>
    </row>
    <row r="117" customFormat="false" ht="15" hidden="false" customHeight="false" outlineLevel="0" collapsed="false">
      <c r="A117" s="10" t="n">
        <v>2024</v>
      </c>
      <c r="B117" s="28" t="s">
        <v>54</v>
      </c>
      <c r="C117" s="29" t="n">
        <v>45397</v>
      </c>
      <c r="D117" s="30" t="s">
        <v>125</v>
      </c>
      <c r="E117" s="28" t="s">
        <v>181</v>
      </c>
      <c r="F117" s="30" t="s">
        <v>182</v>
      </c>
      <c r="G117" s="31" t="n">
        <v>22923</v>
      </c>
      <c r="H117" s="31" t="n">
        <v>4</v>
      </c>
      <c r="I117" s="31" t="n">
        <v>91692</v>
      </c>
      <c r="J117" s="29" t="n">
        <v>45398</v>
      </c>
      <c r="K117" s="31" t="n">
        <v>21778</v>
      </c>
      <c r="L117" s="30" t="s">
        <v>32</v>
      </c>
      <c r="M117" s="10" t="n">
        <v>1</v>
      </c>
      <c r="N117" s="12" t="n">
        <v>-4762</v>
      </c>
      <c r="O117" s="13" t="n">
        <v>-0.0519395855236467</v>
      </c>
      <c r="P117" s="15" t="n">
        <v>-0.000999000999000854</v>
      </c>
      <c r="Q117" s="13" t="n">
        <v>-0.0707981974357519</v>
      </c>
      <c r="R117" s="15" t="n">
        <v>0.0700934579439252</v>
      </c>
      <c r="S117" s="32" t="n">
        <v>27073822700</v>
      </c>
      <c r="T117" s="15" t="n">
        <v>0.0651162790697675</v>
      </c>
      <c r="U117" s="32" t="n">
        <v>10622715816.5</v>
      </c>
      <c r="V117" s="14" t="n">
        <v>2.16555145122407</v>
      </c>
      <c r="W117" s="13" t="n">
        <v>0.08274231678487</v>
      </c>
      <c r="X117" s="15" t="n">
        <v>0.0152838427947599</v>
      </c>
      <c r="Y117" s="13" t="n">
        <v>-0.00424711576466741</v>
      </c>
      <c r="Z117" s="13" t="n">
        <v>-0.0161299236241854</v>
      </c>
      <c r="AA117" s="30" t="s">
        <v>96</v>
      </c>
      <c r="AB117" s="28" t="s">
        <v>94</v>
      </c>
      <c r="AC117" s="28" t="s">
        <v>101</v>
      </c>
      <c r="AD117" s="28" t="s">
        <v>106</v>
      </c>
      <c r="AE117" s="28" t="s">
        <v>101</v>
      </c>
      <c r="AF117" s="28" t="s">
        <v>117</v>
      </c>
      <c r="AG117" s="30" t="s">
        <v>122</v>
      </c>
    </row>
    <row r="118" customFormat="false" ht="15" hidden="false" customHeight="false" outlineLevel="0" collapsed="false">
      <c r="A118" s="10" t="n">
        <v>2024</v>
      </c>
      <c r="B118" s="28" t="s">
        <v>54</v>
      </c>
      <c r="C118" s="29" t="n">
        <v>45398</v>
      </c>
      <c r="D118" s="30" t="s">
        <v>126</v>
      </c>
      <c r="E118" s="28" t="s">
        <v>375</v>
      </c>
      <c r="F118" s="30" t="s">
        <v>376</v>
      </c>
      <c r="G118" s="31" t="n">
        <v>14785</v>
      </c>
      <c r="H118" s="31" t="n">
        <v>6</v>
      </c>
      <c r="I118" s="31" t="n">
        <v>88709</v>
      </c>
      <c r="J118" s="29" t="n">
        <v>45414</v>
      </c>
      <c r="K118" s="31" t="n">
        <v>14066</v>
      </c>
      <c r="L118" s="30" t="s">
        <v>32</v>
      </c>
      <c r="M118" s="10" t="n">
        <v>11</v>
      </c>
      <c r="N118" s="12" t="n">
        <v>-4491</v>
      </c>
      <c r="O118" s="13" t="n">
        <v>-0.0506261686519302</v>
      </c>
      <c r="P118" s="15" t="n">
        <v>0.143068170827142</v>
      </c>
      <c r="Q118" s="13" t="n">
        <v>-0.0672834274730009</v>
      </c>
      <c r="R118" s="15" t="n">
        <v>0.173153296266879</v>
      </c>
      <c r="S118" s="32" t="n">
        <v>595049417620</v>
      </c>
      <c r="T118" s="15" t="n">
        <v>0.145849495733126</v>
      </c>
      <c r="U118" s="32" t="n">
        <v>36292565048</v>
      </c>
      <c r="V118" s="14" t="n">
        <v>13.9832777339997</v>
      </c>
      <c r="W118" s="13" t="n">
        <v>0.127480916030534</v>
      </c>
      <c r="X118" s="15" t="n">
        <v>0.0494245091401488</v>
      </c>
      <c r="Y118" s="13" t="n">
        <v>-0.0227678688450923</v>
      </c>
      <c r="Z118" s="13" t="n">
        <v>-0.0397475760307618</v>
      </c>
      <c r="AA118" s="30" t="s">
        <v>96</v>
      </c>
      <c r="AB118" s="28" t="s">
        <v>94</v>
      </c>
      <c r="AC118" s="28" t="s">
        <v>103</v>
      </c>
      <c r="AD118" s="28" t="s">
        <v>110</v>
      </c>
      <c r="AE118" s="28" t="s">
        <v>114</v>
      </c>
      <c r="AF118" s="28" t="s">
        <v>120</v>
      </c>
      <c r="AG118" s="30" t="s">
        <v>122</v>
      </c>
    </row>
    <row r="119" customFormat="false" ht="15" hidden="false" customHeight="false" outlineLevel="0" collapsed="false">
      <c r="A119" s="10" t="n">
        <v>2024</v>
      </c>
      <c r="B119" s="28" t="s">
        <v>54</v>
      </c>
      <c r="C119" s="29" t="n">
        <v>45398</v>
      </c>
      <c r="D119" s="30" t="s">
        <v>126</v>
      </c>
      <c r="E119" s="28" t="s">
        <v>377</v>
      </c>
      <c r="F119" s="30" t="s">
        <v>378</v>
      </c>
      <c r="G119" s="31" t="n">
        <v>5255</v>
      </c>
      <c r="H119" s="31" t="n">
        <v>18</v>
      </c>
      <c r="I119" s="31" t="n">
        <v>94594</v>
      </c>
      <c r="J119" s="29" t="n">
        <v>45399</v>
      </c>
      <c r="K119" s="31" t="n">
        <v>4995</v>
      </c>
      <c r="L119" s="30" t="s">
        <v>32</v>
      </c>
      <c r="M119" s="10" t="n">
        <v>1</v>
      </c>
      <c r="N119" s="12" t="n">
        <v>-4874</v>
      </c>
      <c r="O119" s="13" t="n">
        <v>-0.0515253389467675</v>
      </c>
      <c r="P119" s="15" t="n">
        <v>-0.0105132962275818</v>
      </c>
      <c r="Q119" s="13" t="n">
        <v>-0.0542790542790541</v>
      </c>
      <c r="R119" s="15" t="n">
        <v>0.05</v>
      </c>
      <c r="S119" s="32" t="n">
        <v>85921521000</v>
      </c>
      <c r="T119" s="15" t="n">
        <v>0.025390625</v>
      </c>
      <c r="U119" s="32" t="n">
        <v>7762123075</v>
      </c>
      <c r="V119" s="14" t="n">
        <v>10.541611723537</v>
      </c>
      <c r="W119" s="13" t="n">
        <v>0.0396039603960396</v>
      </c>
      <c r="X119" s="15" t="n">
        <v>0.0647619047619048</v>
      </c>
      <c r="Y119" s="13" t="n">
        <v>-0.0227678688450923</v>
      </c>
      <c r="Z119" s="13" t="n">
        <v>-0.0397475760307618</v>
      </c>
      <c r="AA119" s="30" t="s">
        <v>96</v>
      </c>
      <c r="AB119" s="28" t="s">
        <v>94</v>
      </c>
      <c r="AC119" s="28" t="s">
        <v>101</v>
      </c>
      <c r="AD119" s="28" t="s">
        <v>108</v>
      </c>
      <c r="AE119" s="28" t="s">
        <v>113</v>
      </c>
      <c r="AF119" s="28" t="s">
        <v>120</v>
      </c>
      <c r="AG119" s="30" t="s">
        <v>122</v>
      </c>
    </row>
    <row r="120" customFormat="false" ht="15" hidden="false" customHeight="false" outlineLevel="0" collapsed="false">
      <c r="A120" s="10" t="n">
        <v>2024</v>
      </c>
      <c r="B120" s="28" t="s">
        <v>54</v>
      </c>
      <c r="C120" s="29" t="n">
        <v>45398</v>
      </c>
      <c r="D120" s="30" t="s">
        <v>126</v>
      </c>
      <c r="E120" s="28" t="s">
        <v>379</v>
      </c>
      <c r="F120" s="30" t="s">
        <v>380</v>
      </c>
      <c r="G120" s="31" t="n">
        <v>26176</v>
      </c>
      <c r="H120" s="31" t="n">
        <v>3</v>
      </c>
      <c r="I120" s="31" t="n">
        <v>78528</v>
      </c>
      <c r="J120" s="29" t="n">
        <v>45399</v>
      </c>
      <c r="K120" s="31" t="n">
        <v>24875</v>
      </c>
      <c r="L120" s="30" t="s">
        <v>32</v>
      </c>
      <c r="M120" s="10" t="n">
        <v>1</v>
      </c>
      <c r="N120" s="12" t="n">
        <v>-4060</v>
      </c>
      <c r="O120" s="13" t="n">
        <v>-0.0517067203351145</v>
      </c>
      <c r="P120" s="15" t="n">
        <v>0.00855167776773902</v>
      </c>
      <c r="Q120" s="13" t="n">
        <v>-0.0525726663393966</v>
      </c>
      <c r="R120" s="15" t="n">
        <v>0.0135658914728682</v>
      </c>
      <c r="S120" s="32" t="n">
        <v>39941379250</v>
      </c>
      <c r="T120" s="15" t="n">
        <v>0.00191570881226055</v>
      </c>
      <c r="U120" s="32" t="n">
        <v>32690114802.5</v>
      </c>
      <c r="V120" s="14" t="n">
        <v>1.17941151851931</v>
      </c>
      <c r="W120" s="13" t="n">
        <v>0.0135658914728682</v>
      </c>
      <c r="X120" s="15" t="n">
        <v>0.0133843212237095</v>
      </c>
      <c r="Y120" s="13" t="n">
        <v>-0.0227678688450923</v>
      </c>
      <c r="Z120" s="13" t="n">
        <v>-0.0397475760307618</v>
      </c>
      <c r="AA120" s="30" t="s">
        <v>96</v>
      </c>
      <c r="AB120" s="28" t="s">
        <v>94</v>
      </c>
      <c r="AC120" s="28" t="s">
        <v>99</v>
      </c>
      <c r="AD120" s="28" t="s">
        <v>107</v>
      </c>
      <c r="AE120" s="28" t="s">
        <v>112</v>
      </c>
      <c r="AF120" s="28" t="s">
        <v>116</v>
      </c>
      <c r="AG120" s="30" t="s">
        <v>122</v>
      </c>
    </row>
    <row r="121" customFormat="false" ht="15" hidden="false" customHeight="false" outlineLevel="0" collapsed="false">
      <c r="A121" s="10" t="n">
        <v>2024</v>
      </c>
      <c r="B121" s="28" t="s">
        <v>54</v>
      </c>
      <c r="C121" s="29" t="n">
        <v>45399</v>
      </c>
      <c r="D121" s="30" t="s">
        <v>127</v>
      </c>
      <c r="E121" s="28" t="s">
        <v>381</v>
      </c>
      <c r="F121" s="30" t="s">
        <v>382</v>
      </c>
      <c r="G121" s="31" t="n">
        <v>20771</v>
      </c>
      <c r="H121" s="31" t="n">
        <v>4</v>
      </c>
      <c r="I121" s="31" t="n">
        <v>83083</v>
      </c>
      <c r="J121" s="29" t="n">
        <v>45401</v>
      </c>
      <c r="K121" s="31" t="n">
        <v>19770</v>
      </c>
      <c r="L121" s="30" t="s">
        <v>32</v>
      </c>
      <c r="M121" s="10" t="n">
        <v>2</v>
      </c>
      <c r="N121" s="12" t="n">
        <v>-4169</v>
      </c>
      <c r="O121" s="13" t="n">
        <v>-0.0501766918382822</v>
      </c>
      <c r="P121" s="15" t="n">
        <v>0.0351094688444087</v>
      </c>
      <c r="Q121" s="13" t="n">
        <v>-0.104509947883442</v>
      </c>
      <c r="R121" s="15" t="n">
        <v>0.136363636363637</v>
      </c>
      <c r="S121" s="32" t="n">
        <v>83297451250</v>
      </c>
      <c r="T121" s="15" t="n">
        <v>0.0323383084577114</v>
      </c>
      <c r="U121" s="32" t="n">
        <v>27232199101.5</v>
      </c>
      <c r="V121" s="14" t="n">
        <v>2.65267509440776</v>
      </c>
      <c r="W121" s="13" t="n">
        <v>0.114393125671321</v>
      </c>
      <c r="X121" s="15" t="n">
        <v>0.036144578313253</v>
      </c>
      <c r="Y121" s="13" t="n">
        <v>-0.00975234037009087</v>
      </c>
      <c r="Z121" s="13" t="n">
        <v>-0.0447219388132311</v>
      </c>
      <c r="AA121" s="30" t="s">
        <v>96</v>
      </c>
      <c r="AB121" s="28" t="s">
        <v>94</v>
      </c>
      <c r="AC121" s="28" t="s">
        <v>102</v>
      </c>
      <c r="AD121" s="28" t="s">
        <v>108</v>
      </c>
      <c r="AE121" s="28" t="s">
        <v>113</v>
      </c>
      <c r="AF121" s="28" t="s">
        <v>117</v>
      </c>
      <c r="AG121" s="30" t="s">
        <v>122</v>
      </c>
    </row>
    <row r="122" customFormat="false" ht="15" hidden="false" customHeight="false" outlineLevel="0" collapsed="false">
      <c r="A122" s="10" t="n">
        <v>2024</v>
      </c>
      <c r="B122" s="28" t="s">
        <v>54</v>
      </c>
      <c r="C122" s="29" t="n">
        <v>45400</v>
      </c>
      <c r="D122" s="30" t="s">
        <v>128</v>
      </c>
      <c r="E122" s="28" t="s">
        <v>265</v>
      </c>
      <c r="F122" s="30" t="s">
        <v>266</v>
      </c>
      <c r="G122" s="31" t="n">
        <v>42042</v>
      </c>
      <c r="H122" s="31" t="n">
        <v>2</v>
      </c>
      <c r="I122" s="31" t="n">
        <v>84084</v>
      </c>
      <c r="J122" s="29" t="n">
        <v>45401</v>
      </c>
      <c r="K122" s="31" t="n">
        <v>40010</v>
      </c>
      <c r="L122" s="30" t="s">
        <v>32</v>
      </c>
      <c r="M122" s="10" t="n">
        <v>1</v>
      </c>
      <c r="N122" s="12" t="n">
        <v>-4233</v>
      </c>
      <c r="O122" s="13" t="n">
        <v>-0.050339558120451</v>
      </c>
      <c r="P122" s="15" t="n">
        <v>-0.0200275914561627</v>
      </c>
      <c r="Q122" s="13" t="n">
        <v>-0.147281290138433</v>
      </c>
      <c r="R122" s="15" t="n">
        <v>0.158620689655173</v>
      </c>
      <c r="S122" s="32" t="n">
        <v>168005628000</v>
      </c>
      <c r="T122" s="15" t="n">
        <v>0.142857142857143</v>
      </c>
      <c r="U122" s="32" t="n">
        <v>19116556640</v>
      </c>
      <c r="V122" s="14" t="n">
        <v>7.3988728194865</v>
      </c>
      <c r="W122" s="13" t="n">
        <v>0.163434903047091</v>
      </c>
      <c r="X122" s="15" t="n">
        <v>0.0142857142857142</v>
      </c>
      <c r="Y122" s="13" t="n">
        <v>0.0195497217686074</v>
      </c>
      <c r="Z122" s="13" t="n">
        <v>-0.0266941513727577</v>
      </c>
      <c r="AA122" s="30" t="s">
        <v>96</v>
      </c>
      <c r="AB122" s="28" t="s">
        <v>94</v>
      </c>
      <c r="AC122" s="28" t="s">
        <v>103</v>
      </c>
      <c r="AD122" s="28" t="s">
        <v>109</v>
      </c>
      <c r="AE122" s="28" t="s">
        <v>114</v>
      </c>
      <c r="AF122" s="28" t="s">
        <v>119</v>
      </c>
      <c r="AG122" s="30" t="s">
        <v>122</v>
      </c>
    </row>
    <row r="123" customFormat="false" ht="15" hidden="false" customHeight="false" outlineLevel="0" collapsed="false">
      <c r="A123" s="10" t="n">
        <v>2024</v>
      </c>
      <c r="B123" s="28" t="s">
        <v>54</v>
      </c>
      <c r="C123" s="29" t="n">
        <v>45400</v>
      </c>
      <c r="D123" s="30" t="s">
        <v>128</v>
      </c>
      <c r="E123" s="28" t="s">
        <v>383</v>
      </c>
      <c r="F123" s="30" t="s">
        <v>384</v>
      </c>
      <c r="G123" s="31" t="n">
        <v>42993</v>
      </c>
      <c r="H123" s="31" t="n">
        <v>2</v>
      </c>
      <c r="I123" s="31" t="n">
        <v>85986</v>
      </c>
      <c r="J123" s="29" t="n">
        <v>45401</v>
      </c>
      <c r="K123" s="31" t="n">
        <v>40909</v>
      </c>
      <c r="L123" s="30" t="s">
        <v>32</v>
      </c>
      <c r="M123" s="10" t="n">
        <v>1</v>
      </c>
      <c r="N123" s="12" t="n">
        <v>-4340</v>
      </c>
      <c r="O123" s="13" t="n">
        <v>-0.050476219705789</v>
      </c>
      <c r="P123" s="15" t="n">
        <v>-0.00565092648911036</v>
      </c>
      <c r="Q123" s="13" t="n">
        <v>-0.0998524176638262</v>
      </c>
      <c r="R123" s="15" t="n">
        <v>0.0956632653061225</v>
      </c>
      <c r="S123" s="32" t="n">
        <v>34208214700</v>
      </c>
      <c r="T123" s="15" t="n">
        <v>0.0105882352941176</v>
      </c>
      <c r="U123" s="32" t="n">
        <v>17749332470</v>
      </c>
      <c r="V123" s="14" t="n">
        <v>1.78991762544088</v>
      </c>
      <c r="W123" s="13" t="n">
        <v>0.0998719590268886</v>
      </c>
      <c r="X123" s="15" t="n">
        <v>0.0419091967403957</v>
      </c>
      <c r="Y123" s="13" t="n">
        <v>0.0195497217686074</v>
      </c>
      <c r="Z123" s="13" t="n">
        <v>-0.0266941513727577</v>
      </c>
      <c r="AA123" s="30" t="s">
        <v>96</v>
      </c>
      <c r="AB123" s="28" t="s">
        <v>94</v>
      </c>
      <c r="AC123" s="28" t="s">
        <v>101</v>
      </c>
      <c r="AD123" s="28" t="s">
        <v>107</v>
      </c>
      <c r="AE123" s="28" t="s">
        <v>112</v>
      </c>
      <c r="AF123" s="28" t="s">
        <v>116</v>
      </c>
      <c r="AG123" s="30" t="s">
        <v>122</v>
      </c>
    </row>
    <row r="124" customFormat="false" ht="15" hidden="false" customHeight="false" outlineLevel="0" collapsed="false">
      <c r="A124" s="10" t="n">
        <v>2024</v>
      </c>
      <c r="B124" s="28" t="s">
        <v>54</v>
      </c>
      <c r="C124" s="29" t="n">
        <v>45404</v>
      </c>
      <c r="D124" s="30" t="s">
        <v>125</v>
      </c>
      <c r="E124" s="28" t="s">
        <v>385</v>
      </c>
      <c r="F124" s="28" t="s">
        <v>386</v>
      </c>
      <c r="G124" s="31" t="n">
        <v>16136</v>
      </c>
      <c r="H124" s="31" t="n">
        <v>6</v>
      </c>
      <c r="I124" s="31" t="n">
        <v>96817</v>
      </c>
      <c r="J124" s="29" t="n">
        <v>45405</v>
      </c>
      <c r="K124" s="31" t="n">
        <v>15355</v>
      </c>
      <c r="L124" s="30" t="s">
        <v>32</v>
      </c>
      <c r="M124" s="10" t="n">
        <v>1</v>
      </c>
      <c r="N124" s="12" t="n">
        <v>-4883</v>
      </c>
      <c r="O124" s="13" t="n">
        <v>-0.0504366567985365</v>
      </c>
      <c r="P124" s="15" t="n">
        <v>-0.000999000999000965</v>
      </c>
      <c r="Q124" s="13" t="n">
        <v>-0.0759860486907633</v>
      </c>
      <c r="R124" s="15" t="n">
        <v>0.04</v>
      </c>
      <c r="S124" s="32" t="n">
        <v>64247549600</v>
      </c>
      <c r="T124" s="15" t="n">
        <v>0.0106583072100313</v>
      </c>
      <c r="U124" s="32" t="n">
        <v>29513391386</v>
      </c>
      <c r="V124" s="14" t="n">
        <v>2.09027033174528</v>
      </c>
      <c r="W124" s="13" t="n">
        <v>0.0300319488817891</v>
      </c>
      <c r="X124" s="15" t="n">
        <v>0.00372208436724564</v>
      </c>
      <c r="Y124" s="13" t="n">
        <v>0.0144992399280826</v>
      </c>
      <c r="Z124" s="13" t="n">
        <v>-0.0153495878940844</v>
      </c>
      <c r="AA124" s="30" t="s">
        <v>96</v>
      </c>
      <c r="AB124" s="28" t="s">
        <v>94</v>
      </c>
      <c r="AC124" s="28" t="s">
        <v>100</v>
      </c>
      <c r="AD124" s="28" t="s">
        <v>108</v>
      </c>
      <c r="AE124" s="28" t="s">
        <v>112</v>
      </c>
      <c r="AF124" s="28" t="s">
        <v>117</v>
      </c>
      <c r="AG124" s="30" t="s">
        <v>122</v>
      </c>
    </row>
    <row r="125" customFormat="false" ht="15" hidden="false" customHeight="false" outlineLevel="0" collapsed="false">
      <c r="A125" s="10" t="n">
        <v>2024</v>
      </c>
      <c r="B125" s="28" t="s">
        <v>54</v>
      </c>
      <c r="C125" s="29" t="n">
        <v>45404</v>
      </c>
      <c r="D125" s="30" t="s">
        <v>125</v>
      </c>
      <c r="E125" s="28" t="s">
        <v>387</v>
      </c>
      <c r="F125" s="30" t="s">
        <v>388</v>
      </c>
      <c r="G125" s="31" t="n">
        <v>11562</v>
      </c>
      <c r="H125" s="31" t="n">
        <v>8</v>
      </c>
      <c r="I125" s="31" t="n">
        <v>92492</v>
      </c>
      <c r="J125" s="29" t="n">
        <v>45407</v>
      </c>
      <c r="K125" s="31" t="n">
        <v>10979</v>
      </c>
      <c r="L125" s="30" t="s">
        <v>32</v>
      </c>
      <c r="M125" s="10" t="n">
        <v>3</v>
      </c>
      <c r="N125" s="12" t="n">
        <v>-4845</v>
      </c>
      <c r="O125" s="13" t="n">
        <v>-0.0523877250022704</v>
      </c>
      <c r="P125" s="15" t="n">
        <v>0.0154347816685481</v>
      </c>
      <c r="Q125" s="13" t="n">
        <v>-0.0563549005107447</v>
      </c>
      <c r="R125" s="15" t="n">
        <v>0.120271580989331</v>
      </c>
      <c r="S125" s="32" t="n">
        <v>58428781950</v>
      </c>
      <c r="T125" s="15" t="n">
        <v>0.0885956644674835</v>
      </c>
      <c r="U125" s="32" t="n">
        <v>3308161836</v>
      </c>
      <c r="V125" s="14" t="n">
        <v>15.6502917355014</v>
      </c>
      <c r="W125" s="13" t="n">
        <v>0.101048617731173</v>
      </c>
      <c r="X125" s="15" t="n">
        <v>0.07012987012987</v>
      </c>
      <c r="Y125" s="13" t="n">
        <v>0.0144992399280826</v>
      </c>
      <c r="Z125" s="13" t="n">
        <v>-0.0153495878940844</v>
      </c>
      <c r="AA125" s="30" t="s">
        <v>96</v>
      </c>
      <c r="AB125" s="28" t="s">
        <v>94</v>
      </c>
      <c r="AC125" s="28" t="s">
        <v>102</v>
      </c>
      <c r="AD125" s="28" t="s">
        <v>108</v>
      </c>
      <c r="AE125" s="28" t="s">
        <v>101</v>
      </c>
      <c r="AF125" s="28" t="s">
        <v>120</v>
      </c>
      <c r="AG125" s="30" t="s">
        <v>122</v>
      </c>
    </row>
    <row r="126" customFormat="false" ht="15" hidden="false" customHeight="false" outlineLevel="0" collapsed="false">
      <c r="A126" s="10" t="n">
        <v>2024</v>
      </c>
      <c r="B126" s="28" t="s">
        <v>54</v>
      </c>
      <c r="C126" s="29" t="n">
        <v>45404</v>
      </c>
      <c r="D126" s="30" t="s">
        <v>125</v>
      </c>
      <c r="E126" s="28" t="s">
        <v>281</v>
      </c>
      <c r="F126" s="30" t="s">
        <v>282</v>
      </c>
      <c r="G126" s="31" t="n">
        <v>15525</v>
      </c>
      <c r="H126" s="31" t="n">
        <v>6</v>
      </c>
      <c r="I126" s="31" t="n">
        <v>93148</v>
      </c>
      <c r="J126" s="29" t="n">
        <v>45406</v>
      </c>
      <c r="K126" s="31" t="n">
        <v>14775</v>
      </c>
      <c r="L126" s="30" t="s">
        <v>32</v>
      </c>
      <c r="M126" s="10" t="n">
        <v>2</v>
      </c>
      <c r="N126" s="12" t="n">
        <v>-4684</v>
      </c>
      <c r="O126" s="13" t="n">
        <v>-0.0502849515284494</v>
      </c>
      <c r="P126" s="15" t="n">
        <v>0.057007508620412</v>
      </c>
      <c r="Q126" s="13" t="n">
        <v>-0.0606168025522863</v>
      </c>
      <c r="R126" s="15" t="n">
        <v>0.0231023102310231</v>
      </c>
      <c r="S126" s="32" t="n">
        <v>42201323000</v>
      </c>
      <c r="T126" s="15" t="n">
        <v>0.0130718954248366</v>
      </c>
      <c r="U126" s="32" t="n">
        <v>18063305560</v>
      </c>
      <c r="V126" s="14" t="n">
        <v>2.18869280504579</v>
      </c>
      <c r="W126" s="13" t="n">
        <v>0.0264900662251655</v>
      </c>
      <c r="X126" s="15" t="n">
        <v>0.014516129032258</v>
      </c>
      <c r="Y126" s="13" t="n">
        <v>0.0144992399280826</v>
      </c>
      <c r="Z126" s="13" t="n">
        <v>-0.0153495878940844</v>
      </c>
      <c r="AA126" s="30" t="s">
        <v>96</v>
      </c>
      <c r="AB126" s="28" t="s">
        <v>94</v>
      </c>
      <c r="AC126" s="28" t="s">
        <v>99</v>
      </c>
      <c r="AD126" s="28" t="s">
        <v>107</v>
      </c>
      <c r="AE126" s="28" t="s">
        <v>112</v>
      </c>
      <c r="AF126" s="28" t="s">
        <v>117</v>
      </c>
      <c r="AG126" s="30" t="s">
        <v>122</v>
      </c>
    </row>
    <row r="127" customFormat="false" ht="15" hidden="false" customHeight="false" outlineLevel="0" collapsed="false">
      <c r="A127" s="10" t="n">
        <v>2024</v>
      </c>
      <c r="B127" s="28" t="s">
        <v>54</v>
      </c>
      <c r="C127" s="29" t="n">
        <v>45405</v>
      </c>
      <c r="D127" s="30" t="s">
        <v>126</v>
      </c>
      <c r="E127" s="28" t="s">
        <v>389</v>
      </c>
      <c r="F127" s="30" t="s">
        <v>390</v>
      </c>
      <c r="G127" s="31" t="n">
        <v>24825</v>
      </c>
      <c r="H127" s="31" t="n">
        <v>4</v>
      </c>
      <c r="I127" s="31" t="n">
        <v>99299</v>
      </c>
      <c r="J127" s="29" t="n">
        <v>45411</v>
      </c>
      <c r="K127" s="31" t="n">
        <v>23626</v>
      </c>
      <c r="L127" s="30" t="s">
        <v>32</v>
      </c>
      <c r="M127" s="10" t="n">
        <v>4</v>
      </c>
      <c r="N127" s="12" t="n">
        <v>-4993</v>
      </c>
      <c r="O127" s="13" t="n">
        <v>-0.0502821816288549</v>
      </c>
      <c r="P127" s="15" t="n">
        <v>0.0412974122651544</v>
      </c>
      <c r="Q127" s="13" t="n">
        <v>-0.0493377590151782</v>
      </c>
      <c r="R127" s="15" t="n">
        <v>0.119638826185102</v>
      </c>
      <c r="S127" s="32" t="n">
        <v>238310788800</v>
      </c>
      <c r="T127" s="15" t="n">
        <v>0.112107623318386</v>
      </c>
      <c r="U127" s="32" t="n">
        <v>13840145392.5</v>
      </c>
      <c r="V127" s="14" t="n">
        <v>14.8443031413262</v>
      </c>
      <c r="W127" s="13" t="n">
        <v>0.0666666666666667</v>
      </c>
      <c r="X127" s="15" t="n">
        <v>0.0141129032258065</v>
      </c>
      <c r="Y127" s="13" t="n">
        <v>-0.00244158451989784</v>
      </c>
      <c r="Z127" s="13" t="n">
        <v>0.00513099558174912</v>
      </c>
      <c r="AA127" s="30" t="s">
        <v>96</v>
      </c>
      <c r="AB127" s="28" t="s">
        <v>93</v>
      </c>
      <c r="AC127" s="28" t="s">
        <v>102</v>
      </c>
      <c r="AD127" s="28" t="s">
        <v>110</v>
      </c>
      <c r="AE127" s="28" t="s">
        <v>114</v>
      </c>
      <c r="AF127" s="28" t="s">
        <v>120</v>
      </c>
      <c r="AG127" s="30" t="s">
        <v>122</v>
      </c>
    </row>
    <row r="128" customFormat="false" ht="15" hidden="false" customHeight="false" outlineLevel="0" collapsed="false">
      <c r="A128" s="10" t="n">
        <v>2024</v>
      </c>
      <c r="B128" s="28" t="s">
        <v>54</v>
      </c>
      <c r="C128" s="29" t="n">
        <v>45405</v>
      </c>
      <c r="D128" s="30" t="s">
        <v>126</v>
      </c>
      <c r="E128" s="28" t="s">
        <v>391</v>
      </c>
      <c r="F128" s="28" t="s">
        <v>392</v>
      </c>
      <c r="G128" s="31" t="n">
        <v>8278</v>
      </c>
      <c r="H128" s="31" t="n">
        <v>12</v>
      </c>
      <c r="I128" s="31" t="n">
        <v>99339</v>
      </c>
      <c r="J128" s="29" t="n">
        <v>45524</v>
      </c>
      <c r="K128" s="31" t="n">
        <v>9940</v>
      </c>
      <c r="L128" s="30" t="s">
        <v>31</v>
      </c>
      <c r="M128" s="10" t="n">
        <v>80</v>
      </c>
      <c r="N128" s="12" t="n">
        <v>19693</v>
      </c>
      <c r="O128" s="13" t="n">
        <v>0.198242538537641</v>
      </c>
      <c r="P128" s="15" t="n">
        <v>0.20073396977871</v>
      </c>
      <c r="Q128" s="13" t="n">
        <v>-0.0408624024101653</v>
      </c>
      <c r="R128" s="15" t="n">
        <v>0.0286069651741294</v>
      </c>
      <c r="S128" s="32" t="n">
        <v>24174392610</v>
      </c>
      <c r="T128" s="15" t="n">
        <v>0.00730816077953711</v>
      </c>
      <c r="U128" s="32" t="n">
        <v>6284528194.5</v>
      </c>
      <c r="V128" s="14" t="n">
        <v>3.64031850917383</v>
      </c>
      <c r="W128" s="13" t="n">
        <v>0.0260545905707197</v>
      </c>
      <c r="X128" s="15" t="n">
        <v>0.0145102781136639</v>
      </c>
      <c r="Y128" s="13" t="n">
        <v>-0.00244158451989784</v>
      </c>
      <c r="Z128" s="13" t="n">
        <v>0.00513099558174912</v>
      </c>
      <c r="AA128" s="30" t="s">
        <v>96</v>
      </c>
      <c r="AB128" s="28" t="s">
        <v>93</v>
      </c>
      <c r="AC128" s="28" t="s">
        <v>99</v>
      </c>
      <c r="AD128" s="28" t="s">
        <v>106</v>
      </c>
      <c r="AE128" s="28" t="s">
        <v>112</v>
      </c>
      <c r="AF128" s="28" t="s">
        <v>118</v>
      </c>
      <c r="AG128" s="30" t="s">
        <v>122</v>
      </c>
    </row>
    <row r="129" customFormat="false" ht="15" hidden="false" customHeight="false" outlineLevel="0" collapsed="false">
      <c r="A129" s="10" t="n">
        <v>2024</v>
      </c>
      <c r="B129" s="28" t="s">
        <v>54</v>
      </c>
      <c r="C129" s="29" t="n">
        <v>45405</v>
      </c>
      <c r="D129" s="30" t="s">
        <v>126</v>
      </c>
      <c r="E129" s="28" t="s">
        <v>393</v>
      </c>
      <c r="F129" s="28" t="s">
        <v>394</v>
      </c>
      <c r="G129" s="31" t="n">
        <v>40240</v>
      </c>
      <c r="H129" s="31" t="n">
        <v>2</v>
      </c>
      <c r="I129" s="31" t="n">
        <v>80480</v>
      </c>
      <c r="J129" s="29" t="n">
        <v>45407</v>
      </c>
      <c r="K129" s="31" t="n">
        <v>38262</v>
      </c>
      <c r="L129" s="30" t="s">
        <v>32</v>
      </c>
      <c r="M129" s="10" t="n">
        <v>2</v>
      </c>
      <c r="N129" s="12" t="n">
        <v>-4118</v>
      </c>
      <c r="O129" s="13" t="n">
        <v>-0.0511713745210014</v>
      </c>
      <c r="P129" s="15" t="n">
        <v>0.00645623033682741</v>
      </c>
      <c r="Q129" s="13" t="n">
        <v>-0.0556706974617421</v>
      </c>
      <c r="R129" s="15" t="n">
        <v>0.0634920634920635</v>
      </c>
      <c r="S129" s="32" t="n">
        <v>20396676000</v>
      </c>
      <c r="T129" s="15" t="n">
        <v>0.0551181102362204</v>
      </c>
      <c r="U129" s="32" t="n">
        <v>4403484162.5</v>
      </c>
      <c r="V129" s="14" t="n">
        <v>4.24753365030638</v>
      </c>
      <c r="W129" s="13" t="n">
        <v>0.0634920634920635</v>
      </c>
      <c r="X129" s="15" t="n">
        <v>0.00248756218905477</v>
      </c>
      <c r="Y129" s="13" t="n">
        <v>-0.00244158451989784</v>
      </c>
      <c r="Z129" s="13" t="n">
        <v>0.00513099558174912</v>
      </c>
      <c r="AA129" s="30" t="s">
        <v>96</v>
      </c>
      <c r="AB129" s="28" t="s">
        <v>93</v>
      </c>
      <c r="AC129" s="28" t="s">
        <v>101</v>
      </c>
      <c r="AD129" s="28" t="s">
        <v>106</v>
      </c>
      <c r="AE129" s="28" t="s">
        <v>101</v>
      </c>
      <c r="AF129" s="28" t="s">
        <v>118</v>
      </c>
      <c r="AG129" s="30" t="s">
        <v>122</v>
      </c>
    </row>
    <row r="130" customFormat="false" ht="15" hidden="false" customHeight="false" outlineLevel="0" collapsed="false">
      <c r="A130" s="10" t="n">
        <v>2024</v>
      </c>
      <c r="B130" s="28" t="s">
        <v>54</v>
      </c>
      <c r="C130" s="29" t="n">
        <v>45406</v>
      </c>
      <c r="D130" s="30" t="s">
        <v>127</v>
      </c>
      <c r="E130" s="28" t="s">
        <v>395</v>
      </c>
      <c r="F130" s="30" t="s">
        <v>396</v>
      </c>
      <c r="G130" s="31" t="n">
        <v>7357</v>
      </c>
      <c r="H130" s="31" t="n">
        <v>13</v>
      </c>
      <c r="I130" s="31" t="n">
        <v>95646</v>
      </c>
      <c r="J130" s="29" t="n">
        <v>45425</v>
      </c>
      <c r="K130" s="31" t="n">
        <v>7003</v>
      </c>
      <c r="L130" s="30" t="s">
        <v>32</v>
      </c>
      <c r="M130" s="10" t="n">
        <v>11</v>
      </c>
      <c r="N130" s="12" t="n">
        <v>-4799</v>
      </c>
      <c r="O130" s="13" t="n">
        <v>-0.0501701608595488</v>
      </c>
      <c r="P130" s="15" t="n">
        <v>0.133560317233787</v>
      </c>
      <c r="Q130" s="13" t="n">
        <v>-0.0825501029582662</v>
      </c>
      <c r="R130" s="15" t="n">
        <v>0.141304347826087</v>
      </c>
      <c r="S130" s="32" t="n">
        <v>44667934500</v>
      </c>
      <c r="T130" s="15" t="n">
        <v>0.0123966942148761</v>
      </c>
      <c r="U130" s="32" t="n">
        <v>4549086564.5</v>
      </c>
      <c r="V130" s="14" t="n">
        <v>8.91318202814502</v>
      </c>
      <c r="W130" s="13" t="n">
        <v>0.13251155624037</v>
      </c>
      <c r="X130" s="15" t="n">
        <v>0.036734693877551</v>
      </c>
      <c r="Y130" s="13" t="n">
        <v>0.0201027822891171</v>
      </c>
      <c r="Z130" s="13" t="n">
        <v>0.0354348381304708</v>
      </c>
      <c r="AA130" s="30" t="s">
        <v>96</v>
      </c>
      <c r="AB130" s="28" t="s">
        <v>93</v>
      </c>
      <c r="AC130" s="28" t="s">
        <v>102</v>
      </c>
      <c r="AD130" s="28" t="s">
        <v>107</v>
      </c>
      <c r="AE130" s="28" t="s">
        <v>112</v>
      </c>
      <c r="AF130" s="28" t="s">
        <v>119</v>
      </c>
      <c r="AG130" s="30" t="s">
        <v>122</v>
      </c>
    </row>
    <row r="131" customFormat="false" ht="15" hidden="false" customHeight="false" outlineLevel="0" collapsed="false">
      <c r="A131" s="10" t="n">
        <v>2024</v>
      </c>
      <c r="B131" s="28" t="s">
        <v>54</v>
      </c>
      <c r="C131" s="29" t="n">
        <v>45406</v>
      </c>
      <c r="D131" s="30" t="s">
        <v>127</v>
      </c>
      <c r="E131" s="28" t="s">
        <v>397</v>
      </c>
      <c r="F131" s="30" t="s">
        <v>398</v>
      </c>
      <c r="G131" s="31" t="n">
        <v>52653</v>
      </c>
      <c r="H131" s="31" t="n">
        <v>1</v>
      </c>
      <c r="I131" s="31" t="n">
        <v>52653</v>
      </c>
      <c r="J131" s="29" t="n">
        <v>45475</v>
      </c>
      <c r="K131" s="31" t="n">
        <v>50050</v>
      </c>
      <c r="L131" s="30" t="s">
        <v>32</v>
      </c>
      <c r="M131" s="10" t="n">
        <v>45</v>
      </c>
      <c r="N131" s="12" t="n">
        <v>-2708</v>
      </c>
      <c r="O131" s="13" t="n">
        <v>-0.0514351654998994</v>
      </c>
      <c r="P131" s="15" t="n">
        <v>0.130048658565769</v>
      </c>
      <c r="Q131" s="13" t="n">
        <v>-0.0760190379962241</v>
      </c>
      <c r="R131" s="15" t="n">
        <v>0.0253411306042886</v>
      </c>
      <c r="S131" s="32" t="n">
        <v>40770365200</v>
      </c>
      <c r="T131" s="15" t="n">
        <v>0.00573613766730396</v>
      </c>
      <c r="U131" s="32" t="n">
        <v>26318387302.5</v>
      </c>
      <c r="V131" s="14" t="n">
        <v>1.4802438280523</v>
      </c>
      <c r="W131" s="13" t="n">
        <v>0.0253411306042886</v>
      </c>
      <c r="X131" s="15" t="n">
        <v>0.00570342205323193</v>
      </c>
      <c r="Y131" s="13" t="n">
        <v>0.0201027822891171</v>
      </c>
      <c r="Z131" s="13" t="n">
        <v>0.0354348381304708</v>
      </c>
      <c r="AA131" s="30" t="s">
        <v>96</v>
      </c>
      <c r="AB131" s="28" t="s">
        <v>93</v>
      </c>
      <c r="AC131" s="28" t="s">
        <v>99</v>
      </c>
      <c r="AD131" s="28" t="s">
        <v>107</v>
      </c>
      <c r="AE131" s="28" t="s">
        <v>112</v>
      </c>
      <c r="AF131" s="28" t="s">
        <v>116</v>
      </c>
      <c r="AG131" s="30" t="s">
        <v>122</v>
      </c>
    </row>
    <row r="132" customFormat="false" ht="15" hidden="false" customHeight="false" outlineLevel="0" collapsed="false">
      <c r="A132" s="10" t="n">
        <v>2024</v>
      </c>
      <c r="B132" s="28" t="s">
        <v>54</v>
      </c>
      <c r="C132" s="29" t="n">
        <v>45408</v>
      </c>
      <c r="D132" s="30" t="s">
        <v>129</v>
      </c>
      <c r="E132" s="28" t="s">
        <v>399</v>
      </c>
      <c r="F132" s="28" t="s">
        <v>400</v>
      </c>
      <c r="G132" s="31" t="n">
        <v>76076</v>
      </c>
      <c r="H132" s="31" t="n">
        <v>1</v>
      </c>
      <c r="I132" s="31" t="n">
        <v>76076</v>
      </c>
      <c r="J132" s="29" t="n">
        <v>45414</v>
      </c>
      <c r="K132" s="31" t="n">
        <v>72428</v>
      </c>
      <c r="L132" s="30" t="s">
        <v>32</v>
      </c>
      <c r="M132" s="10" t="n">
        <v>3</v>
      </c>
      <c r="N132" s="12" t="n">
        <v>-3801</v>
      </c>
      <c r="O132" s="13" t="n">
        <v>-0.0499651010174035</v>
      </c>
      <c r="P132" s="15" t="n">
        <v>0.0252904989747098</v>
      </c>
      <c r="Q132" s="13" t="n">
        <v>-0.0548924759451074</v>
      </c>
      <c r="R132" s="15" t="n">
        <v>0.0966810966810967</v>
      </c>
      <c r="S132" s="32" t="n">
        <v>184032784000</v>
      </c>
      <c r="T132" s="15" t="n">
        <v>0.0810810810810811</v>
      </c>
      <c r="U132" s="32" t="n">
        <v>88410668215</v>
      </c>
      <c r="V132" s="14" t="n">
        <v>1.85767178830764</v>
      </c>
      <c r="W132" s="13" t="n">
        <v>0.0410958904109589</v>
      </c>
      <c r="X132" s="15" t="n">
        <v>0.0118421052631579</v>
      </c>
      <c r="Y132" s="13" t="n">
        <v>0.0105416530346723</v>
      </c>
      <c r="Z132" s="13" t="n">
        <v>0.024874028689821</v>
      </c>
      <c r="AA132" s="30" t="s">
        <v>96</v>
      </c>
      <c r="AB132" s="28" t="s">
        <v>93</v>
      </c>
      <c r="AC132" s="28" t="s">
        <v>101</v>
      </c>
      <c r="AD132" s="28" t="s">
        <v>109</v>
      </c>
      <c r="AE132" s="28" t="s">
        <v>101</v>
      </c>
      <c r="AF132" s="28" t="s">
        <v>116</v>
      </c>
      <c r="AG132" s="30" t="s">
        <v>122</v>
      </c>
    </row>
    <row r="133" customFormat="false" ht="15" hidden="false" customHeight="false" outlineLevel="0" collapsed="false">
      <c r="A133" s="10" t="n">
        <v>2024</v>
      </c>
      <c r="B133" s="28" t="s">
        <v>54</v>
      </c>
      <c r="C133" s="29" t="n">
        <v>45408</v>
      </c>
      <c r="D133" s="30" t="s">
        <v>129</v>
      </c>
      <c r="E133" s="28" t="s">
        <v>325</v>
      </c>
      <c r="F133" s="30" t="s">
        <v>326</v>
      </c>
      <c r="G133" s="31" t="n">
        <v>20603</v>
      </c>
      <c r="H133" s="31" t="n">
        <v>4</v>
      </c>
      <c r="I133" s="31" t="n">
        <v>82411</v>
      </c>
      <c r="J133" s="29" t="n">
        <v>45411</v>
      </c>
      <c r="K133" s="31" t="n">
        <v>19610</v>
      </c>
      <c r="L133" s="30" t="s">
        <v>32</v>
      </c>
      <c r="M133" s="10" t="n">
        <v>1</v>
      </c>
      <c r="N133" s="12" t="n">
        <v>-4135</v>
      </c>
      <c r="O133" s="13" t="n">
        <v>-0.0501743921573232</v>
      </c>
      <c r="P133" s="15" t="n">
        <v>-0.0168202837886095</v>
      </c>
      <c r="Q133" s="13" t="n">
        <v>-0.0778452316913855</v>
      </c>
      <c r="R133" s="15" t="n">
        <v>0.00683371298405455</v>
      </c>
      <c r="S133" s="32" t="n">
        <v>146115144500</v>
      </c>
      <c r="T133" s="15" t="n">
        <v>0.00683371298405455</v>
      </c>
      <c r="U133" s="32" t="n">
        <v>29424666507</v>
      </c>
      <c r="V133" s="14" t="n">
        <v>4.54165801709325</v>
      </c>
      <c r="W133" s="13" t="n">
        <v>0.0231481481481481</v>
      </c>
      <c r="X133" s="15" t="n">
        <v>0.0271493212669685</v>
      </c>
      <c r="Y133" s="13" t="n">
        <v>0.0105416530346723</v>
      </c>
      <c r="Z133" s="13" t="n">
        <v>0.024874028689821</v>
      </c>
      <c r="AA133" s="30" t="s">
        <v>96</v>
      </c>
      <c r="AB133" s="28" t="s">
        <v>93</v>
      </c>
      <c r="AC133" s="28" t="s">
        <v>99</v>
      </c>
      <c r="AD133" s="28" t="s">
        <v>109</v>
      </c>
      <c r="AE133" s="28" t="s">
        <v>112</v>
      </c>
      <c r="AF133" s="28" t="s">
        <v>118</v>
      </c>
      <c r="AG133" s="30" t="s">
        <v>122</v>
      </c>
    </row>
    <row r="134" customFormat="false" ht="15" hidden="false" customHeight="false" outlineLevel="0" collapsed="false">
      <c r="A134" s="10" t="n">
        <v>2024</v>
      </c>
      <c r="B134" s="28" t="s">
        <v>54</v>
      </c>
      <c r="C134" s="29" t="n">
        <v>45408</v>
      </c>
      <c r="D134" s="30" t="s">
        <v>129</v>
      </c>
      <c r="E134" s="28" t="s">
        <v>401</v>
      </c>
      <c r="F134" s="30" t="s">
        <v>402</v>
      </c>
      <c r="G134" s="31" t="n">
        <v>60060</v>
      </c>
      <c r="H134" s="31" t="n">
        <v>1</v>
      </c>
      <c r="I134" s="31" t="n">
        <v>60060</v>
      </c>
      <c r="J134" s="29" t="n">
        <v>45414</v>
      </c>
      <c r="K134" s="31" t="n">
        <v>57143</v>
      </c>
      <c r="L134" s="30" t="s">
        <v>32</v>
      </c>
      <c r="M134" s="10" t="n">
        <v>3</v>
      </c>
      <c r="N134" s="12" t="n">
        <v>-3038</v>
      </c>
      <c r="O134" s="13" t="n">
        <v>-0.0505767142857143</v>
      </c>
      <c r="P134" s="15" t="n">
        <v>0.0189810189810191</v>
      </c>
      <c r="Q134" s="13" t="n">
        <v>-0.0542790542790542</v>
      </c>
      <c r="R134" s="15" t="n">
        <v>0.0600706713780919</v>
      </c>
      <c r="S134" s="32" t="n">
        <v>102373920000</v>
      </c>
      <c r="T134" s="15" t="n">
        <v>0.0135135135135136</v>
      </c>
      <c r="U134" s="32" t="n">
        <v>67476503420</v>
      </c>
      <c r="V134" s="14" t="n">
        <v>1.42307008392803</v>
      </c>
      <c r="W134" s="13" t="n">
        <v>0.0471204188481675</v>
      </c>
      <c r="X134" s="15" t="n">
        <v>0.02</v>
      </c>
      <c r="Y134" s="13" t="n">
        <v>0.0105416530346723</v>
      </c>
      <c r="Z134" s="13" t="n">
        <v>0.024874028689821</v>
      </c>
      <c r="AA134" s="30" t="s">
        <v>96</v>
      </c>
      <c r="AB134" s="28" t="s">
        <v>93</v>
      </c>
      <c r="AC134" s="28" t="s">
        <v>101</v>
      </c>
      <c r="AD134" s="28" t="s">
        <v>109</v>
      </c>
      <c r="AE134" s="28" t="s">
        <v>112</v>
      </c>
      <c r="AF134" s="28" t="s">
        <v>116</v>
      </c>
      <c r="AG134" s="30" t="s">
        <v>122</v>
      </c>
    </row>
    <row r="135" customFormat="false" ht="15" hidden="false" customHeight="false" outlineLevel="0" collapsed="false">
      <c r="A135" s="10" t="n">
        <v>2024</v>
      </c>
      <c r="B135" s="28" t="s">
        <v>54</v>
      </c>
      <c r="C135" s="29" t="n">
        <v>45411</v>
      </c>
      <c r="D135" s="30" t="s">
        <v>125</v>
      </c>
      <c r="E135" s="28" t="s">
        <v>403</v>
      </c>
      <c r="F135" s="30" t="s">
        <v>404</v>
      </c>
      <c r="G135" s="31" t="n">
        <v>54054</v>
      </c>
      <c r="H135" s="31" t="n">
        <v>1</v>
      </c>
      <c r="I135" s="31" t="n">
        <v>54054</v>
      </c>
      <c r="J135" s="29" t="n">
        <v>45421</v>
      </c>
      <c r="K135" s="31" t="n">
        <v>64900</v>
      </c>
      <c r="L135" s="30" t="s">
        <v>31</v>
      </c>
      <c r="M135" s="10" t="n">
        <v>6</v>
      </c>
      <c r="N135" s="12" t="n">
        <v>10711</v>
      </c>
      <c r="O135" s="13" t="n">
        <v>0.198159930809931</v>
      </c>
      <c r="P135" s="15" t="n">
        <v>0.221001221001221</v>
      </c>
      <c r="Q135" s="13" t="n">
        <v>0.00455100455100466</v>
      </c>
      <c r="R135" s="15" t="n">
        <v>0.0821643286573146</v>
      </c>
      <c r="S135" s="32" t="n">
        <v>310953870000</v>
      </c>
      <c r="T135" s="15" t="n">
        <v>0.0526315789473684</v>
      </c>
      <c r="U135" s="32" t="n">
        <v>38083720025</v>
      </c>
      <c r="V135" s="14" t="n">
        <v>7.33926414968089</v>
      </c>
      <c r="W135" s="13" t="n">
        <v>0.0714285714285714</v>
      </c>
      <c r="X135" s="15" t="n">
        <v>0.0333333333333334</v>
      </c>
      <c r="Y135" s="13" t="n">
        <v>0.011711647272741</v>
      </c>
      <c r="Z135" s="13" t="n">
        <v>0.0220579286844347</v>
      </c>
      <c r="AA135" s="30" t="s">
        <v>97</v>
      </c>
      <c r="AB135" s="28" t="s">
        <v>93</v>
      </c>
      <c r="AC135" s="28" t="s">
        <v>101</v>
      </c>
      <c r="AD135" s="28" t="s">
        <v>110</v>
      </c>
      <c r="AE135" s="28" t="s">
        <v>101</v>
      </c>
      <c r="AF135" s="28" t="s">
        <v>119</v>
      </c>
      <c r="AG135" s="30" t="s">
        <v>122</v>
      </c>
    </row>
    <row r="136" customFormat="false" ht="15" hidden="false" customHeight="false" outlineLevel="0" collapsed="false">
      <c r="A136" s="10" t="n">
        <v>2024</v>
      </c>
      <c r="B136" s="28" t="s">
        <v>54</v>
      </c>
      <c r="C136" s="29" t="n">
        <v>45411</v>
      </c>
      <c r="D136" s="30" t="s">
        <v>125</v>
      </c>
      <c r="E136" s="28" t="s">
        <v>405</v>
      </c>
      <c r="F136" s="28" t="s">
        <v>406</v>
      </c>
      <c r="G136" s="31" t="n">
        <v>38388</v>
      </c>
      <c r="H136" s="31" t="n">
        <v>2</v>
      </c>
      <c r="I136" s="31" t="n">
        <v>76777</v>
      </c>
      <c r="J136" s="29" t="n">
        <v>45429</v>
      </c>
      <c r="K136" s="31" t="n">
        <v>36513</v>
      </c>
      <c r="L136" s="30" t="s">
        <v>32</v>
      </c>
      <c r="M136" s="10" t="n">
        <v>11</v>
      </c>
      <c r="N136" s="12" t="n">
        <v>-3904</v>
      </c>
      <c r="O136" s="13" t="n">
        <v>-0.0508450996200672</v>
      </c>
      <c r="P136" s="15" t="n">
        <v>0.0550075739123979</v>
      </c>
      <c r="Q136" s="13" t="n">
        <v>-0.0557030974240883</v>
      </c>
      <c r="R136" s="15" t="n">
        <v>0.17638036809816</v>
      </c>
      <c r="S136" s="32" t="n">
        <v>128099699650</v>
      </c>
      <c r="T136" s="15" t="n">
        <v>0.127941176470588</v>
      </c>
      <c r="U136" s="32" t="n">
        <v>5305689990</v>
      </c>
      <c r="V136" s="14" t="n">
        <v>20.7214880011514</v>
      </c>
      <c r="W136" s="13" t="n">
        <v>0.143070044709389</v>
      </c>
      <c r="X136" s="15" t="n">
        <v>0</v>
      </c>
      <c r="Y136" s="13" t="n">
        <v>0.011711647272741</v>
      </c>
      <c r="Z136" s="13" t="n">
        <v>0.0220579286844347</v>
      </c>
      <c r="AA136" s="30" t="s">
        <v>97</v>
      </c>
      <c r="AB136" s="28" t="s">
        <v>93</v>
      </c>
      <c r="AC136" s="28" t="s">
        <v>103</v>
      </c>
      <c r="AD136" s="28" t="s">
        <v>109</v>
      </c>
      <c r="AE136" s="28" t="s">
        <v>114</v>
      </c>
      <c r="AF136" s="28" t="s">
        <v>120</v>
      </c>
      <c r="AG136" s="30" t="s">
        <v>122</v>
      </c>
    </row>
    <row r="137" customFormat="false" ht="15" hidden="false" customHeight="false" outlineLevel="0" collapsed="false">
      <c r="A137" s="10" t="n">
        <v>2024</v>
      </c>
      <c r="B137" s="28" t="s">
        <v>54</v>
      </c>
      <c r="C137" s="29" t="n">
        <v>45411</v>
      </c>
      <c r="D137" s="30" t="s">
        <v>125</v>
      </c>
      <c r="E137" s="28" t="s">
        <v>407</v>
      </c>
      <c r="F137" s="30" t="s">
        <v>408</v>
      </c>
      <c r="G137" s="31" t="n">
        <v>46897</v>
      </c>
      <c r="H137" s="31" t="n">
        <v>2</v>
      </c>
      <c r="I137" s="31" t="n">
        <v>93794</v>
      </c>
      <c r="J137" s="29" t="n">
        <v>45448</v>
      </c>
      <c r="K137" s="31" t="n">
        <v>44605</v>
      </c>
      <c r="L137" s="30" t="s">
        <v>32</v>
      </c>
      <c r="M137" s="10" t="n">
        <v>24</v>
      </c>
      <c r="N137" s="12" t="n">
        <v>-4771</v>
      </c>
      <c r="O137" s="13" t="n">
        <v>-0.0508672748809355</v>
      </c>
      <c r="P137" s="15" t="n">
        <v>0.0704343681931732</v>
      </c>
      <c r="Q137" s="13" t="n">
        <v>-0.0543074854707724</v>
      </c>
      <c r="R137" s="15" t="n">
        <v>0.00213903743315513</v>
      </c>
      <c r="S137" s="32" t="n">
        <v>87761059750</v>
      </c>
      <c r="T137" s="15" t="n">
        <v>0.00213903743315513</v>
      </c>
      <c r="U137" s="32" t="n">
        <v>82309613095</v>
      </c>
      <c r="V137" s="14" t="n">
        <v>0.994110593851637</v>
      </c>
      <c r="W137" s="13" t="n">
        <v>0</v>
      </c>
      <c r="X137" s="15" t="n">
        <v>0.0106723585912487</v>
      </c>
      <c r="Y137" s="13" t="n">
        <v>0.011711647272741</v>
      </c>
      <c r="Z137" s="13" t="n">
        <v>0.0220579286844347</v>
      </c>
      <c r="AA137" s="30" t="s">
        <v>97</v>
      </c>
      <c r="AB137" s="28" t="s">
        <v>93</v>
      </c>
      <c r="AC137" s="28" t="s">
        <v>99</v>
      </c>
      <c r="AD137" s="28" t="s">
        <v>108</v>
      </c>
      <c r="AE137" s="28" t="s">
        <v>112</v>
      </c>
      <c r="AF137" s="28" t="s">
        <v>116</v>
      </c>
      <c r="AG137" s="30" t="s">
        <v>123</v>
      </c>
    </row>
    <row r="138" customFormat="false" ht="15" hidden="false" customHeight="false" outlineLevel="0" collapsed="false">
      <c r="A138" s="10" t="n">
        <v>2024</v>
      </c>
      <c r="B138" s="28" t="s">
        <v>55</v>
      </c>
      <c r="C138" s="29" t="n">
        <v>45414</v>
      </c>
      <c r="D138" s="30" t="s">
        <v>128</v>
      </c>
      <c r="E138" s="28" t="s">
        <v>409</v>
      </c>
      <c r="F138" s="30" t="s">
        <v>410</v>
      </c>
      <c r="G138" s="31" t="n">
        <v>11444</v>
      </c>
      <c r="H138" s="31" t="n">
        <v>8</v>
      </c>
      <c r="I138" s="31" t="n">
        <v>91553</v>
      </c>
      <c r="J138" s="29" t="n">
        <v>45415</v>
      </c>
      <c r="K138" s="31" t="n">
        <v>13740</v>
      </c>
      <c r="L138" s="30" t="s">
        <v>31</v>
      </c>
      <c r="M138" s="10" t="n">
        <v>1</v>
      </c>
      <c r="N138" s="12" t="n">
        <v>18139</v>
      </c>
      <c r="O138" s="13" t="n">
        <v>0.198122521691581</v>
      </c>
      <c r="P138" s="15" t="n">
        <v>0.224158773392909</v>
      </c>
      <c r="Q138" s="13" t="n">
        <v>-0.00974299223752184</v>
      </c>
      <c r="R138" s="15" t="n">
        <v>0.0627906976744186</v>
      </c>
      <c r="S138" s="32" t="n">
        <v>82003143150</v>
      </c>
      <c r="T138" s="15" t="n">
        <v>0.022371364653244</v>
      </c>
      <c r="U138" s="32" t="n">
        <v>22174007806.95</v>
      </c>
      <c r="V138" s="14" t="n">
        <v>3.34925737315988</v>
      </c>
      <c r="W138" s="13" t="n">
        <v>0.075294117647059</v>
      </c>
      <c r="X138" s="15" t="n">
        <v>0.0656455142231947</v>
      </c>
      <c r="Y138" s="13" t="n">
        <v>-0.00312400169387006</v>
      </c>
      <c r="Z138" s="13" t="n">
        <v>0.00295244324021304</v>
      </c>
      <c r="AA138" s="30" t="s">
        <v>97</v>
      </c>
      <c r="AB138" s="28" t="s">
        <v>93</v>
      </c>
      <c r="AC138" s="28" t="s">
        <v>101</v>
      </c>
      <c r="AD138" s="28" t="s">
        <v>108</v>
      </c>
      <c r="AE138" s="28" t="s">
        <v>113</v>
      </c>
      <c r="AF138" s="28" t="s">
        <v>118</v>
      </c>
      <c r="AG138" s="30" t="s">
        <v>122</v>
      </c>
    </row>
    <row r="139" customFormat="false" ht="15" hidden="false" customHeight="false" outlineLevel="0" collapsed="false">
      <c r="A139" s="10" t="n">
        <v>2024</v>
      </c>
      <c r="B139" s="28" t="s">
        <v>55</v>
      </c>
      <c r="C139" s="29" t="n">
        <v>45414</v>
      </c>
      <c r="D139" s="30" t="s">
        <v>128</v>
      </c>
      <c r="E139" s="28" t="s">
        <v>213</v>
      </c>
      <c r="F139" s="30" t="s">
        <v>214</v>
      </c>
      <c r="G139" s="31" t="n">
        <v>44544</v>
      </c>
      <c r="H139" s="31" t="n">
        <v>2</v>
      </c>
      <c r="I139" s="31" t="n">
        <v>89089</v>
      </c>
      <c r="J139" s="29" t="n">
        <v>45415</v>
      </c>
      <c r="K139" s="31" t="n">
        <v>42408</v>
      </c>
      <c r="L139" s="30" t="s">
        <v>32</v>
      </c>
      <c r="M139" s="10" t="n">
        <v>1</v>
      </c>
      <c r="N139" s="12" t="n">
        <v>-4453</v>
      </c>
      <c r="O139" s="13" t="n">
        <v>-0.0499798268585346</v>
      </c>
      <c r="P139" s="15" t="n">
        <v>-0.0212035155855379</v>
      </c>
      <c r="Q139" s="13" t="n">
        <v>-0.0717148020518805</v>
      </c>
      <c r="R139" s="15" t="n">
        <v>0.0893512851897185</v>
      </c>
      <c r="S139" s="32" t="n">
        <v>59051055000</v>
      </c>
      <c r="T139" s="15" t="n">
        <v>0.0827250608272505</v>
      </c>
      <c r="U139" s="32" t="n">
        <v>23354863285</v>
      </c>
      <c r="V139" s="14" t="n">
        <v>2.23219399745558</v>
      </c>
      <c r="W139" s="13" t="n">
        <v>0.0748792270531402</v>
      </c>
      <c r="X139" s="15" t="n">
        <v>0.0157303370786517</v>
      </c>
      <c r="Y139" s="13" t="n">
        <v>-0.00312400169387006</v>
      </c>
      <c r="Z139" s="13" t="n">
        <v>0.00295244324021304</v>
      </c>
      <c r="AA139" s="30" t="s">
        <v>97</v>
      </c>
      <c r="AB139" s="28" t="s">
        <v>93</v>
      </c>
      <c r="AC139" s="28" t="s">
        <v>101</v>
      </c>
      <c r="AD139" s="28" t="s">
        <v>108</v>
      </c>
      <c r="AE139" s="28" t="s">
        <v>101</v>
      </c>
      <c r="AF139" s="28" t="s">
        <v>117</v>
      </c>
      <c r="AG139" s="30" t="s">
        <v>122</v>
      </c>
    </row>
    <row r="140" customFormat="false" ht="15" hidden="false" customHeight="false" outlineLevel="0" collapsed="false">
      <c r="A140" s="10" t="n">
        <v>2024</v>
      </c>
      <c r="B140" s="28" t="s">
        <v>55</v>
      </c>
      <c r="C140" s="29" t="n">
        <v>45414</v>
      </c>
      <c r="D140" s="30" t="s">
        <v>128</v>
      </c>
      <c r="E140" s="28" t="s">
        <v>411</v>
      </c>
      <c r="F140" s="30" t="s">
        <v>412</v>
      </c>
      <c r="G140" s="31" t="n">
        <v>8078</v>
      </c>
      <c r="H140" s="31" t="n">
        <v>12</v>
      </c>
      <c r="I140" s="31" t="n">
        <v>96937</v>
      </c>
      <c r="J140" s="29" t="n">
        <v>45428</v>
      </c>
      <c r="K140" s="31" t="n">
        <v>7682</v>
      </c>
      <c r="L140" s="30" t="s">
        <v>32</v>
      </c>
      <c r="M140" s="10" t="n">
        <v>8</v>
      </c>
      <c r="N140" s="12" t="n">
        <v>-4943</v>
      </c>
      <c r="O140" s="13" t="n">
        <v>-0.0509963660874442</v>
      </c>
      <c r="P140" s="15" t="n">
        <v>0.0398523409675828</v>
      </c>
      <c r="Q140" s="13" t="n">
        <v>-0.0777500071180367</v>
      </c>
      <c r="R140" s="15" t="n">
        <v>0.0372750642673523</v>
      </c>
      <c r="S140" s="32" t="n">
        <v>21452658540</v>
      </c>
      <c r="T140" s="15" t="n">
        <v>0.0306513409961686</v>
      </c>
      <c r="U140" s="32" t="n">
        <v>9492424820</v>
      </c>
      <c r="V140" s="14" t="n">
        <v>2.0942660065302</v>
      </c>
      <c r="W140" s="13" t="n">
        <v>0.0466926070038911</v>
      </c>
      <c r="X140" s="15" t="n">
        <v>0.033457249070632</v>
      </c>
      <c r="Y140" s="13" t="n">
        <v>-0.00312400169387006</v>
      </c>
      <c r="Z140" s="13" t="n">
        <v>0.00295244324021304</v>
      </c>
      <c r="AA140" s="30" t="s">
        <v>97</v>
      </c>
      <c r="AB140" s="28" t="s">
        <v>93</v>
      </c>
      <c r="AC140" s="28" t="s">
        <v>100</v>
      </c>
      <c r="AD140" s="28" t="s">
        <v>106</v>
      </c>
      <c r="AE140" s="28" t="s">
        <v>113</v>
      </c>
      <c r="AF140" s="28" t="s">
        <v>117</v>
      </c>
      <c r="AG140" s="30" t="s">
        <v>122</v>
      </c>
    </row>
    <row r="141" customFormat="false" ht="15" hidden="false" customHeight="false" outlineLevel="0" collapsed="false">
      <c r="A141" s="10" t="n">
        <v>2024</v>
      </c>
      <c r="B141" s="28" t="s">
        <v>55</v>
      </c>
      <c r="C141" s="29" t="n">
        <v>45415</v>
      </c>
      <c r="D141" s="30" t="s">
        <v>129</v>
      </c>
      <c r="E141" s="28" t="s">
        <v>413</v>
      </c>
      <c r="F141" s="30" t="s">
        <v>414</v>
      </c>
      <c r="G141" s="31" t="n">
        <v>20721</v>
      </c>
      <c r="H141" s="31" t="n">
        <v>4</v>
      </c>
      <c r="I141" s="31" t="n">
        <v>82883</v>
      </c>
      <c r="J141" s="29" t="n">
        <v>45441</v>
      </c>
      <c r="K141" s="31" t="n">
        <v>24900</v>
      </c>
      <c r="L141" s="30" t="s">
        <v>31</v>
      </c>
      <c r="M141" s="10" t="n">
        <v>16</v>
      </c>
      <c r="N141" s="12" t="n">
        <v>16511</v>
      </c>
      <c r="O141" s="13" t="n">
        <v>0.199203545005719</v>
      </c>
      <c r="P141" s="15" t="n">
        <v>0.235479496349062</v>
      </c>
      <c r="Q141" s="13" t="n">
        <v>0.0014140448923059</v>
      </c>
      <c r="R141" s="15" t="n">
        <v>0.173469387755102</v>
      </c>
      <c r="S141" s="32" t="n">
        <v>309145971600</v>
      </c>
      <c r="T141" s="15" t="n">
        <v>0.173469387755102</v>
      </c>
      <c r="U141" s="32" t="n">
        <v>3228849971</v>
      </c>
      <c r="V141" s="14" t="n">
        <v>77.9614514750312</v>
      </c>
      <c r="W141" s="13" t="n">
        <v>0.0775637688703801</v>
      </c>
      <c r="X141" s="15" t="n">
        <v>0.0241545893719808</v>
      </c>
      <c r="Y141" s="13" t="n">
        <v>-0.00261584036666485</v>
      </c>
      <c r="Z141" s="13" t="n">
        <v>0.0182643364198707</v>
      </c>
      <c r="AA141" s="30" t="s">
        <v>97</v>
      </c>
      <c r="AB141" s="28" t="s">
        <v>93</v>
      </c>
      <c r="AC141" s="28" t="s">
        <v>103</v>
      </c>
      <c r="AD141" s="28" t="s">
        <v>110</v>
      </c>
      <c r="AE141" s="28" t="s">
        <v>114</v>
      </c>
      <c r="AF141" s="28" t="s">
        <v>120</v>
      </c>
      <c r="AG141" s="30" t="s">
        <v>122</v>
      </c>
    </row>
    <row r="142" customFormat="false" ht="15" hidden="false" customHeight="false" outlineLevel="0" collapsed="false">
      <c r="A142" s="10" t="n">
        <v>2024</v>
      </c>
      <c r="B142" s="28" t="s">
        <v>55</v>
      </c>
      <c r="C142" s="29" t="n">
        <v>45415</v>
      </c>
      <c r="D142" s="30" t="s">
        <v>129</v>
      </c>
      <c r="E142" s="28" t="s">
        <v>415</v>
      </c>
      <c r="F142" s="30" t="s">
        <v>416</v>
      </c>
      <c r="G142" s="31" t="n">
        <v>2833</v>
      </c>
      <c r="H142" s="31" t="n">
        <v>35</v>
      </c>
      <c r="I142" s="31" t="n">
        <v>99149</v>
      </c>
      <c r="J142" s="29" t="n">
        <v>45425</v>
      </c>
      <c r="K142" s="31" t="n">
        <v>2677</v>
      </c>
      <c r="L142" s="30" t="s">
        <v>32</v>
      </c>
      <c r="M142" s="10" t="n">
        <v>5</v>
      </c>
      <c r="N142" s="12" t="n">
        <v>-5640</v>
      </c>
      <c r="O142" s="13" t="n">
        <v>-0.0568885879138528</v>
      </c>
      <c r="P142" s="15" t="n">
        <v>0.0519515819869179</v>
      </c>
      <c r="Q142" s="13" t="n">
        <v>-0.0927800115079266</v>
      </c>
      <c r="R142" s="15" t="n">
        <v>0.0253623188405796</v>
      </c>
      <c r="S142" s="32" t="n">
        <v>68424105070</v>
      </c>
      <c r="T142" s="15" t="n">
        <v>0.0253623188405796</v>
      </c>
      <c r="U142" s="32" t="n">
        <v>4862562889</v>
      </c>
      <c r="V142" s="14" t="n">
        <v>13.0783766682745</v>
      </c>
      <c r="W142" s="13" t="n">
        <v>0.00891265597147961</v>
      </c>
      <c r="X142" s="15" t="n">
        <v>0.106007067137809</v>
      </c>
      <c r="Y142" s="13" t="n">
        <v>-0.00261584036666485</v>
      </c>
      <c r="Z142" s="13" t="n">
        <v>0.0182643364198707</v>
      </c>
      <c r="AA142" s="30" t="s">
        <v>97</v>
      </c>
      <c r="AB142" s="28" t="s">
        <v>93</v>
      </c>
      <c r="AC142" s="28" t="s">
        <v>99</v>
      </c>
      <c r="AD142" s="28" t="s">
        <v>108</v>
      </c>
      <c r="AE142" s="28" t="s">
        <v>113</v>
      </c>
      <c r="AF142" s="28" t="s">
        <v>120</v>
      </c>
      <c r="AG142" s="30" t="s">
        <v>122</v>
      </c>
    </row>
    <row r="143" customFormat="false" ht="15" hidden="false" customHeight="false" outlineLevel="0" collapsed="false">
      <c r="A143" s="10" t="n">
        <v>2024</v>
      </c>
      <c r="B143" s="28" t="s">
        <v>55</v>
      </c>
      <c r="C143" s="29" t="n">
        <v>45421</v>
      </c>
      <c r="D143" s="30" t="s">
        <v>128</v>
      </c>
      <c r="E143" s="28" t="s">
        <v>185</v>
      </c>
      <c r="F143" s="30" t="s">
        <v>186</v>
      </c>
      <c r="G143" s="31" t="n">
        <v>11011</v>
      </c>
      <c r="H143" s="31" t="n">
        <v>9</v>
      </c>
      <c r="I143" s="31" t="n">
        <v>99099</v>
      </c>
      <c r="J143" s="29" t="n">
        <v>45425</v>
      </c>
      <c r="K143" s="31" t="n">
        <v>10480</v>
      </c>
      <c r="L143" s="30" t="s">
        <v>32</v>
      </c>
      <c r="M143" s="10" t="n">
        <v>2</v>
      </c>
      <c r="N143" s="12" t="n">
        <v>-4982</v>
      </c>
      <c r="O143" s="13" t="n">
        <v>-0.0502748791662883</v>
      </c>
      <c r="P143" s="15" t="n">
        <v>0.0380528562346747</v>
      </c>
      <c r="Q143" s="13" t="n">
        <v>-0.074561801834529</v>
      </c>
      <c r="R143" s="15" t="n">
        <v>0.0978043912175648</v>
      </c>
      <c r="S143" s="32" t="n">
        <v>178596869000</v>
      </c>
      <c r="T143" s="15" t="n">
        <v>0.0628019323671498</v>
      </c>
      <c r="U143" s="32" t="n">
        <v>17905959716</v>
      </c>
      <c r="V143" s="14" t="n">
        <v>9.01055327336058</v>
      </c>
      <c r="W143" s="13" t="n">
        <v>0.0923535253227408</v>
      </c>
      <c r="X143" s="15" t="n">
        <v>0.0445454545454544</v>
      </c>
      <c r="Y143" s="13" t="n">
        <v>-0.0119888526620645</v>
      </c>
      <c r="Z143" s="13" t="n">
        <v>0.00745897193970424</v>
      </c>
      <c r="AA143" s="30" t="s">
        <v>97</v>
      </c>
      <c r="AB143" s="28" t="s">
        <v>93</v>
      </c>
      <c r="AC143" s="28" t="s">
        <v>101</v>
      </c>
      <c r="AD143" s="28" t="s">
        <v>109</v>
      </c>
      <c r="AE143" s="28" t="s">
        <v>101</v>
      </c>
      <c r="AF143" s="28" t="s">
        <v>119</v>
      </c>
      <c r="AG143" s="30" t="s">
        <v>122</v>
      </c>
    </row>
    <row r="144" customFormat="false" ht="15" hidden="false" customHeight="false" outlineLevel="0" collapsed="false">
      <c r="A144" s="10" t="n">
        <v>2024</v>
      </c>
      <c r="B144" s="28" t="s">
        <v>55</v>
      </c>
      <c r="C144" s="29" t="n">
        <v>45426</v>
      </c>
      <c r="D144" s="30" t="s">
        <v>126</v>
      </c>
      <c r="E144" s="28" t="s">
        <v>417</v>
      </c>
      <c r="F144" s="28" t="s">
        <v>418</v>
      </c>
      <c r="G144" s="31" t="n">
        <v>8997</v>
      </c>
      <c r="H144" s="31" t="n">
        <v>11</v>
      </c>
      <c r="I144" s="31" t="n">
        <v>98966</v>
      </c>
      <c r="J144" s="29" t="n">
        <v>45429</v>
      </c>
      <c r="K144" s="31" t="n">
        <v>8496</v>
      </c>
      <c r="L144" s="30" t="s">
        <v>32</v>
      </c>
      <c r="M144" s="10" t="n">
        <v>2</v>
      </c>
      <c r="N144" s="12" t="n">
        <v>-5703</v>
      </c>
      <c r="O144" s="13" t="n">
        <v>-0.0576292826401454</v>
      </c>
      <c r="P144" s="15" t="n">
        <v>0.0337883161501633</v>
      </c>
      <c r="Q144" s="13" t="n">
        <v>-0.0735986193972567</v>
      </c>
      <c r="R144" s="15" t="n">
        <v>0.111952861952862</v>
      </c>
      <c r="S144" s="32" t="n">
        <v>103006982920</v>
      </c>
      <c r="T144" s="15" t="n">
        <v>0.064464141821112</v>
      </c>
      <c r="U144" s="32" t="n">
        <v>3706814588.5</v>
      </c>
      <c r="V144" s="14" t="n">
        <v>25.1701173022421</v>
      </c>
      <c r="W144" s="13" t="n">
        <v>0.131962296486718</v>
      </c>
      <c r="X144" s="15" t="n">
        <v>0.120363361090083</v>
      </c>
      <c r="Y144" s="13" t="n">
        <v>0.00114769306360718</v>
      </c>
      <c r="Z144" s="13" t="n">
        <v>-0.0014701794935561</v>
      </c>
      <c r="AA144" s="30" t="s">
        <v>97</v>
      </c>
      <c r="AB144" s="28" t="s">
        <v>94</v>
      </c>
      <c r="AC144" s="28" t="s">
        <v>102</v>
      </c>
      <c r="AD144" s="28" t="s">
        <v>109</v>
      </c>
      <c r="AE144" s="28" t="s">
        <v>101</v>
      </c>
      <c r="AF144" s="28" t="s">
        <v>120</v>
      </c>
      <c r="AG144" s="30" t="s">
        <v>122</v>
      </c>
    </row>
    <row r="145" customFormat="false" ht="15" hidden="false" customHeight="false" outlineLevel="0" collapsed="false">
      <c r="A145" s="10" t="n">
        <v>2024</v>
      </c>
      <c r="B145" s="28" t="s">
        <v>55</v>
      </c>
      <c r="C145" s="29" t="n">
        <v>45426</v>
      </c>
      <c r="D145" s="30" t="s">
        <v>126</v>
      </c>
      <c r="E145" s="28" t="s">
        <v>419</v>
      </c>
      <c r="F145" s="30" t="s">
        <v>420</v>
      </c>
      <c r="G145" s="31" t="n">
        <v>15636</v>
      </c>
      <c r="H145" s="31" t="n">
        <v>6</v>
      </c>
      <c r="I145" s="31" t="n">
        <v>93814</v>
      </c>
      <c r="J145" s="29" t="n">
        <v>45454</v>
      </c>
      <c r="K145" s="31" t="n">
        <v>14885</v>
      </c>
      <c r="L145" s="30" t="s">
        <v>32</v>
      </c>
      <c r="M145" s="10" t="n">
        <v>18</v>
      </c>
      <c r="N145" s="12" t="n">
        <v>-4691</v>
      </c>
      <c r="O145" s="13" t="n">
        <v>-0.0500070536377836</v>
      </c>
      <c r="P145" s="15" t="n">
        <v>0.0847027492353998</v>
      </c>
      <c r="Q145" s="13" t="n">
        <v>-0.0655950963249298</v>
      </c>
      <c r="R145" s="15" t="n">
        <v>0.0930720783764871</v>
      </c>
      <c r="S145" s="32" t="n">
        <v>33294436120</v>
      </c>
      <c r="T145" s="15" t="n">
        <v>0.0413333333333334</v>
      </c>
      <c r="U145" s="32" t="n">
        <v>3863113512</v>
      </c>
      <c r="V145" s="14" t="n">
        <v>7.9262000386358</v>
      </c>
      <c r="W145" s="13" t="n">
        <v>0.0923076923076922</v>
      </c>
      <c r="X145" s="15" t="n">
        <v>0.0192061459667094</v>
      </c>
      <c r="Y145" s="13" t="n">
        <v>0.00114769306360718</v>
      </c>
      <c r="Z145" s="13" t="n">
        <v>-0.0014701794935561</v>
      </c>
      <c r="AA145" s="30" t="s">
        <v>97</v>
      </c>
      <c r="AB145" s="28" t="s">
        <v>94</v>
      </c>
      <c r="AC145" s="28" t="s">
        <v>101</v>
      </c>
      <c r="AD145" s="28" t="s">
        <v>107</v>
      </c>
      <c r="AE145" s="28" t="s">
        <v>113</v>
      </c>
      <c r="AF145" s="28" t="s">
        <v>119</v>
      </c>
      <c r="AG145" s="30" t="s">
        <v>122</v>
      </c>
    </row>
    <row r="146" customFormat="false" ht="15" hidden="false" customHeight="false" outlineLevel="0" collapsed="false">
      <c r="A146" s="10" t="n">
        <v>2024</v>
      </c>
      <c r="B146" s="28" t="s">
        <v>55</v>
      </c>
      <c r="C146" s="29" t="n">
        <v>45426</v>
      </c>
      <c r="D146" s="30" t="s">
        <v>126</v>
      </c>
      <c r="E146" s="28" t="s">
        <v>239</v>
      </c>
      <c r="F146" s="28" t="s">
        <v>240</v>
      </c>
      <c r="G146" s="31" t="n">
        <v>36587</v>
      </c>
      <c r="H146" s="31" t="n">
        <v>2</v>
      </c>
      <c r="I146" s="31" t="n">
        <v>73173</v>
      </c>
      <c r="J146" s="29" t="n">
        <v>45583</v>
      </c>
      <c r="K146" s="31" t="n">
        <v>43950</v>
      </c>
      <c r="L146" s="30" t="s">
        <v>31</v>
      </c>
      <c r="M146" s="10" t="n">
        <v>104</v>
      </c>
      <c r="N146" s="12" t="n">
        <v>14545</v>
      </c>
      <c r="O146" s="13" t="n">
        <v>0.198768659999371</v>
      </c>
      <c r="P146" s="15" t="n">
        <v>0.210827476217353</v>
      </c>
      <c r="Q146" s="13" t="n">
        <v>-0.025598204804771</v>
      </c>
      <c r="R146" s="15" t="n">
        <v>0.020949720670391</v>
      </c>
      <c r="S146" s="32" t="n">
        <v>30643446900</v>
      </c>
      <c r="T146" s="15" t="n">
        <v>0.020949720670391</v>
      </c>
      <c r="U146" s="32" t="n">
        <v>21177480540</v>
      </c>
      <c r="V146" s="14" t="n">
        <v>1.37072794018289</v>
      </c>
      <c r="W146" s="13" t="n">
        <v>0.0152777777777777</v>
      </c>
      <c r="X146" s="15" t="n">
        <v>0.0150478796169631</v>
      </c>
      <c r="Y146" s="13" t="n">
        <v>0.00114769306360718</v>
      </c>
      <c r="Z146" s="13" t="n">
        <v>-0.0014701794935561</v>
      </c>
      <c r="AA146" s="30" t="s">
        <v>97</v>
      </c>
      <c r="AB146" s="28" t="s">
        <v>94</v>
      </c>
      <c r="AC146" s="28" t="s">
        <v>99</v>
      </c>
      <c r="AD146" s="28" t="s">
        <v>107</v>
      </c>
      <c r="AE146" s="28" t="s">
        <v>113</v>
      </c>
      <c r="AF146" s="28" t="s">
        <v>116</v>
      </c>
      <c r="AG146" s="30" t="s">
        <v>122</v>
      </c>
    </row>
    <row r="147" customFormat="false" ht="15" hidden="false" customHeight="false" outlineLevel="0" collapsed="false">
      <c r="A147" s="10" t="n">
        <v>2024</v>
      </c>
      <c r="B147" s="28" t="s">
        <v>55</v>
      </c>
      <c r="C147" s="29" t="n">
        <v>45428</v>
      </c>
      <c r="D147" s="30" t="s">
        <v>128</v>
      </c>
      <c r="E147" s="28" t="s">
        <v>421</v>
      </c>
      <c r="F147" s="30" t="s">
        <v>422</v>
      </c>
      <c r="G147" s="31" t="n">
        <v>74074</v>
      </c>
      <c r="H147" s="31" t="n">
        <v>1</v>
      </c>
      <c r="I147" s="31" t="n">
        <v>74074</v>
      </c>
      <c r="J147" s="29" t="n">
        <v>45434</v>
      </c>
      <c r="K147" s="31" t="n">
        <v>70430</v>
      </c>
      <c r="L147" s="30" t="s">
        <v>32</v>
      </c>
      <c r="M147" s="10" t="n">
        <v>4</v>
      </c>
      <c r="N147" s="12" t="n">
        <v>-3793</v>
      </c>
      <c r="O147" s="13" t="n">
        <v>-0.0512048576423575</v>
      </c>
      <c r="P147" s="15" t="n">
        <v>0.0584010584010586</v>
      </c>
      <c r="Q147" s="13" t="n">
        <v>-0.0576990576990575</v>
      </c>
      <c r="R147" s="15" t="n">
        <v>0.0586552217453504</v>
      </c>
      <c r="S147" s="32" t="n">
        <v>44897502000</v>
      </c>
      <c r="T147" s="15" t="n">
        <v>0.0109289617486339</v>
      </c>
      <c r="U147" s="32" t="n">
        <v>18946997785</v>
      </c>
      <c r="V147" s="14" t="n">
        <v>2.28094311749532</v>
      </c>
      <c r="W147" s="13" t="n">
        <v>0.0422535211267605</v>
      </c>
      <c r="X147" s="15" t="n">
        <v>0.00405405405405412</v>
      </c>
      <c r="Y147" s="13" t="n">
        <v>0.00829933268384142</v>
      </c>
      <c r="Z147" s="13" t="n">
        <v>0.00289612211070822</v>
      </c>
      <c r="AA147" s="30" t="s">
        <v>97</v>
      </c>
      <c r="AB147" s="28" t="s">
        <v>93</v>
      </c>
      <c r="AC147" s="28" t="s">
        <v>101</v>
      </c>
      <c r="AD147" s="28" t="s">
        <v>107</v>
      </c>
      <c r="AE147" s="28" t="s">
        <v>112</v>
      </c>
      <c r="AF147" s="28" t="s">
        <v>117</v>
      </c>
      <c r="AG147" s="30" t="s">
        <v>122</v>
      </c>
    </row>
    <row r="148" customFormat="false" ht="15" hidden="false" customHeight="false" outlineLevel="0" collapsed="false">
      <c r="A148" s="10" t="n">
        <v>2024</v>
      </c>
      <c r="B148" s="28" t="s">
        <v>55</v>
      </c>
      <c r="C148" s="29" t="n">
        <v>45429</v>
      </c>
      <c r="D148" s="30" t="s">
        <v>129</v>
      </c>
      <c r="E148" s="28" t="s">
        <v>423</v>
      </c>
      <c r="F148" s="30" t="s">
        <v>424</v>
      </c>
      <c r="G148" s="31" t="n">
        <v>13013</v>
      </c>
      <c r="H148" s="31" t="n">
        <v>7</v>
      </c>
      <c r="I148" s="31" t="n">
        <v>91091</v>
      </c>
      <c r="J148" s="29" t="n">
        <v>45436</v>
      </c>
      <c r="K148" s="31" t="n">
        <v>15620</v>
      </c>
      <c r="L148" s="30" t="s">
        <v>31</v>
      </c>
      <c r="M148" s="10" t="n">
        <v>5</v>
      </c>
      <c r="N148" s="12" t="n">
        <v>18022</v>
      </c>
      <c r="O148" s="13" t="n">
        <v>0.197847464074387</v>
      </c>
      <c r="P148" s="15" t="n">
        <v>0.373242142472912</v>
      </c>
      <c r="Q148" s="13" t="n">
        <v>-0.0255897948205639</v>
      </c>
      <c r="R148" s="15" t="n">
        <v>0.097972972972973</v>
      </c>
      <c r="S148" s="32" t="n">
        <v>97931262000</v>
      </c>
      <c r="T148" s="15" t="n">
        <v>0.0708401976935749</v>
      </c>
      <c r="U148" s="32" t="n">
        <v>5361100687</v>
      </c>
      <c r="V148" s="14" t="n">
        <v>16.4598666460404</v>
      </c>
      <c r="W148" s="13" t="n">
        <v>0.114922813036021</v>
      </c>
      <c r="X148" s="15" t="n">
        <v>0.135384615384615</v>
      </c>
      <c r="Y148" s="13" t="n">
        <v>-0.0103087540864512</v>
      </c>
      <c r="Z148" s="13" t="n">
        <v>0.00460153236927297</v>
      </c>
      <c r="AA148" s="30" t="s">
        <v>97</v>
      </c>
      <c r="AB148" s="28" t="s">
        <v>93</v>
      </c>
      <c r="AC148" s="28" t="s">
        <v>101</v>
      </c>
      <c r="AD148" s="28" t="s">
        <v>108</v>
      </c>
      <c r="AE148" s="28" t="s">
        <v>101</v>
      </c>
      <c r="AF148" s="28" t="s">
        <v>120</v>
      </c>
      <c r="AG148" s="30" t="s">
        <v>122</v>
      </c>
    </row>
    <row r="149" customFormat="false" ht="15" hidden="false" customHeight="false" outlineLevel="0" collapsed="false">
      <c r="A149" s="10" t="n">
        <v>2024</v>
      </c>
      <c r="B149" s="28" t="s">
        <v>55</v>
      </c>
      <c r="C149" s="29" t="n">
        <v>45429</v>
      </c>
      <c r="D149" s="30" t="s">
        <v>129</v>
      </c>
      <c r="E149" s="28" t="s">
        <v>287</v>
      </c>
      <c r="F149" s="30" t="s">
        <v>288</v>
      </c>
      <c r="G149" s="31" t="n">
        <v>18669</v>
      </c>
      <c r="H149" s="31" t="n">
        <v>5</v>
      </c>
      <c r="I149" s="31" t="n">
        <v>93343</v>
      </c>
      <c r="J149" s="29" t="n">
        <v>45439</v>
      </c>
      <c r="K149" s="31" t="n">
        <v>17772</v>
      </c>
      <c r="L149" s="30" t="s">
        <v>32</v>
      </c>
      <c r="M149" s="10" t="n">
        <v>6</v>
      </c>
      <c r="N149" s="12" t="n">
        <v>-4669</v>
      </c>
      <c r="O149" s="13" t="n">
        <v>-0.0500248334507317</v>
      </c>
      <c r="P149" s="15" t="n">
        <v>0.0686364573764038</v>
      </c>
      <c r="Q149" s="13" t="n">
        <v>-0.0749197183513536</v>
      </c>
      <c r="R149" s="15" t="n">
        <v>0.0292494481236203</v>
      </c>
      <c r="S149" s="32" t="n">
        <v>37491889850</v>
      </c>
      <c r="T149" s="15" t="n">
        <v>0.0196828868234007</v>
      </c>
      <c r="U149" s="32" t="n">
        <v>10921078727.5</v>
      </c>
      <c r="V149" s="14" t="n">
        <v>3.17892087040256</v>
      </c>
      <c r="W149" s="13" t="n">
        <v>-0.0271257172665623</v>
      </c>
      <c r="X149" s="15" t="n">
        <v>0.027882037533512</v>
      </c>
      <c r="Y149" s="13" t="n">
        <v>-0.0103087540864512</v>
      </c>
      <c r="Z149" s="13" t="n">
        <v>0.00460153236927297</v>
      </c>
      <c r="AA149" s="30" t="s">
        <v>97</v>
      </c>
      <c r="AB149" s="28" t="s">
        <v>93</v>
      </c>
      <c r="AC149" s="28" t="s">
        <v>99</v>
      </c>
      <c r="AD149" s="28" t="s">
        <v>107</v>
      </c>
      <c r="AE149" s="28" t="s">
        <v>112</v>
      </c>
      <c r="AF149" s="28" t="s">
        <v>118</v>
      </c>
      <c r="AG149" s="30" t="s">
        <v>123</v>
      </c>
    </row>
    <row r="150" customFormat="false" ht="15" hidden="false" customHeight="false" outlineLevel="0" collapsed="false">
      <c r="A150" s="10" t="n">
        <v>2024</v>
      </c>
      <c r="B150" s="28" t="s">
        <v>55</v>
      </c>
      <c r="C150" s="29" t="n">
        <v>45434</v>
      </c>
      <c r="D150" s="30" t="s">
        <v>127</v>
      </c>
      <c r="E150" s="28" t="s">
        <v>425</v>
      </c>
      <c r="F150" s="30" t="s">
        <v>426</v>
      </c>
      <c r="G150" s="31" t="n">
        <v>6016</v>
      </c>
      <c r="H150" s="31" t="n">
        <v>16</v>
      </c>
      <c r="I150" s="31" t="n">
        <v>96256</v>
      </c>
      <c r="J150" s="29" t="n">
        <v>45435</v>
      </c>
      <c r="K150" s="31" t="n">
        <v>7220</v>
      </c>
      <c r="L150" s="30" t="s">
        <v>31</v>
      </c>
      <c r="M150" s="10" t="n">
        <v>1</v>
      </c>
      <c r="N150" s="12" t="n">
        <v>19024</v>
      </c>
      <c r="O150" s="13" t="n">
        <v>0.197640728406369</v>
      </c>
      <c r="P150" s="15" t="n">
        <v>0.245011228372293</v>
      </c>
      <c r="Q150" s="13" t="n">
        <v>-0.0425547829873952</v>
      </c>
      <c r="R150" s="15" t="n">
        <v>0.259958071278826</v>
      </c>
      <c r="S150" s="32" t="n">
        <v>144065175110</v>
      </c>
      <c r="T150" s="15" t="n">
        <v>0.166990291262136</v>
      </c>
      <c r="U150" s="32" t="n">
        <v>9648654676</v>
      </c>
      <c r="V150" s="14" t="n">
        <v>11.9775966993656</v>
      </c>
      <c r="W150" s="13" t="n">
        <v>0.0273504273504273</v>
      </c>
      <c r="X150" s="15" t="n">
        <v>0.0232945091514143</v>
      </c>
      <c r="Y150" s="13" t="n">
        <v>-0.000264299715877714</v>
      </c>
      <c r="Z150" s="13" t="n">
        <v>-0.00251983269482925</v>
      </c>
      <c r="AA150" s="30" t="s">
        <v>97</v>
      </c>
      <c r="AB150" s="28" t="s">
        <v>94</v>
      </c>
      <c r="AC150" s="28" t="s">
        <v>104</v>
      </c>
      <c r="AD150" s="28" t="s">
        <v>109</v>
      </c>
      <c r="AE150" s="28" t="s">
        <v>114</v>
      </c>
      <c r="AF150" s="28" t="s">
        <v>120</v>
      </c>
      <c r="AG150" s="30" t="s">
        <v>122</v>
      </c>
    </row>
    <row r="151" customFormat="false" ht="15" hidden="false" customHeight="false" outlineLevel="0" collapsed="false">
      <c r="A151" s="10" t="n">
        <v>2024</v>
      </c>
      <c r="B151" s="28" t="s">
        <v>55</v>
      </c>
      <c r="C151" s="29" t="n">
        <v>45435</v>
      </c>
      <c r="D151" s="30" t="s">
        <v>128</v>
      </c>
      <c r="E151" s="28" t="s">
        <v>427</v>
      </c>
      <c r="F151" s="30" t="s">
        <v>428</v>
      </c>
      <c r="G151" s="31" t="n">
        <v>90891</v>
      </c>
      <c r="H151" s="31" t="n">
        <v>1</v>
      </c>
      <c r="I151" s="31" t="n">
        <v>90891</v>
      </c>
      <c r="J151" s="29" t="n">
        <v>45441</v>
      </c>
      <c r="K151" s="31" t="n">
        <v>86513</v>
      </c>
      <c r="L151" s="30" t="s">
        <v>32</v>
      </c>
      <c r="M151" s="10" t="n">
        <v>4</v>
      </c>
      <c r="N151" s="12" t="n">
        <v>-4560</v>
      </c>
      <c r="O151" s="13" t="n">
        <v>-0.0501671758857883</v>
      </c>
      <c r="P151" s="15" t="n">
        <v>0.107922914090315</v>
      </c>
      <c r="Q151" s="13" t="n">
        <v>-0.0483085196741583</v>
      </c>
      <c r="R151" s="15" t="n">
        <v>0.112745098039216</v>
      </c>
      <c r="S151" s="32" t="n">
        <v>45222667600</v>
      </c>
      <c r="T151" s="15" t="n">
        <v>0.0509259259259258</v>
      </c>
      <c r="U151" s="32" t="n">
        <v>13068967860</v>
      </c>
      <c r="V151" s="14" t="n">
        <v>3.15996110696062</v>
      </c>
      <c r="W151" s="13" t="n">
        <v>0.116851168511685</v>
      </c>
      <c r="X151" s="15" t="n">
        <v>0.00330396475770933</v>
      </c>
      <c r="Y151" s="13" t="n">
        <v>-0.000605846974069735</v>
      </c>
      <c r="Z151" s="13" t="n">
        <v>-0.0113294587722485</v>
      </c>
      <c r="AA151" s="30" t="s">
        <v>97</v>
      </c>
      <c r="AB151" s="28" t="s">
        <v>94</v>
      </c>
      <c r="AC151" s="28" t="s">
        <v>102</v>
      </c>
      <c r="AD151" s="28" t="s">
        <v>107</v>
      </c>
      <c r="AE151" s="28" t="s">
        <v>101</v>
      </c>
      <c r="AF151" s="28" t="s">
        <v>118</v>
      </c>
      <c r="AG151" s="30" t="s">
        <v>122</v>
      </c>
    </row>
    <row r="152" customFormat="false" ht="15" hidden="false" customHeight="false" outlineLevel="0" collapsed="false">
      <c r="A152" s="10" t="n">
        <v>2024</v>
      </c>
      <c r="B152" s="28" t="s">
        <v>55</v>
      </c>
      <c r="C152" s="29" t="n">
        <v>45439</v>
      </c>
      <c r="D152" s="30" t="s">
        <v>125</v>
      </c>
      <c r="E152" s="28" t="s">
        <v>429</v>
      </c>
      <c r="F152" s="30" t="s">
        <v>430</v>
      </c>
      <c r="G152" s="31" t="n">
        <v>81982</v>
      </c>
      <c r="H152" s="31" t="n">
        <v>1</v>
      </c>
      <c r="I152" s="31" t="n">
        <v>81982</v>
      </c>
      <c r="J152" s="29" t="n">
        <v>45467</v>
      </c>
      <c r="K152" s="31" t="n">
        <v>78022</v>
      </c>
      <c r="L152" s="30" t="s">
        <v>32</v>
      </c>
      <c r="M152" s="10" t="n">
        <v>19</v>
      </c>
      <c r="N152" s="12" t="n">
        <v>-4124</v>
      </c>
      <c r="O152" s="13" t="n">
        <v>-0.0503091534838789</v>
      </c>
      <c r="P152" s="15" t="n">
        <v>0.181968214935248</v>
      </c>
      <c r="Q152" s="13" t="n">
        <v>-0.0815045760100704</v>
      </c>
      <c r="R152" s="15" t="n">
        <v>0.126547455295736</v>
      </c>
      <c r="S152" s="32" t="n">
        <v>30327078600</v>
      </c>
      <c r="T152" s="15" t="n">
        <v>0.0224719101123596</v>
      </c>
      <c r="U152" s="32" t="n">
        <v>4749808240</v>
      </c>
      <c r="V152" s="14" t="n">
        <v>5.86962810555991</v>
      </c>
      <c r="W152" s="13" t="n">
        <v>0.126547455295736</v>
      </c>
      <c r="X152" s="15" t="n">
        <v>0.0073260073260073</v>
      </c>
      <c r="Y152" s="13" t="n">
        <v>0.0131678821253163</v>
      </c>
      <c r="Z152" s="13" t="n">
        <v>-0.00698359675290106</v>
      </c>
      <c r="AA152" s="30" t="s">
        <v>97</v>
      </c>
      <c r="AB152" s="28" t="s">
        <v>94</v>
      </c>
      <c r="AC152" s="28" t="s">
        <v>102</v>
      </c>
      <c r="AD152" s="28" t="s">
        <v>107</v>
      </c>
      <c r="AE152" s="28" t="s">
        <v>113</v>
      </c>
      <c r="AF152" s="28" t="s">
        <v>119</v>
      </c>
      <c r="AG152" s="30" t="s">
        <v>122</v>
      </c>
    </row>
    <row r="153" customFormat="false" ht="15" hidden="false" customHeight="false" outlineLevel="0" collapsed="false">
      <c r="A153" s="10" t="n">
        <v>2024</v>
      </c>
      <c r="B153" s="28" t="s">
        <v>55</v>
      </c>
      <c r="C153" s="29" t="n">
        <v>45440</v>
      </c>
      <c r="D153" s="30" t="s">
        <v>126</v>
      </c>
      <c r="E153" s="28" t="s">
        <v>431</v>
      </c>
      <c r="F153" s="28" t="s">
        <v>432</v>
      </c>
      <c r="G153" s="31" t="n">
        <v>45245</v>
      </c>
      <c r="H153" s="31" t="n">
        <v>2</v>
      </c>
      <c r="I153" s="31" t="n">
        <v>90490</v>
      </c>
      <c r="J153" s="29" t="n">
        <v>45442</v>
      </c>
      <c r="K153" s="31" t="n">
        <v>43007</v>
      </c>
      <c r="L153" s="30" t="s">
        <v>32</v>
      </c>
      <c r="M153" s="10" t="n">
        <v>2</v>
      </c>
      <c r="N153" s="12" t="n">
        <v>-4658</v>
      </c>
      <c r="O153" s="13" t="n">
        <v>-0.051472870768612</v>
      </c>
      <c r="P153" s="15" t="n">
        <v>0.00784171580631754</v>
      </c>
      <c r="Q153" s="13" t="n">
        <v>-0.0695145562402199</v>
      </c>
      <c r="R153" s="15" t="n">
        <v>0.0685579196217494</v>
      </c>
      <c r="S153" s="32" t="n">
        <v>219040058800</v>
      </c>
      <c r="T153" s="15" t="n">
        <v>0.0660377358490567</v>
      </c>
      <c r="U153" s="32" t="n">
        <v>76085958137.5</v>
      </c>
      <c r="V153" s="14" t="n">
        <v>2.54476960000538</v>
      </c>
      <c r="W153" s="13" t="n">
        <v>0.0698224852071006</v>
      </c>
      <c r="X153" s="15" t="n">
        <v>0.00442477876106184</v>
      </c>
      <c r="Y153" s="13" t="n">
        <v>-5.14140705620836E-005</v>
      </c>
      <c r="Z153" s="13" t="n">
        <v>-0.00048822030849649</v>
      </c>
      <c r="AA153" s="30" t="s">
        <v>97</v>
      </c>
      <c r="AB153" s="28" t="s">
        <v>94</v>
      </c>
      <c r="AC153" s="28" t="s">
        <v>101</v>
      </c>
      <c r="AD153" s="28" t="s">
        <v>110</v>
      </c>
      <c r="AE153" s="28" t="s">
        <v>101</v>
      </c>
      <c r="AF153" s="28" t="s">
        <v>117</v>
      </c>
      <c r="AG153" s="30" t="s">
        <v>122</v>
      </c>
    </row>
    <row r="154" customFormat="false" ht="15" hidden="false" customHeight="false" outlineLevel="0" collapsed="false">
      <c r="A154" s="10" t="n">
        <v>2024</v>
      </c>
      <c r="B154" s="28" t="s">
        <v>55</v>
      </c>
      <c r="C154" s="29" t="n">
        <v>45441</v>
      </c>
      <c r="D154" s="30" t="s">
        <v>127</v>
      </c>
      <c r="E154" s="28" t="s">
        <v>433</v>
      </c>
      <c r="F154" s="30" t="s">
        <v>434</v>
      </c>
      <c r="G154" s="31" t="n">
        <v>11952</v>
      </c>
      <c r="H154" s="31" t="n">
        <v>8</v>
      </c>
      <c r="I154" s="31" t="n">
        <v>95616</v>
      </c>
      <c r="J154" s="29" t="n">
        <v>45442</v>
      </c>
      <c r="K154" s="31" t="n">
        <v>11379</v>
      </c>
      <c r="L154" s="30" t="s">
        <v>32</v>
      </c>
      <c r="M154" s="10" t="n">
        <v>1</v>
      </c>
      <c r="N154" s="12" t="n">
        <v>-4778</v>
      </c>
      <c r="O154" s="13" t="n">
        <v>-0.0499760775656504</v>
      </c>
      <c r="P154" s="15" t="n">
        <v>-0.0135492648055461</v>
      </c>
      <c r="Q154" s="13" t="n">
        <v>-0.084667426375969</v>
      </c>
      <c r="R154" s="15" t="n">
        <v>0.158098933074685</v>
      </c>
      <c r="S154" s="32" t="n">
        <v>306757130880</v>
      </c>
      <c r="T154" s="15" t="n">
        <v>0.0756756756756756</v>
      </c>
      <c r="U154" s="32" t="n">
        <v>10571666957</v>
      </c>
      <c r="V154" s="14" t="n">
        <v>25.6047799611895</v>
      </c>
      <c r="W154" s="13" t="n">
        <v>0.137142857142857</v>
      </c>
      <c r="X154" s="15" t="n">
        <v>0.0368509212730319</v>
      </c>
      <c r="Y154" s="13" t="n">
        <v>-0.0167287951962097</v>
      </c>
      <c r="Z154" s="13" t="n">
        <v>-0.0169490280745815</v>
      </c>
      <c r="AA154" s="30" t="s">
        <v>96</v>
      </c>
      <c r="AB154" s="28" t="s">
        <v>94</v>
      </c>
      <c r="AC154" s="28" t="s">
        <v>103</v>
      </c>
      <c r="AD154" s="28" t="s">
        <v>110</v>
      </c>
      <c r="AE154" s="28" t="s">
        <v>101</v>
      </c>
      <c r="AF154" s="28" t="s">
        <v>120</v>
      </c>
      <c r="AG154" s="30" t="s">
        <v>122</v>
      </c>
    </row>
    <row r="155" customFormat="false" ht="15" hidden="false" customHeight="false" outlineLevel="0" collapsed="false">
      <c r="A155" s="10" t="n">
        <v>2024</v>
      </c>
      <c r="B155" s="28" t="s">
        <v>55</v>
      </c>
      <c r="C155" s="29" t="n">
        <v>45443</v>
      </c>
      <c r="D155" s="30" t="s">
        <v>129</v>
      </c>
      <c r="E155" s="28" t="s">
        <v>435</v>
      </c>
      <c r="F155" s="30" t="s">
        <v>436</v>
      </c>
      <c r="G155" s="31" t="n">
        <v>21021</v>
      </c>
      <c r="H155" s="31" t="n">
        <v>4</v>
      </c>
      <c r="I155" s="31" t="n">
        <v>84084</v>
      </c>
      <c r="J155" s="29" t="n">
        <v>45446</v>
      </c>
      <c r="K155" s="31" t="n">
        <v>19980</v>
      </c>
      <c r="L155" s="30" t="s">
        <v>32</v>
      </c>
      <c r="M155" s="10" t="n">
        <v>1</v>
      </c>
      <c r="N155" s="12" t="n">
        <v>-4332</v>
      </c>
      <c r="O155" s="13" t="n">
        <v>-0.0515253389467674</v>
      </c>
      <c r="P155" s="15" t="n">
        <v>0.0251653108795968</v>
      </c>
      <c r="Q155" s="13" t="n">
        <v>-0.0890062318633745</v>
      </c>
      <c r="R155" s="15" t="n">
        <v>0.158301158301158</v>
      </c>
      <c r="S155" s="32" t="n">
        <v>198817143000</v>
      </c>
      <c r="T155" s="15" t="n">
        <v>0.0396039603960396</v>
      </c>
      <c r="U155" s="32" t="n">
        <v>34796045094.5</v>
      </c>
      <c r="V155" s="14" t="n">
        <v>5.17381141203581</v>
      </c>
      <c r="W155" s="13" t="n">
        <v>0.158301158301158</v>
      </c>
      <c r="X155" s="15" t="n">
        <v>0.0452380952380953</v>
      </c>
      <c r="Y155" s="13" t="n">
        <v>0.00040979874328384</v>
      </c>
      <c r="Z155" s="13" t="n">
        <v>-0.0190058044351837</v>
      </c>
      <c r="AA155" s="30" t="s">
        <v>96</v>
      </c>
      <c r="AB155" s="28" t="s">
        <v>94</v>
      </c>
      <c r="AC155" s="28" t="s">
        <v>103</v>
      </c>
      <c r="AD155" s="28" t="s">
        <v>109</v>
      </c>
      <c r="AE155" s="28" t="s">
        <v>113</v>
      </c>
      <c r="AF155" s="28" t="s">
        <v>119</v>
      </c>
      <c r="AG155" s="30" t="s">
        <v>122</v>
      </c>
    </row>
    <row r="156" customFormat="false" ht="15" hidden="false" customHeight="false" outlineLevel="0" collapsed="false">
      <c r="A156" s="10" t="n">
        <v>2024</v>
      </c>
      <c r="B156" s="28" t="s">
        <v>55</v>
      </c>
      <c r="C156" s="29" t="n">
        <v>45443</v>
      </c>
      <c r="D156" s="30" t="s">
        <v>129</v>
      </c>
      <c r="E156" s="28" t="s">
        <v>437</v>
      </c>
      <c r="F156" s="30" t="s">
        <v>438</v>
      </c>
      <c r="G156" s="31" t="n">
        <v>10851</v>
      </c>
      <c r="H156" s="31" t="n">
        <v>9</v>
      </c>
      <c r="I156" s="31" t="n">
        <v>97658</v>
      </c>
      <c r="J156" s="29" t="n">
        <v>45446</v>
      </c>
      <c r="K156" s="31" t="n">
        <v>10330</v>
      </c>
      <c r="L156" s="30" t="s">
        <v>32</v>
      </c>
      <c r="M156" s="10" t="n">
        <v>1</v>
      </c>
      <c r="N156" s="12" t="n">
        <v>-4887</v>
      </c>
      <c r="O156" s="13" t="n">
        <v>-0.0500376434451157</v>
      </c>
      <c r="P156" s="15" t="n">
        <v>0.00453052482572791</v>
      </c>
      <c r="Q156" s="13" t="n">
        <v>-0.059059022158653</v>
      </c>
      <c r="R156" s="15" t="n">
        <v>0.0872617853560682</v>
      </c>
      <c r="S156" s="32" t="n">
        <v>42490664520</v>
      </c>
      <c r="T156" s="15" t="n">
        <v>0.0627450980392157</v>
      </c>
      <c r="U156" s="32" t="n">
        <v>6265636243.5</v>
      </c>
      <c r="V156" s="14" t="n">
        <v>6.18049627464479</v>
      </c>
      <c r="W156" s="13" t="n">
        <v>0.0732673267326733</v>
      </c>
      <c r="X156" s="15" t="n">
        <v>0.00369003690036895</v>
      </c>
      <c r="Y156" s="13" t="n">
        <v>0.00040979874328384</v>
      </c>
      <c r="Z156" s="13" t="n">
        <v>-0.0190058044351837</v>
      </c>
      <c r="AA156" s="30" t="s">
        <v>96</v>
      </c>
      <c r="AB156" s="28" t="s">
        <v>94</v>
      </c>
      <c r="AC156" s="28" t="s">
        <v>101</v>
      </c>
      <c r="AD156" s="28" t="s">
        <v>107</v>
      </c>
      <c r="AE156" s="28" t="s">
        <v>101</v>
      </c>
      <c r="AF156" s="28" t="s">
        <v>119</v>
      </c>
      <c r="AG156" s="30" t="s">
        <v>122</v>
      </c>
    </row>
    <row r="157" customFormat="false" ht="15" hidden="false" customHeight="false" outlineLevel="0" collapsed="false">
      <c r="A157" s="10" t="n">
        <v>2024</v>
      </c>
      <c r="B157" s="28" t="s">
        <v>56</v>
      </c>
      <c r="C157" s="29" t="n">
        <v>45446</v>
      </c>
      <c r="D157" s="30" t="s">
        <v>125</v>
      </c>
      <c r="E157" s="28" t="s">
        <v>439</v>
      </c>
      <c r="F157" s="30" t="s">
        <v>440</v>
      </c>
      <c r="G157" s="31" t="n">
        <v>16527</v>
      </c>
      <c r="H157" s="31" t="n">
        <v>6</v>
      </c>
      <c r="I157" s="31" t="n">
        <v>99159</v>
      </c>
      <c r="J157" s="29" t="n">
        <v>45448</v>
      </c>
      <c r="K157" s="31" t="n">
        <v>15724</v>
      </c>
      <c r="L157" s="30" t="s">
        <v>32</v>
      </c>
      <c r="M157" s="10" t="n">
        <v>2</v>
      </c>
      <c r="N157" s="12" t="n">
        <v>-5012</v>
      </c>
      <c r="O157" s="13" t="n">
        <v>-0.0505485600710618</v>
      </c>
      <c r="P157" s="15" t="n">
        <v>0.0195740056430549</v>
      </c>
      <c r="Q157" s="13" t="n">
        <v>-0.0693739936623037</v>
      </c>
      <c r="R157" s="15" t="n">
        <v>0.241353383458647</v>
      </c>
      <c r="S157" s="32" t="n">
        <v>301176988450</v>
      </c>
      <c r="T157" s="15" t="n">
        <v>0.223869532987398</v>
      </c>
      <c r="U157" s="32" t="n">
        <v>6384621056</v>
      </c>
      <c r="V157" s="14" t="n">
        <v>35.5938351299099</v>
      </c>
      <c r="W157" s="13" t="n">
        <v>0.0651612903225807</v>
      </c>
      <c r="X157" s="15" t="n">
        <v>0.0472440944881889</v>
      </c>
      <c r="Y157" s="13" t="n">
        <v>0.0174472410601854</v>
      </c>
      <c r="Z157" s="13" t="n">
        <v>-0.0148623388260698</v>
      </c>
      <c r="AA157" s="30" t="s">
        <v>96</v>
      </c>
      <c r="AB157" s="28" t="s">
        <v>94</v>
      </c>
      <c r="AC157" s="28" t="s">
        <v>104</v>
      </c>
      <c r="AD157" s="28" t="s">
        <v>110</v>
      </c>
      <c r="AE157" s="28" t="s">
        <v>114</v>
      </c>
      <c r="AF157" s="28" t="s">
        <v>120</v>
      </c>
      <c r="AG157" s="30" t="s">
        <v>122</v>
      </c>
    </row>
    <row r="158" customFormat="false" ht="15" hidden="false" customHeight="false" outlineLevel="0" collapsed="false">
      <c r="A158" s="10" t="n">
        <v>2024</v>
      </c>
      <c r="B158" s="28" t="s">
        <v>56</v>
      </c>
      <c r="C158" s="29" t="n">
        <v>45446</v>
      </c>
      <c r="D158" s="30" t="s">
        <v>125</v>
      </c>
      <c r="E158" s="28" t="s">
        <v>377</v>
      </c>
      <c r="F158" s="30" t="s">
        <v>378</v>
      </c>
      <c r="G158" s="31" t="n">
        <v>4905</v>
      </c>
      <c r="H158" s="31" t="n">
        <v>20</v>
      </c>
      <c r="I158" s="31" t="n">
        <v>98098</v>
      </c>
      <c r="J158" s="29" t="n">
        <v>45453</v>
      </c>
      <c r="K158" s="31" t="n">
        <v>5890</v>
      </c>
      <c r="L158" s="30" t="s">
        <v>31</v>
      </c>
      <c r="M158" s="10" t="n">
        <v>4</v>
      </c>
      <c r="N158" s="12" t="n">
        <v>19458</v>
      </c>
      <c r="O158" s="13" t="n">
        <v>0.198348338396297</v>
      </c>
      <c r="P158" s="15" t="n">
        <v>0.202878753899162</v>
      </c>
      <c r="Q158" s="13" t="n">
        <v>-0.0111928887439091</v>
      </c>
      <c r="R158" s="15" t="n">
        <v>0.0392364793213149</v>
      </c>
      <c r="S158" s="32" t="n">
        <v>26895056300</v>
      </c>
      <c r="T158" s="15" t="n">
        <v>0.0134436401240952</v>
      </c>
      <c r="U158" s="32" t="n">
        <v>3314389742.25</v>
      </c>
      <c r="V158" s="14" t="n">
        <v>7.83139042679881</v>
      </c>
      <c r="W158" s="13" t="n">
        <v>0.0315789473684212</v>
      </c>
      <c r="X158" s="15" t="n">
        <v>0.0571428571428572</v>
      </c>
      <c r="Y158" s="13" t="n">
        <v>0.0174472410601854</v>
      </c>
      <c r="Z158" s="13" t="n">
        <v>-0.0148623388260698</v>
      </c>
      <c r="AA158" s="30" t="s">
        <v>96</v>
      </c>
      <c r="AB158" s="28" t="s">
        <v>94</v>
      </c>
      <c r="AC158" s="28" t="s">
        <v>100</v>
      </c>
      <c r="AD158" s="28" t="s">
        <v>106</v>
      </c>
      <c r="AE158" s="28" t="s">
        <v>112</v>
      </c>
      <c r="AF158" s="28" t="s">
        <v>119</v>
      </c>
      <c r="AG158" s="30" t="s">
        <v>122</v>
      </c>
    </row>
    <row r="159" customFormat="false" ht="15" hidden="false" customHeight="false" outlineLevel="0" collapsed="false">
      <c r="A159" s="10" t="n">
        <v>2024</v>
      </c>
      <c r="B159" s="28" t="s">
        <v>56</v>
      </c>
      <c r="C159" s="29" t="n">
        <v>45448</v>
      </c>
      <c r="D159" s="30" t="s">
        <v>127</v>
      </c>
      <c r="E159" s="28" t="s">
        <v>441</v>
      </c>
      <c r="F159" s="30" t="s">
        <v>442</v>
      </c>
      <c r="G159" s="31" t="n">
        <v>11291</v>
      </c>
      <c r="H159" s="31" t="n">
        <v>8</v>
      </c>
      <c r="I159" s="31" t="n">
        <v>90330</v>
      </c>
      <c r="J159" s="29" t="n">
        <v>45454</v>
      </c>
      <c r="K159" s="31" t="n">
        <v>10749</v>
      </c>
      <c r="L159" s="30" t="s">
        <v>32</v>
      </c>
      <c r="M159" s="10" t="n">
        <v>3</v>
      </c>
      <c r="N159" s="12" t="n">
        <v>-4518</v>
      </c>
      <c r="O159" s="13" t="n">
        <v>-0.0500115761897677</v>
      </c>
      <c r="P159" s="15" t="n">
        <v>0.0335409271579485</v>
      </c>
      <c r="Q159" s="13" t="n">
        <v>-0.05856554792725</v>
      </c>
      <c r="R159" s="15" t="n">
        <v>0.222101841820152</v>
      </c>
      <c r="S159" s="32" t="n">
        <v>167816677200</v>
      </c>
      <c r="T159" s="15" t="n">
        <v>0.00534759358288772</v>
      </c>
      <c r="U159" s="32" t="n">
        <v>6118647843</v>
      </c>
      <c r="V159" s="14" t="n">
        <v>24.831152058242</v>
      </c>
      <c r="W159" s="13" t="n">
        <v>0.187368421052632</v>
      </c>
      <c r="X159" s="15" t="n">
        <v>0.0195035460992907</v>
      </c>
      <c r="Y159" s="13" t="n">
        <v>0.0102926261222345</v>
      </c>
      <c r="Z159" s="13" t="n">
        <v>0.00455682964180326</v>
      </c>
      <c r="AA159" s="30" t="s">
        <v>96</v>
      </c>
      <c r="AB159" s="28" t="s">
        <v>93</v>
      </c>
      <c r="AC159" s="28" t="s">
        <v>104</v>
      </c>
      <c r="AD159" s="28" t="s">
        <v>109</v>
      </c>
      <c r="AE159" s="28" t="s">
        <v>112</v>
      </c>
      <c r="AF159" s="28" t="s">
        <v>120</v>
      </c>
      <c r="AG159" s="30" t="s">
        <v>122</v>
      </c>
    </row>
    <row r="160" customFormat="false" ht="15" hidden="false" customHeight="false" outlineLevel="0" collapsed="false">
      <c r="A160" s="10" t="n">
        <v>2024</v>
      </c>
      <c r="B160" s="28" t="s">
        <v>56</v>
      </c>
      <c r="C160" s="29" t="n">
        <v>45448</v>
      </c>
      <c r="D160" s="30" t="s">
        <v>127</v>
      </c>
      <c r="E160" s="28" t="s">
        <v>443</v>
      </c>
      <c r="F160" s="30" t="s">
        <v>444</v>
      </c>
      <c r="G160" s="31" t="n">
        <v>35778</v>
      </c>
      <c r="H160" s="31" t="n">
        <v>2</v>
      </c>
      <c r="I160" s="31" t="n">
        <v>71555</v>
      </c>
      <c r="J160" s="29" t="n">
        <v>45450</v>
      </c>
      <c r="K160" s="31" t="n">
        <v>42950</v>
      </c>
      <c r="L160" s="30" t="s">
        <v>31</v>
      </c>
      <c r="M160" s="10" t="n">
        <v>1</v>
      </c>
      <c r="N160" s="12" t="n">
        <v>14167</v>
      </c>
      <c r="O160" s="13" t="n">
        <v>0.197982722683806</v>
      </c>
      <c r="P160" s="15" t="n">
        <v>0.219832798780167</v>
      </c>
      <c r="Q160" s="13" t="n">
        <v>-0.00333584544110854</v>
      </c>
      <c r="R160" s="15" t="n">
        <v>0.0989717223650384</v>
      </c>
      <c r="S160" s="32" t="n">
        <v>74053773000</v>
      </c>
      <c r="T160" s="15" t="n">
        <v>0.0312831389183454</v>
      </c>
      <c r="U160" s="32" t="n">
        <v>14803778655</v>
      </c>
      <c r="V160" s="14" t="n">
        <v>4.33266225049272</v>
      </c>
      <c r="W160" s="13" t="n">
        <v>0.0768261964735517</v>
      </c>
      <c r="X160" s="15" t="n">
        <v>0.0994152046783627</v>
      </c>
      <c r="Y160" s="13" t="n">
        <v>0.0102926261222345</v>
      </c>
      <c r="Z160" s="13" t="n">
        <v>0.00455682964180326</v>
      </c>
      <c r="AA160" s="30" t="s">
        <v>96</v>
      </c>
      <c r="AB160" s="28" t="s">
        <v>93</v>
      </c>
      <c r="AC160" s="28" t="s">
        <v>101</v>
      </c>
      <c r="AD160" s="28" t="s">
        <v>108</v>
      </c>
      <c r="AE160" s="28" t="s">
        <v>113</v>
      </c>
      <c r="AF160" s="28" t="s">
        <v>118</v>
      </c>
      <c r="AG160" s="30" t="s">
        <v>122</v>
      </c>
    </row>
    <row r="161" customFormat="false" ht="15" hidden="false" customHeight="false" outlineLevel="0" collapsed="false">
      <c r="A161" s="10" t="n">
        <v>2024</v>
      </c>
      <c r="B161" s="28" t="s">
        <v>56</v>
      </c>
      <c r="C161" s="29" t="n">
        <v>45448</v>
      </c>
      <c r="D161" s="30" t="s">
        <v>127</v>
      </c>
      <c r="E161" s="28" t="s">
        <v>445</v>
      </c>
      <c r="F161" s="28" t="s">
        <v>446</v>
      </c>
      <c r="G161" s="31" t="n">
        <v>54554</v>
      </c>
      <c r="H161" s="31" t="n">
        <v>1</v>
      </c>
      <c r="I161" s="31" t="n">
        <v>54554</v>
      </c>
      <c r="J161" s="29" t="n">
        <v>45468</v>
      </c>
      <c r="K161" s="31" t="n">
        <v>51848</v>
      </c>
      <c r="L161" s="30" t="s">
        <v>32</v>
      </c>
      <c r="M161" s="10" t="n">
        <v>13</v>
      </c>
      <c r="N161" s="12" t="n">
        <v>-2816</v>
      </c>
      <c r="O161" s="13" t="n">
        <v>-0.0516123687321853</v>
      </c>
      <c r="P161" s="15" t="n">
        <v>0.130979112630489</v>
      </c>
      <c r="Q161" s="13" t="n">
        <v>-0.0559898816779549</v>
      </c>
      <c r="R161" s="15" t="n">
        <v>0.10435663627153</v>
      </c>
      <c r="S161" s="32" t="n">
        <v>49614565500</v>
      </c>
      <c r="T161" s="15" t="n">
        <v>0.0521235521235521</v>
      </c>
      <c r="U161" s="32" t="n">
        <v>9397877087.5</v>
      </c>
      <c r="V161" s="14" t="n">
        <v>4.725348791761</v>
      </c>
      <c r="W161" s="13" t="n">
        <v>0.0728346456692914</v>
      </c>
      <c r="X161" s="15" t="n">
        <v>0.0183486238532109</v>
      </c>
      <c r="Y161" s="13" t="n">
        <v>0.0102926261222345</v>
      </c>
      <c r="Z161" s="13" t="n">
        <v>0.00455682964180326</v>
      </c>
      <c r="AA161" s="30" t="s">
        <v>96</v>
      </c>
      <c r="AB161" s="28" t="s">
        <v>93</v>
      </c>
      <c r="AC161" s="28" t="s">
        <v>102</v>
      </c>
      <c r="AD161" s="28" t="s">
        <v>107</v>
      </c>
      <c r="AE161" s="28" t="s">
        <v>101</v>
      </c>
      <c r="AF161" s="28" t="s">
        <v>118</v>
      </c>
      <c r="AG161" s="30" t="s">
        <v>122</v>
      </c>
    </row>
    <row r="162" customFormat="false" ht="15" hidden="false" customHeight="false" outlineLevel="0" collapsed="false">
      <c r="A162" s="10" t="n">
        <v>2024</v>
      </c>
      <c r="B162" s="28" t="s">
        <v>56</v>
      </c>
      <c r="C162" s="29" t="n">
        <v>45450</v>
      </c>
      <c r="D162" s="30" t="s">
        <v>129</v>
      </c>
      <c r="E162" s="28" t="s">
        <v>235</v>
      </c>
      <c r="F162" s="30" t="s">
        <v>236</v>
      </c>
      <c r="G162" s="31" t="n">
        <v>35535</v>
      </c>
      <c r="H162" s="31" t="n">
        <v>2</v>
      </c>
      <c r="I162" s="31" t="n">
        <v>71071</v>
      </c>
      <c r="J162" s="29" t="n">
        <v>45453</v>
      </c>
      <c r="K162" s="31" t="n">
        <v>33816</v>
      </c>
      <c r="L162" s="30" t="s">
        <v>32</v>
      </c>
      <c r="M162" s="10" t="n">
        <v>1</v>
      </c>
      <c r="N162" s="12" t="n">
        <v>-3581</v>
      </c>
      <c r="O162" s="13" t="n">
        <v>-0.0503896615356473</v>
      </c>
      <c r="P162" s="15" t="n">
        <v>-0.0249187432286022</v>
      </c>
      <c r="Q162" s="13" t="n">
        <v>-0.0516525727793331</v>
      </c>
      <c r="R162" s="15" t="n">
        <v>0.0612855007473843</v>
      </c>
      <c r="S162" s="32" t="n">
        <v>72721288500</v>
      </c>
      <c r="T162" s="15" t="n">
        <v>0.018651362984218</v>
      </c>
      <c r="U162" s="32" t="n">
        <v>28377117635</v>
      </c>
      <c r="V162" s="14" t="n">
        <v>2.40188639269081</v>
      </c>
      <c r="W162" s="13" t="n">
        <v>0.0502958579881656</v>
      </c>
      <c r="X162" s="15" t="n">
        <v>0.00422535211267605</v>
      </c>
      <c r="Y162" s="13" t="n">
        <v>0.012333147425172</v>
      </c>
      <c r="Z162" s="13" t="n">
        <v>0.0330988373857877</v>
      </c>
      <c r="AA162" s="30" t="s">
        <v>97</v>
      </c>
      <c r="AB162" s="28" t="s">
        <v>93</v>
      </c>
      <c r="AC162" s="28" t="s">
        <v>101</v>
      </c>
      <c r="AD162" s="28" t="s">
        <v>108</v>
      </c>
      <c r="AE162" s="28" t="s">
        <v>112</v>
      </c>
      <c r="AF162" s="28" t="s">
        <v>117</v>
      </c>
      <c r="AG162" s="30" t="s">
        <v>122</v>
      </c>
    </row>
    <row r="163" customFormat="false" ht="15" hidden="false" customHeight="false" outlineLevel="0" collapsed="false">
      <c r="A163" s="10" t="n">
        <v>2024</v>
      </c>
      <c r="B163" s="28" t="s">
        <v>56</v>
      </c>
      <c r="C163" s="29" t="n">
        <v>45453</v>
      </c>
      <c r="D163" s="30" t="s">
        <v>125</v>
      </c>
      <c r="E163" s="28" t="s">
        <v>447</v>
      </c>
      <c r="F163" s="30" t="s">
        <v>448</v>
      </c>
      <c r="G163" s="31" t="n">
        <v>20170</v>
      </c>
      <c r="H163" s="31" t="n">
        <v>4</v>
      </c>
      <c r="I163" s="31" t="n">
        <v>80681</v>
      </c>
      <c r="J163" s="29" t="n">
        <v>45455</v>
      </c>
      <c r="K163" s="31" t="n">
        <v>19201</v>
      </c>
      <c r="L163" s="30" t="s">
        <v>32</v>
      </c>
      <c r="M163" s="10" t="n">
        <v>2</v>
      </c>
      <c r="N163" s="12" t="n">
        <v>-4039</v>
      </c>
      <c r="O163" s="13" t="n">
        <v>-0.0500659163913012</v>
      </c>
      <c r="P163" s="15" t="n">
        <v>0.0262690163434582</v>
      </c>
      <c r="Q163" s="13" t="n">
        <v>-0.0624759855529086</v>
      </c>
      <c r="R163" s="15" t="n">
        <v>0.0505735140771637</v>
      </c>
      <c r="S163" s="32" t="n">
        <v>69287528050</v>
      </c>
      <c r="T163" s="15" t="n">
        <v>0.0370560988162636</v>
      </c>
      <c r="U163" s="32" t="n">
        <v>31782558658.5</v>
      </c>
      <c r="V163" s="14" t="n">
        <v>1.9802267398711</v>
      </c>
      <c r="W163" s="13" t="n">
        <v>0.0505735140771637</v>
      </c>
      <c r="X163" s="15" t="n">
        <v>0.0421836228287842</v>
      </c>
      <c r="Y163" s="13" t="n">
        <v>-0.00789666026363822</v>
      </c>
      <c r="Z163" s="13" t="n">
        <v>0.0245209594465432</v>
      </c>
      <c r="AA163" s="30" t="s">
        <v>96</v>
      </c>
      <c r="AB163" s="28" t="s">
        <v>93</v>
      </c>
      <c r="AC163" s="28" t="s">
        <v>101</v>
      </c>
      <c r="AD163" s="28" t="s">
        <v>108</v>
      </c>
      <c r="AE163" s="28" t="s">
        <v>113</v>
      </c>
      <c r="AF163" s="28" t="s">
        <v>116</v>
      </c>
      <c r="AG163" s="30" t="s">
        <v>122</v>
      </c>
    </row>
    <row r="164" customFormat="false" ht="15" hidden="false" customHeight="false" outlineLevel="0" collapsed="false">
      <c r="A164" s="10" t="n">
        <v>2024</v>
      </c>
      <c r="B164" s="28" t="s">
        <v>56</v>
      </c>
      <c r="C164" s="29" t="n">
        <v>45453</v>
      </c>
      <c r="D164" s="30" t="s">
        <v>125</v>
      </c>
      <c r="E164" s="28" t="s">
        <v>449</v>
      </c>
      <c r="F164" s="30" t="s">
        <v>450</v>
      </c>
      <c r="G164" s="31" t="n">
        <v>57658</v>
      </c>
      <c r="H164" s="31" t="n">
        <v>1</v>
      </c>
      <c r="I164" s="31" t="n">
        <v>57658</v>
      </c>
      <c r="J164" s="29" t="n">
        <v>45457</v>
      </c>
      <c r="K164" s="31" t="n">
        <v>54845</v>
      </c>
      <c r="L164" s="30" t="s">
        <v>32</v>
      </c>
      <c r="M164" s="10" t="n">
        <v>4</v>
      </c>
      <c r="N164" s="12" t="n">
        <v>-2928</v>
      </c>
      <c r="O164" s="13" t="n">
        <v>-0.0507842259303197</v>
      </c>
      <c r="P164" s="15" t="n">
        <v>0.0354229104229107</v>
      </c>
      <c r="Q164" s="13" t="n">
        <v>-0.0582334332334331</v>
      </c>
      <c r="R164" s="15" t="n">
        <v>0.0568807339449542</v>
      </c>
      <c r="S164" s="32" t="n">
        <v>46373644800</v>
      </c>
      <c r="T164" s="15" t="n">
        <v>0.03971119133574</v>
      </c>
      <c r="U164" s="32" t="n">
        <v>24879077650</v>
      </c>
      <c r="V164" s="14" t="n">
        <v>1.61370322258396</v>
      </c>
      <c r="W164" s="13" t="n">
        <v>0.0568807339449542</v>
      </c>
      <c r="X164" s="15" t="n">
        <v>0.00694444444444442</v>
      </c>
      <c r="Y164" s="13" t="n">
        <v>-0.00789666026363822</v>
      </c>
      <c r="Z164" s="13" t="n">
        <v>0.0245209594465432</v>
      </c>
      <c r="AA164" s="30" t="s">
        <v>96</v>
      </c>
      <c r="AB164" s="28" t="s">
        <v>93</v>
      </c>
      <c r="AC164" s="28" t="s">
        <v>101</v>
      </c>
      <c r="AD164" s="28" t="s">
        <v>107</v>
      </c>
      <c r="AE164" s="28" t="s">
        <v>113</v>
      </c>
      <c r="AF164" s="28" t="s">
        <v>116</v>
      </c>
      <c r="AG164" s="30" t="s">
        <v>122</v>
      </c>
    </row>
    <row r="165" customFormat="false" ht="15" hidden="false" customHeight="false" outlineLevel="0" collapsed="false">
      <c r="A165" s="10" t="n">
        <v>2024</v>
      </c>
      <c r="B165" s="28" t="s">
        <v>56</v>
      </c>
      <c r="C165" s="29" t="n">
        <v>45454</v>
      </c>
      <c r="D165" s="30" t="s">
        <v>126</v>
      </c>
      <c r="E165" s="28" t="s">
        <v>451</v>
      </c>
      <c r="F165" s="30" t="s">
        <v>452</v>
      </c>
      <c r="G165" s="31" t="n">
        <v>6597</v>
      </c>
      <c r="H165" s="31" t="n">
        <v>15</v>
      </c>
      <c r="I165" s="31" t="n">
        <v>98949</v>
      </c>
      <c r="J165" s="29" t="n">
        <v>45455</v>
      </c>
      <c r="K165" s="31" t="n">
        <v>6274</v>
      </c>
      <c r="L165" s="30" t="s">
        <v>32</v>
      </c>
      <c r="M165" s="10" t="n">
        <v>1</v>
      </c>
      <c r="N165" s="12" t="n">
        <v>-5041</v>
      </c>
      <c r="O165" s="13" t="n">
        <v>-0.050949542490893</v>
      </c>
      <c r="P165" s="15" t="n">
        <v>0.00809660748962737</v>
      </c>
      <c r="Q165" s="13" t="n">
        <v>-0.277657092528109</v>
      </c>
      <c r="R165" s="15" t="n">
        <v>0.260038240917782</v>
      </c>
      <c r="S165" s="32" t="n">
        <v>209722169950</v>
      </c>
      <c r="T165" s="15" t="n">
        <v>0.196007259528131</v>
      </c>
      <c r="U165" s="32" t="n">
        <v>4578583413.5</v>
      </c>
      <c r="V165" s="14" t="n">
        <v>36.5353292869405</v>
      </c>
      <c r="W165" s="13" t="n">
        <v>0.215867158671587</v>
      </c>
      <c r="X165" s="15" t="n">
        <v>0.0303490136570561</v>
      </c>
      <c r="Y165" s="13" t="n">
        <v>0.00153637127615069</v>
      </c>
      <c r="Z165" s="13" t="n">
        <v>0.00849947064700363</v>
      </c>
      <c r="AA165" s="30" t="s">
        <v>97</v>
      </c>
      <c r="AB165" s="28" t="s">
        <v>93</v>
      </c>
      <c r="AC165" s="28" t="s">
        <v>104</v>
      </c>
      <c r="AD165" s="28" t="s">
        <v>110</v>
      </c>
      <c r="AE165" s="28" t="s">
        <v>114</v>
      </c>
      <c r="AF165" s="28" t="s">
        <v>120</v>
      </c>
      <c r="AG165" s="30" t="s">
        <v>122</v>
      </c>
    </row>
    <row r="166" customFormat="false" ht="15" hidden="false" customHeight="false" outlineLevel="0" collapsed="false">
      <c r="A166" s="10" t="n">
        <v>2024</v>
      </c>
      <c r="B166" s="28" t="s">
        <v>56</v>
      </c>
      <c r="C166" s="29" t="n">
        <v>45454</v>
      </c>
      <c r="D166" s="30" t="s">
        <v>126</v>
      </c>
      <c r="E166" s="28" t="s">
        <v>453</v>
      </c>
      <c r="F166" s="30" t="s">
        <v>454</v>
      </c>
      <c r="G166" s="31" t="n">
        <v>22573</v>
      </c>
      <c r="H166" s="31" t="n">
        <v>4</v>
      </c>
      <c r="I166" s="31" t="n">
        <v>90290</v>
      </c>
      <c r="J166" s="29" t="n">
        <v>45460</v>
      </c>
      <c r="K166" s="31" t="n">
        <v>21478</v>
      </c>
      <c r="L166" s="30" t="s">
        <v>32</v>
      </c>
      <c r="M166" s="10" t="n">
        <v>4</v>
      </c>
      <c r="N166" s="12" t="n">
        <v>-4557</v>
      </c>
      <c r="O166" s="13" t="n">
        <v>-0.0504736486351787</v>
      </c>
      <c r="P166" s="15" t="n">
        <v>0.0676684734334403</v>
      </c>
      <c r="Q166" s="13" t="n">
        <v>-0.0630212359702381</v>
      </c>
      <c r="R166" s="15" t="n">
        <v>0.108108108108108</v>
      </c>
      <c r="S166" s="32" t="n">
        <v>196757048400</v>
      </c>
      <c r="T166" s="15" t="n">
        <v>0.0893719806763285</v>
      </c>
      <c r="U166" s="32" t="n">
        <v>3649059546</v>
      </c>
      <c r="V166" s="14" t="n">
        <v>48.0994251740947</v>
      </c>
      <c r="W166" s="13" t="n">
        <v>0.108108108108108</v>
      </c>
      <c r="X166" s="15" t="n">
        <v>0.0953436807095345</v>
      </c>
      <c r="Y166" s="13" t="n">
        <v>0.00153637127615069</v>
      </c>
      <c r="Z166" s="13" t="n">
        <v>0.00849947064700363</v>
      </c>
      <c r="AA166" s="30" t="s">
        <v>97</v>
      </c>
      <c r="AB166" s="28" t="s">
        <v>93</v>
      </c>
      <c r="AC166" s="28" t="s">
        <v>102</v>
      </c>
      <c r="AD166" s="28" t="s">
        <v>109</v>
      </c>
      <c r="AE166" s="28" t="s">
        <v>101</v>
      </c>
      <c r="AF166" s="28" t="s">
        <v>120</v>
      </c>
      <c r="AG166" s="30" t="s">
        <v>122</v>
      </c>
    </row>
    <row r="167" customFormat="false" ht="15" hidden="false" customHeight="false" outlineLevel="0" collapsed="false">
      <c r="A167" s="10" t="n">
        <v>2024</v>
      </c>
      <c r="B167" s="28" t="s">
        <v>56</v>
      </c>
      <c r="C167" s="29" t="n">
        <v>45455</v>
      </c>
      <c r="D167" s="30" t="s">
        <v>127</v>
      </c>
      <c r="E167" s="28" t="s">
        <v>455</v>
      </c>
      <c r="F167" s="30" t="s">
        <v>456</v>
      </c>
      <c r="G167" s="31" t="n">
        <v>41091</v>
      </c>
      <c r="H167" s="31" t="n">
        <v>2</v>
      </c>
      <c r="I167" s="31" t="n">
        <v>82182</v>
      </c>
      <c r="J167" s="29" t="n">
        <v>45464</v>
      </c>
      <c r="K167" s="31" t="n">
        <v>39111</v>
      </c>
      <c r="L167" s="30" t="s">
        <v>32</v>
      </c>
      <c r="M167" s="10" t="n">
        <v>7</v>
      </c>
      <c r="N167" s="12" t="n">
        <v>-4125</v>
      </c>
      <c r="O167" s="13" t="n">
        <v>-0.0501965711511388</v>
      </c>
      <c r="P167" s="15" t="n">
        <v>0.078093648130189</v>
      </c>
      <c r="Q167" s="13" t="n">
        <v>-0.0521050204363236</v>
      </c>
      <c r="R167" s="15" t="n">
        <v>0.0135802469135802</v>
      </c>
      <c r="S167" s="32" t="n">
        <v>57786988100</v>
      </c>
      <c r="T167" s="15" t="n">
        <v>0.00121951219512195</v>
      </c>
      <c r="U167" s="32" t="n">
        <v>35441535570</v>
      </c>
      <c r="V167" s="14" t="n">
        <v>1.52582993413248</v>
      </c>
      <c r="W167" s="13" t="n">
        <v>0.0123304562268805</v>
      </c>
      <c r="X167" s="15" t="n">
        <v>0.0231425091352009</v>
      </c>
      <c r="Y167" s="13" t="n">
        <v>0.00844632058314732</v>
      </c>
      <c r="Z167" s="13" t="n">
        <v>0.0248187521129937</v>
      </c>
      <c r="AA167" s="30" t="s">
        <v>97</v>
      </c>
      <c r="AB167" s="28" t="s">
        <v>93</v>
      </c>
      <c r="AC167" s="28" t="s">
        <v>99</v>
      </c>
      <c r="AD167" s="28" t="s">
        <v>108</v>
      </c>
      <c r="AE167" s="28" t="s">
        <v>112</v>
      </c>
      <c r="AF167" s="28" t="s">
        <v>116</v>
      </c>
      <c r="AG167" s="30" t="s">
        <v>122</v>
      </c>
    </row>
    <row r="168" customFormat="false" ht="15" hidden="false" customHeight="false" outlineLevel="0" collapsed="false">
      <c r="A168" s="10" t="n">
        <v>2024</v>
      </c>
      <c r="B168" s="28" t="s">
        <v>56</v>
      </c>
      <c r="C168" s="29" t="n">
        <v>45455</v>
      </c>
      <c r="D168" s="30" t="s">
        <v>127</v>
      </c>
      <c r="E168" s="28" t="s">
        <v>457</v>
      </c>
      <c r="F168" s="30" t="s">
        <v>458</v>
      </c>
      <c r="G168" s="31" t="n">
        <v>21822</v>
      </c>
      <c r="H168" s="31" t="n">
        <v>4</v>
      </c>
      <c r="I168" s="31" t="n">
        <v>87287</v>
      </c>
      <c r="J168" s="29" t="n">
        <v>45461</v>
      </c>
      <c r="K168" s="31" t="n">
        <v>20729</v>
      </c>
      <c r="L168" s="30" t="s">
        <v>32</v>
      </c>
      <c r="M168" s="10" t="n">
        <v>4</v>
      </c>
      <c r="N168" s="12" t="n">
        <v>-4545</v>
      </c>
      <c r="O168" s="13" t="n">
        <v>-0.0520692751056284</v>
      </c>
      <c r="P168" s="15" t="n">
        <v>0.191469081377338</v>
      </c>
      <c r="Q168" s="13" t="n">
        <v>-0.055989881677955</v>
      </c>
      <c r="R168" s="15" t="n">
        <v>0.0738916256157636</v>
      </c>
      <c r="S168" s="32" t="n">
        <v>30187964200</v>
      </c>
      <c r="T168" s="15" t="n">
        <v>0.0455635491606714</v>
      </c>
      <c r="U168" s="32" t="n">
        <v>6033291323.5</v>
      </c>
      <c r="V168" s="14" t="n">
        <v>4.60024204299436</v>
      </c>
      <c r="W168" s="13" t="n">
        <v>0.00229885057471257</v>
      </c>
      <c r="X168" s="15" t="n">
        <v>0.048165137614679</v>
      </c>
      <c r="Y168" s="13" t="n">
        <v>0.00844632058314732</v>
      </c>
      <c r="Z168" s="13" t="n">
        <v>0.0248187521129937</v>
      </c>
      <c r="AA168" s="30" t="s">
        <v>97</v>
      </c>
      <c r="AB168" s="28" t="s">
        <v>93</v>
      </c>
      <c r="AC168" s="28" t="s">
        <v>101</v>
      </c>
      <c r="AD168" s="28" t="s">
        <v>107</v>
      </c>
      <c r="AE168" s="28" t="s">
        <v>113</v>
      </c>
      <c r="AF168" s="28" t="s">
        <v>118</v>
      </c>
      <c r="AG168" s="30" t="s">
        <v>122</v>
      </c>
    </row>
    <row r="169" customFormat="false" ht="15" hidden="false" customHeight="false" outlineLevel="0" collapsed="false">
      <c r="A169" s="10" t="n">
        <v>2024</v>
      </c>
      <c r="B169" s="28" t="s">
        <v>56</v>
      </c>
      <c r="C169" s="29" t="n">
        <v>45457</v>
      </c>
      <c r="D169" s="30" t="s">
        <v>129</v>
      </c>
      <c r="E169" s="28" t="s">
        <v>459</v>
      </c>
      <c r="F169" s="30" t="s">
        <v>460</v>
      </c>
      <c r="G169" s="31" t="n">
        <v>58859</v>
      </c>
      <c r="H169" s="31" t="n">
        <v>1</v>
      </c>
      <c r="I169" s="31" t="n">
        <v>58859</v>
      </c>
      <c r="J169" s="29" t="n">
        <v>45468</v>
      </c>
      <c r="K169" s="31" t="n">
        <v>55944</v>
      </c>
      <c r="L169" s="30" t="s">
        <v>32</v>
      </c>
      <c r="M169" s="10" t="n">
        <v>7</v>
      </c>
      <c r="N169" s="12" t="n">
        <v>-3033</v>
      </c>
      <c r="O169" s="13" t="n">
        <v>-0.0515253389467675</v>
      </c>
      <c r="P169" s="15" t="n">
        <v>0.068659231924538</v>
      </c>
      <c r="Q169" s="13" t="n">
        <v>-0.0808511216674481</v>
      </c>
      <c r="R169" s="15" t="n">
        <v>0.128598848368522</v>
      </c>
      <c r="S169" s="32" t="n">
        <v>51697430400</v>
      </c>
      <c r="T169" s="15" t="n">
        <v>0.0808823529411764</v>
      </c>
      <c r="U169" s="32" t="n">
        <v>6036957045</v>
      </c>
      <c r="V169" s="14" t="n">
        <v>7.60673733462072</v>
      </c>
      <c r="W169" s="13" t="n">
        <v>0.113636363636364</v>
      </c>
      <c r="X169" s="15" t="n">
        <v>0.0119047619047619</v>
      </c>
      <c r="Y169" s="13" t="n">
        <v>0.00128135787635819</v>
      </c>
      <c r="Z169" s="13" t="n">
        <v>0.013130493229073</v>
      </c>
      <c r="AA169" s="30" t="s">
        <v>97</v>
      </c>
      <c r="AB169" s="28" t="s">
        <v>93</v>
      </c>
      <c r="AC169" s="28" t="s">
        <v>102</v>
      </c>
      <c r="AD169" s="28" t="s">
        <v>108</v>
      </c>
      <c r="AE169" s="28" t="s">
        <v>101</v>
      </c>
      <c r="AF169" s="28" t="s">
        <v>119</v>
      </c>
      <c r="AG169" s="30" t="s">
        <v>122</v>
      </c>
    </row>
    <row r="170" customFormat="false" ht="15" hidden="false" customHeight="false" outlineLevel="0" collapsed="false">
      <c r="A170" s="10" t="n">
        <v>2024</v>
      </c>
      <c r="B170" s="28" t="s">
        <v>56</v>
      </c>
      <c r="C170" s="29" t="n">
        <v>45460</v>
      </c>
      <c r="D170" s="30" t="s">
        <v>125</v>
      </c>
      <c r="E170" s="28" t="s">
        <v>225</v>
      </c>
      <c r="F170" s="30" t="s">
        <v>226</v>
      </c>
      <c r="G170" s="31" t="n">
        <v>42643</v>
      </c>
      <c r="H170" s="31" t="n">
        <v>2</v>
      </c>
      <c r="I170" s="31" t="n">
        <v>85285</v>
      </c>
      <c r="J170" s="29" t="n">
        <v>45461</v>
      </c>
      <c r="K170" s="31" t="n">
        <v>40559</v>
      </c>
      <c r="L170" s="30" t="s">
        <v>32</v>
      </c>
      <c r="M170" s="10" t="n">
        <v>1</v>
      </c>
      <c r="N170" s="12" t="n">
        <v>-4337</v>
      </c>
      <c r="O170" s="13" t="n">
        <v>-0.0508572934108145</v>
      </c>
      <c r="P170" s="15" t="n">
        <v>-0.00451661015041294</v>
      </c>
      <c r="Q170" s="13" t="n">
        <v>-0.0619708929568085</v>
      </c>
      <c r="R170" s="15" t="n">
        <v>0.10077519379845</v>
      </c>
      <c r="S170" s="32" t="n">
        <v>547744623000</v>
      </c>
      <c r="T170" s="15" t="n">
        <v>0.0730478589420656</v>
      </c>
      <c r="U170" s="32" t="n">
        <v>45503166745</v>
      </c>
      <c r="V170" s="14" t="n">
        <v>10.6881187892481</v>
      </c>
      <c r="W170" s="13" t="n">
        <v>0.0557620817843867</v>
      </c>
      <c r="X170" s="15" t="n">
        <v>0.00938967136150226</v>
      </c>
      <c r="Y170" s="13" t="n">
        <v>-0.00519137767272571</v>
      </c>
      <c r="Z170" s="13" t="n">
        <v>0.0158931129843734</v>
      </c>
      <c r="AA170" s="30" t="s">
        <v>97</v>
      </c>
      <c r="AB170" s="28" t="s">
        <v>93</v>
      </c>
      <c r="AC170" s="28" t="s">
        <v>102</v>
      </c>
      <c r="AD170" s="28" t="s">
        <v>110</v>
      </c>
      <c r="AE170" s="28" t="s">
        <v>101</v>
      </c>
      <c r="AF170" s="28" t="s">
        <v>120</v>
      </c>
      <c r="AG170" s="30" t="s">
        <v>122</v>
      </c>
    </row>
    <row r="171" customFormat="false" ht="15" hidden="false" customHeight="false" outlineLevel="0" collapsed="false">
      <c r="A171" s="10" t="n">
        <v>2024</v>
      </c>
      <c r="B171" s="28" t="s">
        <v>56</v>
      </c>
      <c r="C171" s="29" t="n">
        <v>45461</v>
      </c>
      <c r="D171" s="30" t="s">
        <v>126</v>
      </c>
      <c r="E171" s="28" t="s">
        <v>461</v>
      </c>
      <c r="F171" s="30" t="s">
        <v>462</v>
      </c>
      <c r="G171" s="31" t="n">
        <v>3008</v>
      </c>
      <c r="H171" s="31" t="n">
        <v>33</v>
      </c>
      <c r="I171" s="31" t="n">
        <v>99264</v>
      </c>
      <c r="J171" s="29" t="n">
        <v>45464</v>
      </c>
      <c r="K171" s="31" t="n">
        <v>2847</v>
      </c>
      <c r="L171" s="30" t="s">
        <v>32</v>
      </c>
      <c r="M171" s="10" t="n">
        <v>3</v>
      </c>
      <c r="N171" s="12" t="n">
        <v>-5506</v>
      </c>
      <c r="O171" s="13" t="n">
        <v>-0.0554713649910822</v>
      </c>
      <c r="P171" s="15" t="n">
        <v>-0.00931015739667973</v>
      </c>
      <c r="Q171" s="13" t="n">
        <v>-0.0575148645032172</v>
      </c>
      <c r="R171" s="15" t="n">
        <v>0.0452173913043479</v>
      </c>
      <c r="S171" s="32" t="n">
        <v>82870970470</v>
      </c>
      <c r="T171" s="15" t="n">
        <v>0.0186440677966102</v>
      </c>
      <c r="U171" s="32" t="n">
        <v>5847083919.75</v>
      </c>
      <c r="V171" s="14" t="n">
        <v>13.5695218014097</v>
      </c>
      <c r="W171" s="13" t="n">
        <v>-0.046031746031746</v>
      </c>
      <c r="X171" s="15" t="n">
        <v>0.108153078202995</v>
      </c>
      <c r="Y171" s="13" t="n">
        <v>0.00722276884953188</v>
      </c>
      <c r="Z171" s="13" t="n">
        <v>0.0216610234648766</v>
      </c>
      <c r="AA171" s="30" t="s">
        <v>97</v>
      </c>
      <c r="AB171" s="28" t="s">
        <v>93</v>
      </c>
      <c r="AC171" s="28" t="s">
        <v>100</v>
      </c>
      <c r="AD171" s="28" t="s">
        <v>108</v>
      </c>
      <c r="AE171" s="28" t="s">
        <v>112</v>
      </c>
      <c r="AF171" s="28" t="s">
        <v>120</v>
      </c>
      <c r="AG171" s="30" t="s">
        <v>123</v>
      </c>
    </row>
    <row r="172" customFormat="false" ht="15" hidden="false" customHeight="false" outlineLevel="0" collapsed="false">
      <c r="A172" s="10" t="n">
        <v>2024</v>
      </c>
      <c r="B172" s="28" t="s">
        <v>56</v>
      </c>
      <c r="C172" s="29" t="n">
        <v>45461</v>
      </c>
      <c r="D172" s="30" t="s">
        <v>126</v>
      </c>
      <c r="E172" s="28" t="s">
        <v>265</v>
      </c>
      <c r="F172" s="30" t="s">
        <v>266</v>
      </c>
      <c r="G172" s="31" t="n">
        <v>37187</v>
      </c>
      <c r="H172" s="31" t="n">
        <v>2</v>
      </c>
      <c r="I172" s="31" t="n">
        <v>74374</v>
      </c>
      <c r="J172" s="29" t="n">
        <v>45483</v>
      </c>
      <c r="K172" s="31" t="n">
        <v>35365</v>
      </c>
      <c r="L172" s="30" t="s">
        <v>32</v>
      </c>
      <c r="M172" s="10" t="n">
        <v>16</v>
      </c>
      <c r="N172" s="12" t="n">
        <v>-3794</v>
      </c>
      <c r="O172" s="13" t="n">
        <v>-0.0510146392638316</v>
      </c>
      <c r="P172" s="15" t="n">
        <v>0.132111495503151</v>
      </c>
      <c r="Q172" s="13" t="n">
        <v>-0.0588146711969052</v>
      </c>
      <c r="R172" s="15" t="n">
        <v>0.0690647482014388</v>
      </c>
      <c r="S172" s="32" t="n">
        <v>38772526250</v>
      </c>
      <c r="T172" s="15" t="n">
        <v>0.0362622036262204</v>
      </c>
      <c r="U172" s="32" t="n">
        <v>12683757110</v>
      </c>
      <c r="V172" s="14" t="n">
        <v>2.80648176482641</v>
      </c>
      <c r="W172" s="13" t="n">
        <v>0.0629470672389128</v>
      </c>
      <c r="X172" s="15" t="n">
        <v>0.0134589502018843</v>
      </c>
      <c r="Y172" s="13" t="n">
        <v>0.00722276884953188</v>
      </c>
      <c r="Z172" s="13" t="n">
        <v>0.0216610234648766</v>
      </c>
      <c r="AA172" s="30" t="s">
        <v>97</v>
      </c>
      <c r="AB172" s="28" t="s">
        <v>93</v>
      </c>
      <c r="AC172" s="28" t="s">
        <v>101</v>
      </c>
      <c r="AD172" s="28" t="s">
        <v>107</v>
      </c>
      <c r="AE172" s="28" t="s">
        <v>113</v>
      </c>
      <c r="AF172" s="28" t="s">
        <v>117</v>
      </c>
      <c r="AG172" s="30" t="s">
        <v>122</v>
      </c>
    </row>
    <row r="173" customFormat="false" ht="15" hidden="false" customHeight="false" outlineLevel="0" collapsed="false">
      <c r="A173" s="10" t="n">
        <v>2024</v>
      </c>
      <c r="B173" s="28" t="s">
        <v>56</v>
      </c>
      <c r="C173" s="29" t="n">
        <v>45464</v>
      </c>
      <c r="D173" s="30" t="s">
        <v>129</v>
      </c>
      <c r="E173" s="28" t="s">
        <v>463</v>
      </c>
      <c r="F173" s="30" t="s">
        <v>464</v>
      </c>
      <c r="G173" s="31" t="n">
        <v>5776</v>
      </c>
      <c r="H173" s="31" t="n">
        <v>17</v>
      </c>
      <c r="I173" s="31" t="n">
        <v>98188</v>
      </c>
      <c r="J173" s="29" t="n">
        <v>45468</v>
      </c>
      <c r="K173" s="31" t="n">
        <v>5435</v>
      </c>
      <c r="L173" s="30" t="s">
        <v>32</v>
      </c>
      <c r="M173" s="10" t="n">
        <v>2</v>
      </c>
      <c r="N173" s="12" t="n">
        <v>-5995</v>
      </c>
      <c r="O173" s="13" t="n">
        <v>-0.0610609074634206</v>
      </c>
      <c r="P173" s="15" t="n">
        <v>0.248318406030711</v>
      </c>
      <c r="Q173" s="13" t="n">
        <v>-0.0667910945207305</v>
      </c>
      <c r="R173" s="15" t="n">
        <v>0.113899613899614</v>
      </c>
      <c r="S173" s="32" t="n">
        <v>93478500600</v>
      </c>
      <c r="T173" s="15" t="n">
        <v>0.005226480836237</v>
      </c>
      <c r="U173" s="32" t="n">
        <v>23239748488.25</v>
      </c>
      <c r="V173" s="14" t="n">
        <v>3.83064525424879</v>
      </c>
      <c r="W173" s="13" t="n">
        <v>0.113899613899614</v>
      </c>
      <c r="X173" s="15" t="n">
        <v>0.0710571923743502</v>
      </c>
      <c r="Y173" s="13" t="n">
        <v>-0.00832374636259048</v>
      </c>
      <c r="Z173" s="13" t="n">
        <v>0.00936768149882905</v>
      </c>
      <c r="AA173" s="30" t="s">
        <v>97</v>
      </c>
      <c r="AB173" s="28" t="s">
        <v>93</v>
      </c>
      <c r="AC173" s="28" t="s">
        <v>102</v>
      </c>
      <c r="AD173" s="28" t="s">
        <v>108</v>
      </c>
      <c r="AE173" s="28" t="s">
        <v>112</v>
      </c>
      <c r="AF173" s="28" t="s">
        <v>118</v>
      </c>
      <c r="AG173" s="30" t="s">
        <v>122</v>
      </c>
    </row>
    <row r="174" customFormat="false" ht="15" hidden="false" customHeight="false" outlineLevel="0" collapsed="false">
      <c r="A174" s="10" t="n">
        <v>2024</v>
      </c>
      <c r="B174" s="28" t="s">
        <v>56</v>
      </c>
      <c r="C174" s="29" t="n">
        <v>45464</v>
      </c>
      <c r="D174" s="30" t="s">
        <v>129</v>
      </c>
      <c r="E174" s="28" t="s">
        <v>465</v>
      </c>
      <c r="F174" s="28" t="s">
        <v>466</v>
      </c>
      <c r="G174" s="31" t="n">
        <v>52252</v>
      </c>
      <c r="H174" s="31" t="n">
        <v>1</v>
      </c>
      <c r="I174" s="31" t="n">
        <v>52252</v>
      </c>
      <c r="J174" s="29"/>
      <c r="K174" s="31"/>
      <c r="L174" s="30" t="s">
        <v>33</v>
      </c>
      <c r="M174" s="10" t="n">
        <v>128</v>
      </c>
      <c r="N174" s="12" t="n">
        <v>34648</v>
      </c>
      <c r="O174" s="13" t="n">
        <v>0.666915460018908</v>
      </c>
      <c r="P174" s="15" t="n">
        <v>1.66974404905439</v>
      </c>
      <c r="Q174" s="13" t="n">
        <v>-0.0354473113093802</v>
      </c>
      <c r="R174" s="15" t="n">
        <v>0.01953125</v>
      </c>
      <c r="S174" s="32" t="n">
        <v>37809243000</v>
      </c>
      <c r="T174" s="15" t="n">
        <v>0.00384615384615383</v>
      </c>
      <c r="U174" s="32" t="n">
        <v>25437121490</v>
      </c>
      <c r="V174" s="14" t="n">
        <v>1.46183652352079</v>
      </c>
      <c r="W174" s="13" t="n">
        <v>0.0175438596491229</v>
      </c>
      <c r="X174" s="15" t="n">
        <v>0</v>
      </c>
      <c r="Y174" s="13" t="n">
        <v>-0.00832374636259048</v>
      </c>
      <c r="Z174" s="13" t="n">
        <v>0.00936768149882905</v>
      </c>
      <c r="AA174" s="30" t="s">
        <v>97</v>
      </c>
      <c r="AB174" s="28" t="s">
        <v>93</v>
      </c>
      <c r="AC174" s="28" t="s">
        <v>99</v>
      </c>
      <c r="AD174" s="28" t="s">
        <v>107</v>
      </c>
      <c r="AE174" s="28" t="s">
        <v>112</v>
      </c>
      <c r="AF174" s="28" t="s">
        <v>116</v>
      </c>
      <c r="AG174" s="30" t="s">
        <v>122</v>
      </c>
    </row>
    <row r="175" customFormat="false" ht="15" hidden="false" customHeight="false" outlineLevel="0" collapsed="false">
      <c r="A175" s="10" t="n">
        <v>2024</v>
      </c>
      <c r="B175" s="28" t="s">
        <v>56</v>
      </c>
      <c r="C175" s="29" t="n">
        <v>45467</v>
      </c>
      <c r="D175" s="30" t="s">
        <v>125</v>
      </c>
      <c r="E175" s="28" t="s">
        <v>467</v>
      </c>
      <c r="F175" s="28" t="s">
        <v>468</v>
      </c>
      <c r="G175" s="31" t="n">
        <v>40990</v>
      </c>
      <c r="H175" s="31" t="n">
        <v>2</v>
      </c>
      <c r="I175" s="31" t="n">
        <v>81980</v>
      </c>
      <c r="J175" s="29" t="n">
        <v>45475</v>
      </c>
      <c r="K175" s="31" t="n">
        <v>39011</v>
      </c>
      <c r="L175" s="30" t="s">
        <v>32</v>
      </c>
      <c r="M175" s="10" t="n">
        <v>6</v>
      </c>
      <c r="N175" s="12" t="n">
        <v>-4123</v>
      </c>
      <c r="O175" s="13" t="n">
        <v>-0.0502911444959544</v>
      </c>
      <c r="P175" s="15" t="n">
        <v>0.156010113664837</v>
      </c>
      <c r="Q175" s="13" t="n">
        <v>-0.0668940180340831</v>
      </c>
      <c r="R175" s="15" t="n">
        <v>0.17511961722488</v>
      </c>
      <c r="S175" s="32" t="n">
        <v>132037752800</v>
      </c>
      <c r="T175" s="15" t="n">
        <v>0.107303877366997</v>
      </c>
      <c r="U175" s="32" t="n">
        <v>10681584115</v>
      </c>
      <c r="V175" s="14" t="n">
        <v>9.89902356300993</v>
      </c>
      <c r="W175" s="13" t="n">
        <v>0.17511961722488</v>
      </c>
      <c r="X175" s="15" t="n">
        <v>0.0952768729641693</v>
      </c>
      <c r="Y175" s="13" t="n">
        <v>-0.00701443112353017</v>
      </c>
      <c r="Z175" s="13" t="n">
        <v>0.00751794759666202</v>
      </c>
      <c r="AA175" s="30" t="s">
        <v>97</v>
      </c>
      <c r="AB175" s="28" t="s">
        <v>93</v>
      </c>
      <c r="AC175" s="28" t="s">
        <v>103</v>
      </c>
      <c r="AD175" s="28" t="s">
        <v>109</v>
      </c>
      <c r="AE175" s="28" t="s">
        <v>114</v>
      </c>
      <c r="AF175" s="28" t="s">
        <v>119</v>
      </c>
      <c r="AG175" s="30" t="s">
        <v>122</v>
      </c>
    </row>
    <row r="176" customFormat="false" ht="15" hidden="false" customHeight="false" outlineLevel="0" collapsed="false">
      <c r="A176" s="10" t="n">
        <v>2024</v>
      </c>
      <c r="B176" s="28" t="s">
        <v>56</v>
      </c>
      <c r="C176" s="29" t="n">
        <v>45468</v>
      </c>
      <c r="D176" s="30" t="s">
        <v>126</v>
      </c>
      <c r="E176" s="28" t="s">
        <v>469</v>
      </c>
      <c r="F176" s="28" t="s">
        <v>470</v>
      </c>
      <c r="G176" s="31" t="n">
        <v>72873</v>
      </c>
      <c r="H176" s="31" t="n">
        <v>1</v>
      </c>
      <c r="I176" s="31" t="n">
        <v>72873</v>
      </c>
      <c r="J176" s="29" t="n">
        <v>45469</v>
      </c>
      <c r="K176" s="31" t="n">
        <v>69331</v>
      </c>
      <c r="L176" s="30" t="s">
        <v>32</v>
      </c>
      <c r="M176" s="10" t="n">
        <v>1</v>
      </c>
      <c r="N176" s="12" t="n">
        <v>-3688</v>
      </c>
      <c r="O176" s="13" t="n">
        <v>-0.0506131998496009</v>
      </c>
      <c r="P176" s="15" t="n">
        <v>-0.00237125511850767</v>
      </c>
      <c r="Q176" s="13" t="n">
        <v>-0.165669495339825</v>
      </c>
      <c r="R176" s="15" t="n">
        <v>0.103030303030303</v>
      </c>
      <c r="S176" s="32" t="n">
        <v>447991616800</v>
      </c>
      <c r="T176" s="15" t="n">
        <v>0.101361573373676</v>
      </c>
      <c r="U176" s="32" t="n">
        <v>240300965155</v>
      </c>
      <c r="V176" s="14" t="n">
        <v>1.58307692424446</v>
      </c>
      <c r="W176" s="13" t="n">
        <v>0.101361573373676</v>
      </c>
      <c r="X176" s="15" t="n">
        <v>0.0137362637362637</v>
      </c>
      <c r="Y176" s="13" t="n">
        <v>0.00349401207351163</v>
      </c>
      <c r="Z176" s="13" t="n">
        <v>0.00378809806361979</v>
      </c>
      <c r="AA176" s="30" t="s">
        <v>97</v>
      </c>
      <c r="AB176" s="28" t="s">
        <v>93</v>
      </c>
      <c r="AC176" s="28" t="s">
        <v>102</v>
      </c>
      <c r="AD176" s="28" t="s">
        <v>110</v>
      </c>
      <c r="AE176" s="28" t="s">
        <v>114</v>
      </c>
      <c r="AF176" s="28" t="s">
        <v>116</v>
      </c>
      <c r="AG176" s="30" t="s">
        <v>122</v>
      </c>
    </row>
    <row r="177" customFormat="false" ht="15" hidden="false" customHeight="false" outlineLevel="0" collapsed="false">
      <c r="A177" s="10" t="n">
        <v>2024</v>
      </c>
      <c r="B177" s="28" t="s">
        <v>56</v>
      </c>
      <c r="C177" s="29" t="n">
        <v>45468</v>
      </c>
      <c r="D177" s="30" t="s">
        <v>126</v>
      </c>
      <c r="E177" s="28" t="s">
        <v>471</v>
      </c>
      <c r="F177" s="30" t="s">
        <v>472</v>
      </c>
      <c r="G177" s="31" t="n">
        <v>38338</v>
      </c>
      <c r="H177" s="31" t="n">
        <v>2</v>
      </c>
      <c r="I177" s="31" t="n">
        <v>76677</v>
      </c>
      <c r="J177" s="29" t="n">
        <v>45490</v>
      </c>
      <c r="K177" s="31" t="n">
        <v>46050</v>
      </c>
      <c r="L177" s="30" t="s">
        <v>31</v>
      </c>
      <c r="M177" s="10" t="n">
        <v>16</v>
      </c>
      <c r="N177" s="12" t="n">
        <v>15232</v>
      </c>
      <c r="O177" s="13" t="n">
        <v>0.198656480725541</v>
      </c>
      <c r="P177" s="15" t="n">
        <v>0.203757078430708</v>
      </c>
      <c r="Q177" s="13" t="n">
        <v>-0.0192575048971915</v>
      </c>
      <c r="R177" s="15" t="n">
        <v>0.0186170212765957</v>
      </c>
      <c r="S177" s="32" t="n">
        <v>20152885500</v>
      </c>
      <c r="T177" s="15" t="n">
        <v>0.00393184796854529</v>
      </c>
      <c r="U177" s="32" t="n">
        <v>34495628692.5</v>
      </c>
      <c r="V177" s="14" t="n">
        <v>0.556204085362531</v>
      </c>
      <c r="W177" s="13" t="n">
        <v>0.0118890356671071</v>
      </c>
      <c r="X177" s="15" t="n">
        <v>0.00522193211488253</v>
      </c>
      <c r="Y177" s="13" t="n">
        <v>0.00349401207351163</v>
      </c>
      <c r="Z177" s="13" t="n">
        <v>0.00378809806361979</v>
      </c>
      <c r="AA177" s="30" t="s">
        <v>97</v>
      </c>
      <c r="AB177" s="28" t="s">
        <v>93</v>
      </c>
      <c r="AC177" s="28" t="s">
        <v>99</v>
      </c>
      <c r="AD177" s="28" t="s">
        <v>106</v>
      </c>
      <c r="AE177" s="28" t="s">
        <v>112</v>
      </c>
      <c r="AF177" s="28" t="s">
        <v>116</v>
      </c>
      <c r="AG177" s="30" t="s">
        <v>122</v>
      </c>
    </row>
    <row r="178" customFormat="false" ht="15" hidden="false" customHeight="false" outlineLevel="0" collapsed="false">
      <c r="A178" s="10" t="n">
        <v>2024</v>
      </c>
      <c r="B178" s="28" t="s">
        <v>56</v>
      </c>
      <c r="C178" s="29" t="n">
        <v>45469</v>
      </c>
      <c r="D178" s="30" t="s">
        <v>127</v>
      </c>
      <c r="E178" s="28" t="s">
        <v>473</v>
      </c>
      <c r="F178" s="30" t="s">
        <v>474</v>
      </c>
      <c r="G178" s="31" t="n">
        <v>26526</v>
      </c>
      <c r="H178" s="31" t="n">
        <v>3</v>
      </c>
      <c r="I178" s="31" t="n">
        <v>79579</v>
      </c>
      <c r="J178" s="29" t="n">
        <v>45475</v>
      </c>
      <c r="K178" s="31" t="n">
        <v>25225</v>
      </c>
      <c r="L178" s="30" t="s">
        <v>32</v>
      </c>
      <c r="M178" s="10" t="n">
        <v>4</v>
      </c>
      <c r="N178" s="12" t="n">
        <v>-4065</v>
      </c>
      <c r="O178" s="13" t="n">
        <v>-0.0510778744840064</v>
      </c>
      <c r="P178" s="15" t="n">
        <v>0.0480085951784066</v>
      </c>
      <c r="Q178" s="13" t="n">
        <v>-0.0594311349028329</v>
      </c>
      <c r="R178" s="15" t="n">
        <v>0.188340807174888</v>
      </c>
      <c r="S178" s="32" t="n">
        <v>92721777500</v>
      </c>
      <c r="T178" s="15" t="n">
        <v>0.111111111111111</v>
      </c>
      <c r="U178" s="32" t="n">
        <v>6746299760</v>
      </c>
      <c r="V178" s="14" t="n">
        <v>12.050319542596</v>
      </c>
      <c r="W178" s="13" t="n">
        <v>0.188340807174888</v>
      </c>
      <c r="X178" s="15" t="n">
        <v>0.0169811320754718</v>
      </c>
      <c r="Y178" s="13" t="n">
        <v>0.00636536319695513</v>
      </c>
      <c r="Z178" s="13" t="n">
        <v>-0.0018875141652932</v>
      </c>
      <c r="AA178" s="30" t="s">
        <v>97</v>
      </c>
      <c r="AB178" s="28" t="s">
        <v>94</v>
      </c>
      <c r="AC178" s="28" t="s">
        <v>103</v>
      </c>
      <c r="AD178" s="28" t="s">
        <v>108</v>
      </c>
      <c r="AE178" s="28" t="s">
        <v>114</v>
      </c>
      <c r="AF178" s="28" t="s">
        <v>120</v>
      </c>
      <c r="AG178" s="30" t="s">
        <v>122</v>
      </c>
    </row>
    <row r="179" customFormat="false" ht="15" hidden="false" customHeight="false" outlineLevel="0" collapsed="false">
      <c r="A179" s="10" t="n">
        <v>2024</v>
      </c>
      <c r="B179" s="28" t="s">
        <v>56</v>
      </c>
      <c r="C179" s="29" t="n">
        <v>45469</v>
      </c>
      <c r="D179" s="30" t="s">
        <v>127</v>
      </c>
      <c r="E179" s="28" t="s">
        <v>319</v>
      </c>
      <c r="F179" s="28" t="s">
        <v>320</v>
      </c>
      <c r="G179" s="31" t="n">
        <v>3609</v>
      </c>
      <c r="H179" s="31" t="n">
        <v>27</v>
      </c>
      <c r="I179" s="31" t="n">
        <v>97432</v>
      </c>
      <c r="J179" s="29" t="n">
        <v>45482</v>
      </c>
      <c r="K179" s="31" t="n">
        <v>4335</v>
      </c>
      <c r="L179" s="30" t="s">
        <v>31</v>
      </c>
      <c r="M179" s="10" t="n">
        <v>9</v>
      </c>
      <c r="N179" s="12" t="n">
        <v>19370</v>
      </c>
      <c r="O179" s="13" t="n">
        <v>0.198802711643419</v>
      </c>
      <c r="P179" s="15" t="n">
        <v>0.291357740733608</v>
      </c>
      <c r="Q179" s="13" t="n">
        <v>-0.0411807332750466</v>
      </c>
      <c r="R179" s="15" t="n">
        <v>0.0329512893982809</v>
      </c>
      <c r="S179" s="32" t="n">
        <v>25921222565</v>
      </c>
      <c r="T179" s="15" t="n">
        <v>0.0198019801980198</v>
      </c>
      <c r="U179" s="32" t="n">
        <v>19121241895.75</v>
      </c>
      <c r="V179" s="14" t="n">
        <v>1.22832485684162</v>
      </c>
      <c r="W179" s="13" t="n">
        <v>0.028530670470756</v>
      </c>
      <c r="X179" s="15" t="n">
        <v>0.00832177531206657</v>
      </c>
      <c r="Y179" s="13" t="n">
        <v>0.00636536319695513</v>
      </c>
      <c r="Z179" s="13" t="n">
        <v>-0.0018875141652932</v>
      </c>
      <c r="AA179" s="30" t="s">
        <v>97</v>
      </c>
      <c r="AB179" s="28" t="s">
        <v>94</v>
      </c>
      <c r="AC179" s="28" t="s">
        <v>100</v>
      </c>
      <c r="AD179" s="28" t="s">
        <v>106</v>
      </c>
      <c r="AE179" s="28" t="s">
        <v>112</v>
      </c>
      <c r="AF179" s="28" t="s">
        <v>116</v>
      </c>
      <c r="AG179" s="30" t="s">
        <v>122</v>
      </c>
    </row>
    <row r="180" customFormat="false" ht="15" hidden="false" customHeight="false" outlineLevel="0" collapsed="false">
      <c r="A180" s="10" t="n">
        <v>2024</v>
      </c>
      <c r="B180" s="28" t="s">
        <v>57</v>
      </c>
      <c r="C180" s="29" t="n">
        <v>45475</v>
      </c>
      <c r="D180" s="30" t="s">
        <v>126</v>
      </c>
      <c r="E180" s="28" t="s">
        <v>399</v>
      </c>
      <c r="F180" s="28" t="s">
        <v>400</v>
      </c>
      <c r="G180" s="31" t="n">
        <v>83283</v>
      </c>
      <c r="H180" s="31" t="n">
        <v>1</v>
      </c>
      <c r="I180" s="31" t="n">
        <v>83283</v>
      </c>
      <c r="J180" s="29" t="n">
        <v>45509</v>
      </c>
      <c r="K180" s="31" t="n">
        <v>77323</v>
      </c>
      <c r="L180" s="30" t="s">
        <v>32</v>
      </c>
      <c r="M180" s="10" t="n">
        <v>24</v>
      </c>
      <c r="N180" s="12" t="n">
        <v>-6124</v>
      </c>
      <c r="O180" s="13" t="n">
        <v>-0.073530694665911</v>
      </c>
      <c r="P180" s="15" t="n">
        <v>0.109467455621302</v>
      </c>
      <c r="Q180" s="13" t="n">
        <v>-0.111465457619304</v>
      </c>
      <c r="R180" s="15" t="n">
        <v>0.0452261306532664</v>
      </c>
      <c r="S180" s="32" t="n">
        <v>263257529600</v>
      </c>
      <c r="T180" s="15" t="n">
        <v>0.0271604938271606</v>
      </c>
      <c r="U180" s="32" t="n">
        <v>85336391780</v>
      </c>
      <c r="V180" s="14" t="n">
        <v>2.93505915866479</v>
      </c>
      <c r="W180" s="13" t="n">
        <v>0.0413016270337923</v>
      </c>
      <c r="X180" s="15" t="n">
        <v>0.0216346153846154</v>
      </c>
      <c r="Y180" s="13" t="n">
        <v>-0.00836212829537386</v>
      </c>
      <c r="Z180" s="13" t="n">
        <v>0.00233204416105881</v>
      </c>
      <c r="AA180" s="30" t="s">
        <v>97</v>
      </c>
      <c r="AB180" s="28" t="s">
        <v>93</v>
      </c>
      <c r="AC180" s="28" t="s">
        <v>100</v>
      </c>
      <c r="AD180" s="28" t="s">
        <v>110</v>
      </c>
      <c r="AE180" s="28" t="s">
        <v>113</v>
      </c>
      <c r="AF180" s="28" t="s">
        <v>117</v>
      </c>
      <c r="AG180" s="30" t="s">
        <v>122</v>
      </c>
    </row>
    <row r="181" customFormat="false" ht="15" hidden="false" customHeight="false" outlineLevel="0" collapsed="false">
      <c r="A181" s="10" t="n">
        <v>2024</v>
      </c>
      <c r="B181" s="28" t="s">
        <v>57</v>
      </c>
      <c r="C181" s="29" t="n">
        <v>45475</v>
      </c>
      <c r="D181" s="30" t="s">
        <v>126</v>
      </c>
      <c r="E181" s="28" t="s">
        <v>475</v>
      </c>
      <c r="F181" s="30" t="s">
        <v>476</v>
      </c>
      <c r="G181" s="31" t="n">
        <v>5171</v>
      </c>
      <c r="H181" s="31" t="n">
        <v>19</v>
      </c>
      <c r="I181" s="31" t="n">
        <v>98258</v>
      </c>
      <c r="J181" s="29" t="n">
        <v>45477</v>
      </c>
      <c r="K181" s="31" t="n">
        <v>4920</v>
      </c>
      <c r="L181" s="30" t="s">
        <v>32</v>
      </c>
      <c r="M181" s="10" t="n">
        <v>2</v>
      </c>
      <c r="N181" s="12" t="n">
        <v>-4974</v>
      </c>
      <c r="O181" s="13" t="n">
        <v>-0.050619724219042</v>
      </c>
      <c r="P181" s="15" t="n">
        <v>0.0641392177867324</v>
      </c>
      <c r="Q181" s="13" t="n">
        <v>-0.0558182940364992</v>
      </c>
      <c r="R181" s="15" t="n">
        <v>0.167294649585531</v>
      </c>
      <c r="S181" s="32" t="n">
        <v>249826515050</v>
      </c>
      <c r="T181" s="15" t="n">
        <v>0.133138258961229</v>
      </c>
      <c r="U181" s="32" t="n">
        <v>4309630746.5</v>
      </c>
      <c r="V181" s="14" t="n">
        <v>48.4037552556277</v>
      </c>
      <c r="W181" s="13" t="n">
        <v>0.175265553869499</v>
      </c>
      <c r="X181" s="15" t="n">
        <v>0.0555196901226598</v>
      </c>
      <c r="Y181" s="13" t="n">
        <v>-0.00836212829537386</v>
      </c>
      <c r="Z181" s="13" t="n">
        <v>0.00233204416105881</v>
      </c>
      <c r="AA181" s="30" t="s">
        <v>97</v>
      </c>
      <c r="AB181" s="28" t="s">
        <v>93</v>
      </c>
      <c r="AC181" s="28" t="s">
        <v>103</v>
      </c>
      <c r="AD181" s="28" t="s">
        <v>110</v>
      </c>
      <c r="AE181" s="28" t="s">
        <v>114</v>
      </c>
      <c r="AF181" s="28" t="s">
        <v>120</v>
      </c>
      <c r="AG181" s="30" t="s">
        <v>122</v>
      </c>
    </row>
    <row r="182" customFormat="false" ht="15" hidden="false" customHeight="false" outlineLevel="0" collapsed="false">
      <c r="A182" s="10" t="n">
        <v>2024</v>
      </c>
      <c r="B182" s="28" t="s">
        <v>57</v>
      </c>
      <c r="C182" s="29" t="n">
        <v>45475</v>
      </c>
      <c r="D182" s="30" t="s">
        <v>126</v>
      </c>
      <c r="E182" s="28" t="s">
        <v>401</v>
      </c>
      <c r="F182" s="30" t="s">
        <v>402</v>
      </c>
      <c r="G182" s="31" t="n">
        <v>62963</v>
      </c>
      <c r="H182" s="31" t="n">
        <v>1</v>
      </c>
      <c r="I182" s="31" t="n">
        <v>62963</v>
      </c>
      <c r="J182" s="29" t="n">
        <v>45509</v>
      </c>
      <c r="K182" s="31" t="n">
        <v>59440</v>
      </c>
      <c r="L182" s="30" t="s">
        <v>32</v>
      </c>
      <c r="M182" s="10" t="n">
        <v>24</v>
      </c>
      <c r="N182" s="12" t="n">
        <v>-3648</v>
      </c>
      <c r="O182" s="13" t="n">
        <v>-0.057934965034965</v>
      </c>
      <c r="P182" s="15" t="n">
        <v>0.0768246062363711</v>
      </c>
      <c r="Q182" s="13" t="n">
        <v>-0.112175582763818</v>
      </c>
      <c r="R182" s="15" t="n">
        <v>0.0448504983388705</v>
      </c>
      <c r="S182" s="32" t="n">
        <v>86931448200</v>
      </c>
      <c r="T182" s="15" t="n">
        <v>0.00318979266347697</v>
      </c>
      <c r="U182" s="32" t="n">
        <v>38896343160</v>
      </c>
      <c r="V182" s="14" t="n">
        <v>2.13142029682406</v>
      </c>
      <c r="W182" s="13" t="n">
        <v>0.0448504983388705</v>
      </c>
      <c r="X182" s="15" t="n">
        <v>0.00158982511923678</v>
      </c>
      <c r="Y182" s="13" t="n">
        <v>-0.00836212829537386</v>
      </c>
      <c r="Z182" s="13" t="n">
        <v>0.00233204416105881</v>
      </c>
      <c r="AA182" s="30" t="s">
        <v>97</v>
      </c>
      <c r="AB182" s="28" t="s">
        <v>93</v>
      </c>
      <c r="AC182" s="28" t="s">
        <v>100</v>
      </c>
      <c r="AD182" s="28" t="s">
        <v>108</v>
      </c>
      <c r="AE182" s="28" t="s">
        <v>112</v>
      </c>
      <c r="AF182" s="28" t="s">
        <v>117</v>
      </c>
      <c r="AG182" s="30" t="s">
        <v>122</v>
      </c>
    </row>
    <row r="183" customFormat="false" ht="15" hidden="false" customHeight="false" outlineLevel="0" collapsed="false">
      <c r="A183" s="10" t="n">
        <v>2024</v>
      </c>
      <c r="B183" s="28" t="s">
        <v>57</v>
      </c>
      <c r="C183" s="29" t="n">
        <v>45477</v>
      </c>
      <c r="D183" s="30" t="s">
        <v>128</v>
      </c>
      <c r="E183" s="28" t="s">
        <v>185</v>
      </c>
      <c r="F183" s="30" t="s">
        <v>186</v>
      </c>
      <c r="G183" s="31" t="n">
        <v>11341</v>
      </c>
      <c r="H183" s="31" t="n">
        <v>8</v>
      </c>
      <c r="I183" s="31" t="n">
        <v>90731</v>
      </c>
      <c r="J183" s="29" t="n">
        <v>45483</v>
      </c>
      <c r="K183" s="31" t="n">
        <v>10689</v>
      </c>
      <c r="L183" s="30" t="s">
        <v>32</v>
      </c>
      <c r="M183" s="10" t="n">
        <v>4</v>
      </c>
      <c r="N183" s="12" t="n">
        <v>-5397</v>
      </c>
      <c r="O183" s="13" t="n">
        <v>-0.0594793850897557</v>
      </c>
      <c r="P183" s="15" t="n">
        <v>0.048377923929557</v>
      </c>
      <c r="Q183" s="13" t="n">
        <v>-0.0636018879619937</v>
      </c>
      <c r="R183" s="15" t="n">
        <v>0.0729166666666667</v>
      </c>
      <c r="S183" s="32" t="n">
        <v>113479274590</v>
      </c>
      <c r="T183" s="15" t="n">
        <v>0.063849765258216</v>
      </c>
      <c r="U183" s="32" t="n">
        <v>18662522646</v>
      </c>
      <c r="V183" s="14" t="n">
        <v>5.51517723367731</v>
      </c>
      <c r="W183" s="13" t="n">
        <v>0.0831739961759082</v>
      </c>
      <c r="X183" s="15" t="n">
        <v>0.0123565754633717</v>
      </c>
      <c r="Y183" s="13" t="n">
        <v>0.0110701107011069</v>
      </c>
      <c r="Z183" s="13" t="n">
        <v>0.0146835915892618</v>
      </c>
      <c r="AA183" s="30" t="s">
        <v>97</v>
      </c>
      <c r="AB183" s="28" t="s">
        <v>93</v>
      </c>
      <c r="AC183" s="28" t="s">
        <v>101</v>
      </c>
      <c r="AD183" s="28" t="s">
        <v>109</v>
      </c>
      <c r="AE183" s="28" t="s">
        <v>101</v>
      </c>
      <c r="AF183" s="28" t="s">
        <v>119</v>
      </c>
      <c r="AG183" s="30" t="s">
        <v>122</v>
      </c>
    </row>
    <row r="184" customFormat="false" ht="15" hidden="false" customHeight="false" outlineLevel="0" collapsed="false">
      <c r="A184" s="10" t="n">
        <v>2024</v>
      </c>
      <c r="B184" s="28" t="s">
        <v>57</v>
      </c>
      <c r="C184" s="29" t="n">
        <v>45482</v>
      </c>
      <c r="D184" s="30" t="s">
        <v>126</v>
      </c>
      <c r="E184" s="28" t="s">
        <v>477</v>
      </c>
      <c r="F184" s="30" t="s">
        <v>478</v>
      </c>
      <c r="G184" s="31" t="n">
        <v>22272</v>
      </c>
      <c r="H184" s="31" t="n">
        <v>4</v>
      </c>
      <c r="I184" s="31" t="n">
        <v>89089</v>
      </c>
      <c r="J184" s="29" t="n">
        <v>45485</v>
      </c>
      <c r="K184" s="31" t="n">
        <v>20779</v>
      </c>
      <c r="L184" s="30" t="s">
        <v>32</v>
      </c>
      <c r="M184" s="10" t="n">
        <v>3</v>
      </c>
      <c r="N184" s="12" t="n">
        <v>-6148</v>
      </c>
      <c r="O184" s="13" t="n">
        <v>-0.0690056135998832</v>
      </c>
      <c r="P184" s="15" t="n">
        <v>0.00349089113134071</v>
      </c>
      <c r="Q184" s="13" t="n">
        <v>-0.103368541570789</v>
      </c>
      <c r="R184" s="15" t="n">
        <v>0.0595238095238095</v>
      </c>
      <c r="S184" s="32" t="n">
        <v>615706561250</v>
      </c>
      <c r="T184" s="15" t="n">
        <v>0.0520094562647755</v>
      </c>
      <c r="U184" s="32" t="n">
        <v>147157803347</v>
      </c>
      <c r="V184" s="14" t="n">
        <v>3.80989549829528</v>
      </c>
      <c r="W184" s="13" t="n">
        <v>0.0421545667447307</v>
      </c>
      <c r="X184" s="15" t="n">
        <v>0.00224719101123605</v>
      </c>
      <c r="Y184" s="13" t="n">
        <v>0.00336627288505675</v>
      </c>
      <c r="Z184" s="13" t="n">
        <v>0.0311126773731867</v>
      </c>
      <c r="AA184" s="30" t="s">
        <v>97</v>
      </c>
      <c r="AB184" s="28" t="s">
        <v>93</v>
      </c>
      <c r="AC184" s="28" t="s">
        <v>101</v>
      </c>
      <c r="AD184" s="28" t="s">
        <v>110</v>
      </c>
      <c r="AE184" s="28" t="s">
        <v>101</v>
      </c>
      <c r="AF184" s="28" t="s">
        <v>118</v>
      </c>
      <c r="AG184" s="30" t="s">
        <v>122</v>
      </c>
    </row>
    <row r="185" customFormat="false" ht="15" hidden="false" customHeight="false" outlineLevel="0" collapsed="false">
      <c r="A185" s="10" t="n">
        <v>2024</v>
      </c>
      <c r="B185" s="28" t="s">
        <v>57</v>
      </c>
      <c r="C185" s="29" t="n">
        <v>45483</v>
      </c>
      <c r="D185" s="30" t="s">
        <v>127</v>
      </c>
      <c r="E185" s="28" t="s">
        <v>479</v>
      </c>
      <c r="F185" s="30" t="s">
        <v>480</v>
      </c>
      <c r="G185" s="31" t="n">
        <v>58258</v>
      </c>
      <c r="H185" s="31" t="n">
        <v>1</v>
      </c>
      <c r="I185" s="31" t="n">
        <v>58258</v>
      </c>
      <c r="J185" s="29" t="n">
        <v>45513</v>
      </c>
      <c r="K185" s="31" t="n">
        <v>72000</v>
      </c>
      <c r="L185" s="30" t="s">
        <v>31</v>
      </c>
      <c r="M185" s="10" t="n">
        <v>22</v>
      </c>
      <c r="N185" s="12" t="n">
        <v>13593</v>
      </c>
      <c r="O185" s="13" t="n">
        <v>0.233317563364471</v>
      </c>
      <c r="P185" s="15" t="n">
        <v>0.237594021099176</v>
      </c>
      <c r="Q185" s="13" t="n">
        <v>-0.0284629459887191</v>
      </c>
      <c r="R185" s="15" t="n">
        <v>0.0246478873239437</v>
      </c>
      <c r="S185" s="32" t="n">
        <v>259364400600</v>
      </c>
      <c r="T185" s="15" t="n">
        <v>0.00344827586206886</v>
      </c>
      <c r="U185" s="32" t="n">
        <v>9052667040</v>
      </c>
      <c r="V185" s="14" t="n">
        <v>27.2620484129628</v>
      </c>
      <c r="W185" s="13" t="n">
        <v>0.0246478873239437</v>
      </c>
      <c r="X185" s="15" t="n">
        <v>0.0154639175257731</v>
      </c>
      <c r="Y185" s="13" t="n">
        <v>0.000212737760603599</v>
      </c>
      <c r="Z185" s="13" t="n">
        <v>0.0264780727341705</v>
      </c>
      <c r="AA185" s="30" t="s">
        <v>97</v>
      </c>
      <c r="AB185" s="28" t="s">
        <v>93</v>
      </c>
      <c r="AC185" s="28" t="s">
        <v>99</v>
      </c>
      <c r="AD185" s="28" t="s">
        <v>110</v>
      </c>
      <c r="AE185" s="28" t="s">
        <v>112</v>
      </c>
      <c r="AF185" s="28" t="s">
        <v>120</v>
      </c>
      <c r="AG185" s="30" t="s">
        <v>122</v>
      </c>
    </row>
    <row r="186" customFormat="false" ht="15" hidden="false" customHeight="false" outlineLevel="0" collapsed="false">
      <c r="A186" s="10" t="n">
        <v>2024</v>
      </c>
      <c r="B186" s="28" t="s">
        <v>57</v>
      </c>
      <c r="C186" s="29" t="n">
        <v>45483</v>
      </c>
      <c r="D186" s="30" t="s">
        <v>127</v>
      </c>
      <c r="E186" s="28" t="s">
        <v>301</v>
      </c>
      <c r="F186" s="28" t="s">
        <v>302</v>
      </c>
      <c r="G186" s="31" t="n">
        <v>44945</v>
      </c>
      <c r="H186" s="31" t="n">
        <v>2</v>
      </c>
      <c r="I186" s="31" t="n">
        <v>89890</v>
      </c>
      <c r="J186" s="29" t="n">
        <v>45491</v>
      </c>
      <c r="K186" s="31" t="n">
        <v>42757</v>
      </c>
      <c r="L186" s="30" t="s">
        <v>32</v>
      </c>
      <c r="M186" s="10" t="n">
        <v>6</v>
      </c>
      <c r="N186" s="12" t="n">
        <v>-4556</v>
      </c>
      <c r="O186" s="13" t="n">
        <v>-0.0506802390260074</v>
      </c>
      <c r="P186" s="15" t="n">
        <v>0.0501747695511616</v>
      </c>
      <c r="Q186" s="13" t="n">
        <v>-0.0721972904600966</v>
      </c>
      <c r="R186" s="15" t="n">
        <v>0.0539906103286385</v>
      </c>
      <c r="S186" s="32" t="n">
        <v>241589164500</v>
      </c>
      <c r="T186" s="15" t="n">
        <v>0.0181405895691611</v>
      </c>
      <c r="U186" s="32" t="n">
        <v>140138056975</v>
      </c>
      <c r="V186" s="14" t="n">
        <v>1.56344932818102</v>
      </c>
      <c r="W186" s="13" t="n">
        <v>0.0417633410672853</v>
      </c>
      <c r="X186" s="15" t="n">
        <v>0.0200445434298442</v>
      </c>
      <c r="Y186" s="13" t="n">
        <v>0.000212737760603599</v>
      </c>
      <c r="Z186" s="13" t="n">
        <v>0.0264780727341705</v>
      </c>
      <c r="AA186" s="30" t="s">
        <v>97</v>
      </c>
      <c r="AB186" s="28" t="s">
        <v>93</v>
      </c>
      <c r="AC186" s="28" t="s">
        <v>101</v>
      </c>
      <c r="AD186" s="28" t="s">
        <v>110</v>
      </c>
      <c r="AE186" s="28" t="s">
        <v>112</v>
      </c>
      <c r="AF186" s="28" t="s">
        <v>116</v>
      </c>
      <c r="AG186" s="30" t="s">
        <v>122</v>
      </c>
    </row>
    <row r="187" customFormat="false" ht="15" hidden="false" customHeight="false" outlineLevel="0" collapsed="false">
      <c r="A187" s="10" t="n">
        <v>2024</v>
      </c>
      <c r="B187" s="28" t="s">
        <v>57</v>
      </c>
      <c r="C187" s="29" t="n">
        <v>45485</v>
      </c>
      <c r="D187" s="30" t="s">
        <v>129</v>
      </c>
      <c r="E187" s="28" t="s">
        <v>481</v>
      </c>
      <c r="F187" s="30" t="s">
        <v>482</v>
      </c>
      <c r="G187" s="31" t="n">
        <v>54655</v>
      </c>
      <c r="H187" s="31" t="n">
        <v>1</v>
      </c>
      <c r="I187" s="31" t="n">
        <v>54655</v>
      </c>
      <c r="J187" s="29" t="n">
        <v>45488</v>
      </c>
      <c r="K187" s="31" t="n">
        <v>51948</v>
      </c>
      <c r="L187" s="30" t="s">
        <v>32</v>
      </c>
      <c r="M187" s="10" t="n">
        <v>1</v>
      </c>
      <c r="N187" s="12" t="n">
        <v>-2816</v>
      </c>
      <c r="O187" s="13" t="n">
        <v>-0.0515253389467675</v>
      </c>
      <c r="P187" s="15" t="n">
        <v>-0.0321034277078232</v>
      </c>
      <c r="Q187" s="13" t="n">
        <v>-0.10346064192218</v>
      </c>
      <c r="R187" s="15" t="n">
        <v>0.05</v>
      </c>
      <c r="S187" s="32" t="n">
        <v>370685296800</v>
      </c>
      <c r="T187" s="15" t="n">
        <v>0.0111111111111111</v>
      </c>
      <c r="U187" s="32" t="n">
        <v>10198672337.5</v>
      </c>
      <c r="V187" s="14" t="n">
        <v>34.4765040192749</v>
      </c>
      <c r="W187" s="13" t="n">
        <v>0.0601941747572816</v>
      </c>
      <c r="X187" s="15" t="n">
        <v>0.0897435897435897</v>
      </c>
      <c r="Y187" s="13" t="n">
        <v>-0.011880263544711</v>
      </c>
      <c r="Z187" s="13" t="n">
        <v>-0.00182724658745104</v>
      </c>
      <c r="AA187" s="30" t="s">
        <v>97</v>
      </c>
      <c r="AB187" s="28" t="s">
        <v>94</v>
      </c>
      <c r="AC187" s="28" t="s">
        <v>101</v>
      </c>
      <c r="AD187" s="28" t="s">
        <v>110</v>
      </c>
      <c r="AE187" s="28" t="s">
        <v>112</v>
      </c>
      <c r="AF187" s="28" t="s">
        <v>120</v>
      </c>
      <c r="AG187" s="30" t="s">
        <v>122</v>
      </c>
    </row>
    <row r="188" customFormat="false" ht="15" hidden="false" customHeight="false" outlineLevel="0" collapsed="false">
      <c r="A188" s="10" t="n">
        <v>2024</v>
      </c>
      <c r="B188" s="28" t="s">
        <v>57</v>
      </c>
      <c r="C188" s="29" t="n">
        <v>45488</v>
      </c>
      <c r="D188" s="30" t="s">
        <v>125</v>
      </c>
      <c r="E188" s="28" t="s">
        <v>267</v>
      </c>
      <c r="F188" s="30" t="s">
        <v>268</v>
      </c>
      <c r="G188" s="31" t="n">
        <v>8508</v>
      </c>
      <c r="H188" s="31" t="n">
        <v>11</v>
      </c>
      <c r="I188" s="31" t="n">
        <v>93593</v>
      </c>
      <c r="J188" s="29" t="n">
        <v>45506</v>
      </c>
      <c r="K188" s="31" t="n">
        <v>8092</v>
      </c>
      <c r="L188" s="30" t="s">
        <v>32</v>
      </c>
      <c r="M188" s="10" t="n">
        <v>14</v>
      </c>
      <c r="N188" s="12" t="n">
        <v>-4770</v>
      </c>
      <c r="O188" s="13" t="n">
        <v>-0.0509673244402656</v>
      </c>
      <c r="P188" s="15" t="n">
        <v>0.100076394194042</v>
      </c>
      <c r="Q188" s="13" t="n">
        <v>-0.078568490333196</v>
      </c>
      <c r="R188" s="15" t="n">
        <v>0.151761517615176</v>
      </c>
      <c r="S188" s="32" t="n">
        <v>83216938000</v>
      </c>
      <c r="T188" s="15" t="n">
        <v>0.0303030303030303</v>
      </c>
      <c r="U188" s="32" t="n">
        <v>6276480495</v>
      </c>
      <c r="V188" s="14" t="n">
        <v>12.1852960755735</v>
      </c>
      <c r="W188" s="13" t="n">
        <v>0.0705289672544081</v>
      </c>
      <c r="X188" s="15" t="n">
        <v>0.0223529411764707</v>
      </c>
      <c r="Y188" s="13" t="n">
        <v>0.0013720686034302</v>
      </c>
      <c r="Z188" s="13" t="n">
        <v>0.00110576115559025</v>
      </c>
      <c r="AA188" s="30" t="s">
        <v>97</v>
      </c>
      <c r="AB188" s="28" t="s">
        <v>93</v>
      </c>
      <c r="AC188" s="28" t="s">
        <v>103</v>
      </c>
      <c r="AD188" s="28" t="s">
        <v>108</v>
      </c>
      <c r="AE188" s="28" t="s">
        <v>113</v>
      </c>
      <c r="AF188" s="28" t="s">
        <v>120</v>
      </c>
      <c r="AG188" s="30" t="s">
        <v>122</v>
      </c>
    </row>
    <row r="189" customFormat="false" ht="15" hidden="false" customHeight="false" outlineLevel="0" collapsed="false">
      <c r="A189" s="10" t="n">
        <v>2024</v>
      </c>
      <c r="B189" s="28" t="s">
        <v>57</v>
      </c>
      <c r="C189" s="29" t="n">
        <v>45490</v>
      </c>
      <c r="D189" s="30" t="s">
        <v>127</v>
      </c>
      <c r="E189" s="28" t="s">
        <v>483</v>
      </c>
      <c r="F189" s="28" t="s">
        <v>484</v>
      </c>
      <c r="G189" s="31" t="n">
        <v>74074</v>
      </c>
      <c r="H189" s="31" t="n">
        <v>1</v>
      </c>
      <c r="I189" s="31" t="n">
        <v>74074</v>
      </c>
      <c r="J189" s="29" t="n">
        <v>45491</v>
      </c>
      <c r="K189" s="31" t="n">
        <v>69930</v>
      </c>
      <c r="L189" s="30" t="s">
        <v>32</v>
      </c>
      <c r="M189" s="10" t="n">
        <v>1</v>
      </c>
      <c r="N189" s="12" t="n">
        <v>-4291</v>
      </c>
      <c r="O189" s="13" t="n">
        <v>-0.0579349650349651</v>
      </c>
      <c r="P189" s="15" t="n">
        <v>-0.0428490428490427</v>
      </c>
      <c r="Q189" s="13" t="n">
        <v>-0.0833490833490832</v>
      </c>
      <c r="R189" s="15" t="n">
        <v>0.258503401360544</v>
      </c>
      <c r="S189" s="32" t="n">
        <v>251945062000</v>
      </c>
      <c r="T189" s="15" t="n">
        <v>0.136712749615976</v>
      </c>
      <c r="U189" s="32" t="n">
        <v>5320135430</v>
      </c>
      <c r="V189" s="14" t="n">
        <v>39.0619500095227</v>
      </c>
      <c r="W189" s="13" t="n">
        <v>0.25</v>
      </c>
      <c r="X189" s="15" t="n">
        <v>0.0324324324324323</v>
      </c>
      <c r="Y189" s="13" t="n">
        <v>-0.00795508863992411</v>
      </c>
      <c r="Z189" s="13" t="n">
        <v>-0.00861230339017916</v>
      </c>
      <c r="AA189" s="30" t="s">
        <v>97</v>
      </c>
      <c r="AB189" s="28" t="s">
        <v>94</v>
      </c>
      <c r="AC189" s="28" t="s">
        <v>104</v>
      </c>
      <c r="AD189" s="28" t="s">
        <v>110</v>
      </c>
      <c r="AE189" s="28" t="s">
        <v>114</v>
      </c>
      <c r="AF189" s="28" t="s">
        <v>120</v>
      </c>
      <c r="AG189" s="30" t="s">
        <v>122</v>
      </c>
    </row>
    <row r="190" customFormat="false" ht="15" hidden="false" customHeight="false" outlineLevel="0" collapsed="false">
      <c r="A190" s="10" t="n">
        <v>2024</v>
      </c>
      <c r="B190" s="28" t="s">
        <v>57</v>
      </c>
      <c r="C190" s="29" t="n">
        <v>45491</v>
      </c>
      <c r="D190" s="30" t="s">
        <v>128</v>
      </c>
      <c r="E190" s="28" t="s">
        <v>485</v>
      </c>
      <c r="F190" s="28" t="s">
        <v>486</v>
      </c>
      <c r="G190" s="31" t="n">
        <v>57958</v>
      </c>
      <c r="H190" s="31" t="n">
        <v>1</v>
      </c>
      <c r="I190" s="31" t="n">
        <v>57958</v>
      </c>
      <c r="J190" s="29" t="n">
        <v>45497</v>
      </c>
      <c r="K190" s="31" t="n">
        <v>55145</v>
      </c>
      <c r="L190" s="30" t="s">
        <v>32</v>
      </c>
      <c r="M190" s="10" t="n">
        <v>4</v>
      </c>
      <c r="N190" s="12" t="n">
        <v>-2929</v>
      </c>
      <c r="O190" s="13" t="n">
        <v>-0.0505423082099247</v>
      </c>
      <c r="P190" s="15" t="n">
        <v>0.0214310732445449</v>
      </c>
      <c r="Q190" s="13" t="n">
        <v>-0.0544861011182254</v>
      </c>
      <c r="R190" s="15" t="n">
        <v>0.0376344086021505</v>
      </c>
      <c r="S190" s="32" t="n">
        <v>30090166800</v>
      </c>
      <c r="T190" s="15" t="n">
        <v>0.00695652173913053</v>
      </c>
      <c r="U190" s="32" t="n">
        <v>18156270535</v>
      </c>
      <c r="V190" s="14" t="n">
        <v>1.60964625643853</v>
      </c>
      <c r="W190" s="13" t="n">
        <v>0.0470162748643761</v>
      </c>
      <c r="X190" s="15" t="n">
        <v>0.0017271157167531</v>
      </c>
      <c r="Y190" s="13" t="n">
        <v>-0.0066612972999589</v>
      </c>
      <c r="Z190" s="13" t="n">
        <v>-0.023172566448199</v>
      </c>
      <c r="AA190" s="30" t="s">
        <v>96</v>
      </c>
      <c r="AB190" s="28" t="s">
        <v>94</v>
      </c>
      <c r="AC190" s="28" t="s">
        <v>100</v>
      </c>
      <c r="AD190" s="28" t="s">
        <v>107</v>
      </c>
      <c r="AE190" s="28" t="s">
        <v>112</v>
      </c>
      <c r="AF190" s="28" t="s">
        <v>116</v>
      </c>
      <c r="AG190" s="30" t="s">
        <v>122</v>
      </c>
    </row>
    <row r="191" customFormat="false" ht="15" hidden="false" customHeight="false" outlineLevel="0" collapsed="false">
      <c r="A191" s="10" t="n">
        <v>2024</v>
      </c>
      <c r="B191" s="28" t="s">
        <v>57</v>
      </c>
      <c r="C191" s="29" t="n">
        <v>45492</v>
      </c>
      <c r="D191" s="30" t="s">
        <v>129</v>
      </c>
      <c r="E191" s="28" t="s">
        <v>487</v>
      </c>
      <c r="F191" s="30" t="s">
        <v>488</v>
      </c>
      <c r="G191" s="31" t="n">
        <v>9289</v>
      </c>
      <c r="H191" s="31" t="n">
        <v>10</v>
      </c>
      <c r="I191" s="31" t="n">
        <v>92893</v>
      </c>
      <c r="J191" s="29" t="n">
        <v>45496</v>
      </c>
      <c r="K191" s="31" t="n">
        <v>11150</v>
      </c>
      <c r="L191" s="30" t="s">
        <v>31</v>
      </c>
      <c r="M191" s="10" t="n">
        <v>2</v>
      </c>
      <c r="N191" s="12" t="n">
        <v>18376</v>
      </c>
      <c r="O191" s="13" t="n">
        <v>0.197817711168142</v>
      </c>
      <c r="P191" s="15" t="n">
        <v>0.299347204519618</v>
      </c>
      <c r="Q191" s="13" t="n">
        <v>-0.00638154948499758</v>
      </c>
      <c r="R191" s="15" t="n">
        <v>0.0108932461873639</v>
      </c>
      <c r="S191" s="32" t="n">
        <v>173706334400</v>
      </c>
      <c r="T191" s="15" t="n">
        <v>0.0108932461873639</v>
      </c>
      <c r="U191" s="32" t="n">
        <v>12857737750.5</v>
      </c>
      <c r="V191" s="14" t="n">
        <v>12.7007326361249</v>
      </c>
      <c r="W191" s="13" t="n">
        <v>-0.0373443983402489</v>
      </c>
      <c r="X191" s="15" t="n">
        <v>0.139008620689655</v>
      </c>
      <c r="Y191" s="13" t="n">
        <v>-0.0102289022252907</v>
      </c>
      <c r="Z191" s="13" t="n">
        <v>-0.0215400770038502</v>
      </c>
      <c r="AA191" s="30" t="s">
        <v>96</v>
      </c>
      <c r="AB191" s="28" t="s">
        <v>94</v>
      </c>
      <c r="AC191" s="28" t="s">
        <v>99</v>
      </c>
      <c r="AD191" s="28" t="s">
        <v>109</v>
      </c>
      <c r="AE191" s="28" t="s">
        <v>112</v>
      </c>
      <c r="AF191" s="28" t="s">
        <v>120</v>
      </c>
      <c r="AG191" s="30" t="s">
        <v>123</v>
      </c>
    </row>
    <row r="192" customFormat="false" ht="15" hidden="false" customHeight="false" outlineLevel="0" collapsed="false">
      <c r="A192" s="10" t="n">
        <v>2024</v>
      </c>
      <c r="B192" s="28" t="s">
        <v>57</v>
      </c>
      <c r="C192" s="29" t="n">
        <v>45496</v>
      </c>
      <c r="D192" s="30" t="s">
        <v>126</v>
      </c>
      <c r="E192" s="28" t="s">
        <v>489</v>
      </c>
      <c r="F192" s="30" t="s">
        <v>490</v>
      </c>
      <c r="G192" s="31" t="n">
        <v>16917</v>
      </c>
      <c r="H192" s="31" t="n">
        <v>5</v>
      </c>
      <c r="I192" s="31" t="n">
        <v>84584</v>
      </c>
      <c r="J192" s="29" t="n">
        <v>45497</v>
      </c>
      <c r="K192" s="31" t="n">
        <v>16104</v>
      </c>
      <c r="L192" s="30" t="s">
        <v>32</v>
      </c>
      <c r="M192" s="10" t="n">
        <v>1</v>
      </c>
      <c r="N192" s="12" t="n">
        <v>-4235</v>
      </c>
      <c r="O192" s="13" t="n">
        <v>-0.0500659163913011</v>
      </c>
      <c r="P192" s="15" t="n">
        <v>0.0143702451394761</v>
      </c>
      <c r="Q192" s="13" t="n">
        <v>-0.0612937358499488</v>
      </c>
      <c r="R192" s="15" t="n">
        <v>0.129679144385027</v>
      </c>
      <c r="S192" s="32" t="n">
        <v>61101865500</v>
      </c>
      <c r="T192" s="15" t="n">
        <v>0.0682680151706701</v>
      </c>
      <c r="U192" s="32" t="n">
        <v>16418937254.5</v>
      </c>
      <c r="V192" s="14" t="n">
        <v>3.31468319130126</v>
      </c>
      <c r="W192" s="13" t="n">
        <v>0.140350877192982</v>
      </c>
      <c r="X192" s="15" t="n">
        <v>0.00295857988165671</v>
      </c>
      <c r="Y192" s="13" t="n">
        <v>0.00390083625534188</v>
      </c>
      <c r="Z192" s="13" t="n">
        <v>-0.0320296989975891</v>
      </c>
      <c r="AA192" s="30" t="s">
        <v>96</v>
      </c>
      <c r="AB192" s="28" t="s">
        <v>94</v>
      </c>
      <c r="AC192" s="28" t="s">
        <v>102</v>
      </c>
      <c r="AD192" s="28" t="s">
        <v>108</v>
      </c>
      <c r="AE192" s="28" t="s">
        <v>101</v>
      </c>
      <c r="AF192" s="28" t="s">
        <v>118</v>
      </c>
      <c r="AG192" s="30" t="s">
        <v>122</v>
      </c>
    </row>
    <row r="193" customFormat="false" ht="15" hidden="false" customHeight="false" outlineLevel="0" collapsed="false">
      <c r="A193" s="10" t="n">
        <v>2024</v>
      </c>
      <c r="B193" s="28" t="s">
        <v>57</v>
      </c>
      <c r="C193" s="29" t="n">
        <v>45498</v>
      </c>
      <c r="D193" s="30" t="s">
        <v>128</v>
      </c>
      <c r="E193" s="28" t="s">
        <v>491</v>
      </c>
      <c r="F193" s="30" t="s">
        <v>492</v>
      </c>
      <c r="G193" s="31" t="n">
        <v>6627</v>
      </c>
      <c r="H193" s="31" t="n">
        <v>15</v>
      </c>
      <c r="I193" s="31" t="n">
        <v>99399</v>
      </c>
      <c r="J193" s="29" t="n">
        <v>45499</v>
      </c>
      <c r="K193" s="31" t="n">
        <v>6304</v>
      </c>
      <c r="L193" s="30" t="s">
        <v>32</v>
      </c>
      <c r="M193" s="10" t="n">
        <v>1</v>
      </c>
      <c r="N193" s="12" t="n">
        <v>-5043</v>
      </c>
      <c r="O193" s="13" t="n">
        <v>-0.0507372066754997</v>
      </c>
      <c r="P193" s="15" t="n">
        <v>-0.0130715206243905</v>
      </c>
      <c r="Q193" s="13" t="n">
        <v>-0.0719250537981654</v>
      </c>
      <c r="R193" s="15" t="n">
        <v>0.107023411371237</v>
      </c>
      <c r="S193" s="32" t="n">
        <v>48538051840</v>
      </c>
      <c r="T193" s="15" t="n">
        <v>0.0781758957654724</v>
      </c>
      <c r="U193" s="32" t="n">
        <v>12999907745</v>
      </c>
      <c r="V193" s="14" t="n">
        <v>3.30862853343018</v>
      </c>
      <c r="W193" s="13" t="n">
        <v>0.122033898305085</v>
      </c>
      <c r="X193" s="15" t="n">
        <v>0.0151057401812689</v>
      </c>
      <c r="Y193" s="13" t="n">
        <v>-0.0174211859891036</v>
      </c>
      <c r="Z193" s="13" t="n">
        <v>-0.040257050294758</v>
      </c>
      <c r="AA193" s="30" t="s">
        <v>96</v>
      </c>
      <c r="AB193" s="28" t="s">
        <v>94</v>
      </c>
      <c r="AC193" s="28" t="s">
        <v>102</v>
      </c>
      <c r="AD193" s="28" t="s">
        <v>107</v>
      </c>
      <c r="AE193" s="28" t="s">
        <v>101</v>
      </c>
      <c r="AF193" s="28" t="s">
        <v>118</v>
      </c>
      <c r="AG193" s="30" t="s">
        <v>122</v>
      </c>
    </row>
    <row r="194" customFormat="false" ht="15" hidden="false" customHeight="false" outlineLevel="0" collapsed="false">
      <c r="A194" s="10" t="n">
        <v>2024</v>
      </c>
      <c r="B194" s="28" t="s">
        <v>57</v>
      </c>
      <c r="C194" s="29" t="n">
        <v>45499</v>
      </c>
      <c r="D194" s="30" t="s">
        <v>129</v>
      </c>
      <c r="E194" s="28" t="s">
        <v>493</v>
      </c>
      <c r="F194" s="30" t="s">
        <v>494</v>
      </c>
      <c r="G194" s="31" t="n">
        <v>25783</v>
      </c>
      <c r="H194" s="31" t="n">
        <v>3</v>
      </c>
      <c r="I194" s="31" t="n">
        <v>77349</v>
      </c>
      <c r="J194" s="29" t="n">
        <v>45502</v>
      </c>
      <c r="K194" s="31" t="n">
        <v>24525</v>
      </c>
      <c r="L194" s="30" t="s">
        <v>32</v>
      </c>
      <c r="M194" s="10" t="n">
        <v>1</v>
      </c>
      <c r="N194" s="12" t="n">
        <v>-3927</v>
      </c>
      <c r="O194" s="13" t="n">
        <v>-0.0507755939983477</v>
      </c>
      <c r="P194" s="15" t="n">
        <v>0.00482042229615054</v>
      </c>
      <c r="Q194" s="13" t="n">
        <v>-0.0601631378330407</v>
      </c>
      <c r="R194" s="15" t="n">
        <v>0.162528216704289</v>
      </c>
      <c r="S194" s="32" t="n">
        <v>59360496500</v>
      </c>
      <c r="T194" s="15" t="n">
        <v>0.0117878192534382</v>
      </c>
      <c r="U194" s="32" t="n">
        <v>6941563100</v>
      </c>
      <c r="V194" s="14" t="n">
        <v>7.25618602179882</v>
      </c>
      <c r="W194" s="13" t="n">
        <v>0.161217587373168</v>
      </c>
      <c r="X194" s="15" t="n">
        <v>0.0446601941747573</v>
      </c>
      <c r="Y194" s="13" t="n">
        <v>0.00783944810285364</v>
      </c>
      <c r="Z194" s="13" t="n">
        <v>-0.0227368662044887</v>
      </c>
      <c r="AA194" s="30" t="s">
        <v>96</v>
      </c>
      <c r="AB194" s="28" t="s">
        <v>94</v>
      </c>
      <c r="AC194" s="28" t="s">
        <v>103</v>
      </c>
      <c r="AD194" s="28" t="s">
        <v>108</v>
      </c>
      <c r="AE194" s="28" t="s">
        <v>112</v>
      </c>
      <c r="AF194" s="28" t="s">
        <v>119</v>
      </c>
      <c r="AG194" s="30" t="s">
        <v>122</v>
      </c>
    </row>
    <row r="195" customFormat="false" ht="15" hidden="false" customHeight="false" outlineLevel="0" collapsed="false">
      <c r="A195" s="10" t="n">
        <v>2024</v>
      </c>
      <c r="B195" s="28" t="s">
        <v>57</v>
      </c>
      <c r="C195" s="29" t="n">
        <v>45502</v>
      </c>
      <c r="D195" s="30" t="s">
        <v>125</v>
      </c>
      <c r="E195" s="28" t="s">
        <v>495</v>
      </c>
      <c r="F195" s="30" t="s">
        <v>496</v>
      </c>
      <c r="G195" s="31" t="n">
        <v>18278</v>
      </c>
      <c r="H195" s="31" t="n">
        <v>5</v>
      </c>
      <c r="I195" s="31" t="n">
        <v>91391</v>
      </c>
      <c r="J195" s="29" t="n">
        <v>45503</v>
      </c>
      <c r="K195" s="31" t="n">
        <v>17393</v>
      </c>
      <c r="L195" s="30" t="s">
        <v>32</v>
      </c>
      <c r="M195" s="10" t="n">
        <v>1</v>
      </c>
      <c r="N195" s="12" t="n">
        <v>-4612</v>
      </c>
      <c r="O195" s="13" t="n">
        <v>-0.0504603441191886</v>
      </c>
      <c r="P195" s="15" t="n">
        <v>-0.0283539023955234</v>
      </c>
      <c r="Q195" s="13" t="n">
        <v>-0.132302527702309</v>
      </c>
      <c r="R195" s="15" t="n">
        <v>0.200525969756739</v>
      </c>
      <c r="S195" s="32" t="n">
        <v>575389107040</v>
      </c>
      <c r="T195" s="15" t="n">
        <v>0.039271485486625</v>
      </c>
      <c r="U195" s="32" t="n">
        <v>81448814497</v>
      </c>
      <c r="V195" s="14" t="n">
        <v>6.27679380531092</v>
      </c>
      <c r="W195" s="13" t="n">
        <v>0.163057324840764</v>
      </c>
      <c r="X195" s="15" t="n">
        <v>0.0536692223439212</v>
      </c>
      <c r="Y195" s="13" t="n">
        <v>0.0123101138401844</v>
      </c>
      <c r="Z195" s="13" t="n">
        <v>0.000730954474563061</v>
      </c>
      <c r="AA195" s="30" t="s">
        <v>96</v>
      </c>
      <c r="AB195" s="28" t="s">
        <v>93</v>
      </c>
      <c r="AC195" s="28" t="s">
        <v>104</v>
      </c>
      <c r="AD195" s="28" t="s">
        <v>110</v>
      </c>
      <c r="AE195" s="28" t="s">
        <v>113</v>
      </c>
      <c r="AF195" s="28" t="s">
        <v>119</v>
      </c>
      <c r="AG195" s="30" t="s">
        <v>122</v>
      </c>
    </row>
    <row r="196" customFormat="false" ht="15" hidden="false" customHeight="false" outlineLevel="0" collapsed="false">
      <c r="A196" s="10" t="n">
        <v>2024</v>
      </c>
      <c r="B196" s="28" t="s">
        <v>57</v>
      </c>
      <c r="C196" s="29" t="n">
        <v>45502</v>
      </c>
      <c r="D196" s="30" t="s">
        <v>125</v>
      </c>
      <c r="E196" s="28" t="s">
        <v>397</v>
      </c>
      <c r="F196" s="30" t="s">
        <v>398</v>
      </c>
      <c r="G196" s="31" t="n">
        <v>54655</v>
      </c>
      <c r="H196" s="31" t="n">
        <v>1</v>
      </c>
      <c r="I196" s="31" t="n">
        <v>54655</v>
      </c>
      <c r="J196" s="29" t="n">
        <v>45509</v>
      </c>
      <c r="K196" s="31" t="n">
        <v>51948</v>
      </c>
      <c r="L196" s="30" t="s">
        <v>32</v>
      </c>
      <c r="M196" s="10" t="n">
        <v>5</v>
      </c>
      <c r="N196" s="12" t="n">
        <v>-2816</v>
      </c>
      <c r="O196" s="13" t="n">
        <v>-0.0515253389467675</v>
      </c>
      <c r="P196" s="15" t="n">
        <v>0.0593801802593013</v>
      </c>
      <c r="Q196" s="13" t="n">
        <v>-0.121757363515605</v>
      </c>
      <c r="R196" s="15" t="n">
        <v>0.0684931506849316</v>
      </c>
      <c r="S196" s="32" t="n">
        <v>181781581800</v>
      </c>
      <c r="T196" s="15" t="n">
        <v>0.0684931506849316</v>
      </c>
      <c r="U196" s="32" t="n">
        <v>29579104252.5</v>
      </c>
      <c r="V196" s="14" t="n">
        <v>5.58956827967812</v>
      </c>
      <c r="W196" s="13" t="n">
        <v>0.054054054054054</v>
      </c>
      <c r="X196" s="15" t="n">
        <v>0.0073260073260073</v>
      </c>
      <c r="Y196" s="13" t="n">
        <v>0.0123101138401844</v>
      </c>
      <c r="Z196" s="13" t="n">
        <v>0.000730954474563061</v>
      </c>
      <c r="AA196" s="30" t="s">
        <v>96</v>
      </c>
      <c r="AB196" s="28" t="s">
        <v>93</v>
      </c>
      <c r="AC196" s="28" t="s">
        <v>101</v>
      </c>
      <c r="AD196" s="28" t="s">
        <v>109</v>
      </c>
      <c r="AE196" s="28" t="s">
        <v>101</v>
      </c>
      <c r="AF196" s="28" t="s">
        <v>119</v>
      </c>
      <c r="AG196" s="30" t="s">
        <v>122</v>
      </c>
    </row>
    <row r="197" customFormat="false" ht="15" hidden="false" customHeight="false" outlineLevel="0" collapsed="false">
      <c r="A197" s="10" t="n">
        <v>2024</v>
      </c>
      <c r="B197" s="28" t="s">
        <v>57</v>
      </c>
      <c r="C197" s="29" t="n">
        <v>45504</v>
      </c>
      <c r="D197" s="30" t="s">
        <v>127</v>
      </c>
      <c r="E197" s="28" t="s">
        <v>497</v>
      </c>
      <c r="F197" s="30" t="s">
        <v>498</v>
      </c>
      <c r="G197" s="31" t="n">
        <v>20370</v>
      </c>
      <c r="H197" s="31" t="n">
        <v>4</v>
      </c>
      <c r="I197" s="31" t="n">
        <v>81481</v>
      </c>
      <c r="J197" s="29" t="n">
        <v>45509</v>
      </c>
      <c r="K197" s="31" t="n">
        <v>24450</v>
      </c>
      <c r="L197" s="30" t="s">
        <v>31</v>
      </c>
      <c r="M197" s="10" t="n">
        <v>3</v>
      </c>
      <c r="N197" s="12" t="n">
        <v>16116</v>
      </c>
      <c r="O197" s="13" t="n">
        <v>0.197783393387939</v>
      </c>
      <c r="P197" s="15" t="n">
        <v>0.224819406637589</v>
      </c>
      <c r="Q197" s="13" t="n">
        <v>-0.0427263154535881</v>
      </c>
      <c r="R197" s="15" t="n">
        <v>0.245410036719706</v>
      </c>
      <c r="S197" s="32" t="n">
        <v>231233977150</v>
      </c>
      <c r="T197" s="15" t="n">
        <v>0.128674431503051</v>
      </c>
      <c r="U197" s="32" t="n">
        <v>15338779876</v>
      </c>
      <c r="V197" s="14" t="n">
        <v>12.8628772237732</v>
      </c>
      <c r="W197" s="13" t="n">
        <v>0.200589970501475</v>
      </c>
      <c r="X197" s="15" t="n">
        <v>0.0343980343980344</v>
      </c>
      <c r="Y197" s="13" t="n">
        <v>0.0118691544414376</v>
      </c>
      <c r="Z197" s="13" t="n">
        <v>0.00434260940802034</v>
      </c>
      <c r="AA197" s="30" t="s">
        <v>96</v>
      </c>
      <c r="AB197" s="28" t="s">
        <v>93</v>
      </c>
      <c r="AC197" s="28" t="s">
        <v>104</v>
      </c>
      <c r="AD197" s="28" t="s">
        <v>110</v>
      </c>
      <c r="AE197" s="28" t="s">
        <v>114</v>
      </c>
      <c r="AF197" s="28" t="s">
        <v>120</v>
      </c>
      <c r="AG197" s="30" t="s">
        <v>122</v>
      </c>
    </row>
    <row r="198" customFormat="false" ht="15" hidden="false" customHeight="false" outlineLevel="0" collapsed="false">
      <c r="A198" s="10" t="n">
        <v>2024</v>
      </c>
      <c r="B198" s="28" t="s">
        <v>58</v>
      </c>
      <c r="C198" s="29" t="n">
        <v>45511</v>
      </c>
      <c r="D198" s="30" t="s">
        <v>127</v>
      </c>
      <c r="E198" s="28" t="s">
        <v>333</v>
      </c>
      <c r="F198" s="30" t="s">
        <v>334</v>
      </c>
      <c r="G198" s="31" t="n">
        <v>12512</v>
      </c>
      <c r="H198" s="31" t="n">
        <v>7</v>
      </c>
      <c r="I198" s="31" t="n">
        <v>87587</v>
      </c>
      <c r="J198" s="29" t="n">
        <v>45516</v>
      </c>
      <c r="K198" s="31" t="n">
        <v>15020</v>
      </c>
      <c r="L198" s="30" t="s">
        <v>31</v>
      </c>
      <c r="M198" s="10" t="n">
        <v>3</v>
      </c>
      <c r="N198" s="12" t="n">
        <v>17334</v>
      </c>
      <c r="O198" s="13" t="n">
        <v>0.197908821178821</v>
      </c>
      <c r="P198" s="15" t="n">
        <v>0.430569430569431</v>
      </c>
      <c r="Q198" s="13" t="n">
        <v>-0.0409590409590408</v>
      </c>
      <c r="R198" s="15" t="n">
        <v>0.0945709281961471</v>
      </c>
      <c r="S198" s="32" t="n">
        <v>39901462500</v>
      </c>
      <c r="T198" s="15" t="n">
        <v>0.0146103896103895</v>
      </c>
      <c r="U198" s="32" t="n">
        <v>3118878348.5</v>
      </c>
      <c r="V198" s="14" t="n">
        <v>12.1656897058675</v>
      </c>
      <c r="W198" s="13" t="n">
        <v>0.0936132983377078</v>
      </c>
      <c r="X198" s="15" t="n">
        <v>0.0760000000000001</v>
      </c>
      <c r="Y198" s="13" t="n">
        <v>0.0183414943599705</v>
      </c>
      <c r="Z198" s="13" t="n">
        <v>-0.0730070848777742</v>
      </c>
      <c r="AA198" s="30" t="s">
        <v>96</v>
      </c>
      <c r="AB198" s="28" t="s">
        <v>94</v>
      </c>
      <c r="AC198" s="28" t="s">
        <v>101</v>
      </c>
      <c r="AD198" s="28" t="s">
        <v>107</v>
      </c>
      <c r="AE198" s="28" t="s">
        <v>112</v>
      </c>
      <c r="AF198" s="28" t="s">
        <v>120</v>
      </c>
      <c r="AG198" s="30" t="s">
        <v>122</v>
      </c>
    </row>
    <row r="199" customFormat="false" ht="15" hidden="false" customHeight="false" outlineLevel="0" collapsed="false">
      <c r="A199" s="10" t="n">
        <v>2024</v>
      </c>
      <c r="B199" s="28" t="s">
        <v>58</v>
      </c>
      <c r="C199" s="29" t="n">
        <v>45513</v>
      </c>
      <c r="D199" s="30" t="s">
        <v>129</v>
      </c>
      <c r="E199" s="28" t="s">
        <v>475</v>
      </c>
      <c r="F199" s="30" t="s">
        <v>476</v>
      </c>
      <c r="G199" s="31" t="n">
        <v>6233</v>
      </c>
      <c r="H199" s="31" t="n">
        <v>15</v>
      </c>
      <c r="I199" s="31" t="n">
        <v>93497</v>
      </c>
      <c r="J199" s="29" t="n">
        <v>45523</v>
      </c>
      <c r="K199" s="31" t="n">
        <v>5934</v>
      </c>
      <c r="L199" s="30" t="s">
        <v>32</v>
      </c>
      <c r="M199" s="10" t="n">
        <v>5</v>
      </c>
      <c r="N199" s="12" t="n">
        <v>-4674</v>
      </c>
      <c r="O199" s="13" t="n">
        <v>-0.0499913492938105</v>
      </c>
      <c r="P199" s="15" t="n">
        <v>0.0690969448334204</v>
      </c>
      <c r="Q199" s="13" t="n">
        <v>-0.0577178579321054</v>
      </c>
      <c r="R199" s="15" t="n">
        <v>0.204516129032258</v>
      </c>
      <c r="S199" s="32" t="n">
        <v>455083882470</v>
      </c>
      <c r="T199" s="15" t="n">
        <v>0.175692695214106</v>
      </c>
      <c r="U199" s="32" t="n">
        <v>21379300299.5</v>
      </c>
      <c r="V199" s="14" t="n">
        <v>16.8375755316317</v>
      </c>
      <c r="W199" s="13" t="n">
        <v>0.140500916310324</v>
      </c>
      <c r="X199" s="15" t="n">
        <v>0.0573111944295661</v>
      </c>
      <c r="Y199" s="13" t="n">
        <v>0.0123986498378788</v>
      </c>
      <c r="Z199" s="13" t="n">
        <v>-0.0327928883973112</v>
      </c>
      <c r="AA199" s="30" t="s">
        <v>96</v>
      </c>
      <c r="AB199" s="28" t="s">
        <v>94</v>
      </c>
      <c r="AC199" s="28" t="s">
        <v>104</v>
      </c>
      <c r="AD199" s="28" t="s">
        <v>110</v>
      </c>
      <c r="AE199" s="28" t="s">
        <v>114</v>
      </c>
      <c r="AF199" s="28" t="s">
        <v>120</v>
      </c>
      <c r="AG199" s="30" t="s">
        <v>122</v>
      </c>
    </row>
    <row r="200" customFormat="false" ht="15" hidden="false" customHeight="false" outlineLevel="0" collapsed="false">
      <c r="A200" s="10" t="n">
        <v>2024</v>
      </c>
      <c r="B200" s="28" t="s">
        <v>58</v>
      </c>
      <c r="C200" s="29" t="n">
        <v>45513</v>
      </c>
      <c r="D200" s="30" t="s">
        <v>129</v>
      </c>
      <c r="E200" s="28" t="s">
        <v>499</v>
      </c>
      <c r="F200" s="30" t="s">
        <v>500</v>
      </c>
      <c r="G200" s="31" t="n">
        <v>7758</v>
      </c>
      <c r="H200" s="31" t="n">
        <v>12</v>
      </c>
      <c r="I200" s="31" t="n">
        <v>93093</v>
      </c>
      <c r="J200" s="29" t="n">
        <v>45517</v>
      </c>
      <c r="K200" s="31" t="n">
        <v>7383</v>
      </c>
      <c r="L200" s="30" t="s">
        <v>32</v>
      </c>
      <c r="M200" s="10" t="n">
        <v>2</v>
      </c>
      <c r="N200" s="12" t="n">
        <v>-4688</v>
      </c>
      <c r="O200" s="13" t="n">
        <v>-0.0503625087170894</v>
      </c>
      <c r="P200" s="15" t="n">
        <v>0.015758435113274</v>
      </c>
      <c r="Q200" s="13" t="n">
        <v>-0.0925203828429634</v>
      </c>
      <c r="R200" s="15" t="n">
        <v>0.156716417910448</v>
      </c>
      <c r="S200" s="32" t="n">
        <v>57649599500</v>
      </c>
      <c r="T200" s="15" t="n">
        <v>0.0472972972972974</v>
      </c>
      <c r="U200" s="32" t="n">
        <v>7942949258.5</v>
      </c>
      <c r="V200" s="14" t="n">
        <v>6.54696093817625</v>
      </c>
      <c r="W200" s="13" t="n">
        <v>0.139705882352941</v>
      </c>
      <c r="X200" s="15" t="n">
        <v>0.0916129032258064</v>
      </c>
      <c r="Y200" s="13" t="n">
        <v>0.0123986498378788</v>
      </c>
      <c r="Z200" s="13" t="n">
        <v>-0.0327928883973112</v>
      </c>
      <c r="AA200" s="30" t="s">
        <v>96</v>
      </c>
      <c r="AB200" s="28" t="s">
        <v>94</v>
      </c>
      <c r="AC200" s="28" t="s">
        <v>103</v>
      </c>
      <c r="AD200" s="28" t="s">
        <v>108</v>
      </c>
      <c r="AE200" s="28" t="s">
        <v>113</v>
      </c>
      <c r="AF200" s="28" t="s">
        <v>119</v>
      </c>
      <c r="AG200" s="30" t="s">
        <v>122</v>
      </c>
    </row>
    <row r="201" customFormat="false" ht="15" hidden="false" customHeight="false" outlineLevel="0" collapsed="false">
      <c r="A201" s="10" t="n">
        <v>2024</v>
      </c>
      <c r="B201" s="28" t="s">
        <v>58</v>
      </c>
      <c r="C201" s="29" t="n">
        <v>45516</v>
      </c>
      <c r="D201" s="30" t="s">
        <v>125</v>
      </c>
      <c r="E201" s="28" t="s">
        <v>249</v>
      </c>
      <c r="F201" s="30" t="s">
        <v>250</v>
      </c>
      <c r="G201" s="31" t="n">
        <v>46246</v>
      </c>
      <c r="H201" s="31" t="n">
        <v>2</v>
      </c>
      <c r="I201" s="31" t="n">
        <v>92492</v>
      </c>
      <c r="J201" s="29" t="n">
        <v>45546</v>
      </c>
      <c r="K201" s="31" t="n">
        <v>44006</v>
      </c>
      <c r="L201" s="30" t="s">
        <v>32</v>
      </c>
      <c r="M201" s="10" t="n">
        <v>21</v>
      </c>
      <c r="N201" s="12" t="n">
        <v>-4666</v>
      </c>
      <c r="O201" s="13" t="n">
        <v>-0.0504473563773889</v>
      </c>
      <c r="P201" s="15" t="n">
        <v>0.163338825676488</v>
      </c>
      <c r="Q201" s="13" t="n">
        <v>-0.0572198364406156</v>
      </c>
      <c r="R201" s="15" t="n">
        <v>0.115942028985507</v>
      </c>
      <c r="S201" s="32" t="n">
        <v>394023491400</v>
      </c>
      <c r="T201" s="15" t="n">
        <v>0.0382022471910113</v>
      </c>
      <c r="U201" s="32" t="n">
        <v>112997722177.5</v>
      </c>
      <c r="V201" s="14" t="n">
        <v>3.17181227018146</v>
      </c>
      <c r="W201" s="13" t="n">
        <v>0.0794392523364487</v>
      </c>
      <c r="X201" s="15" t="n">
        <v>0.0303030303030303</v>
      </c>
      <c r="Y201" s="13" t="n">
        <v>0.0115398137094689</v>
      </c>
      <c r="Z201" s="13" t="n">
        <v>0.0723925375273904</v>
      </c>
      <c r="AA201" s="30" t="s">
        <v>96</v>
      </c>
      <c r="AB201" s="28" t="s">
        <v>93</v>
      </c>
      <c r="AC201" s="28" t="s">
        <v>102</v>
      </c>
      <c r="AD201" s="28" t="s">
        <v>110</v>
      </c>
      <c r="AE201" s="28" t="s">
        <v>113</v>
      </c>
      <c r="AF201" s="28" t="s">
        <v>118</v>
      </c>
      <c r="AG201" s="30" t="s">
        <v>122</v>
      </c>
    </row>
    <row r="202" customFormat="false" ht="15" hidden="false" customHeight="false" outlineLevel="0" collapsed="false">
      <c r="A202" s="10" t="n">
        <v>2024</v>
      </c>
      <c r="B202" s="28" t="s">
        <v>58</v>
      </c>
      <c r="C202" s="29" t="n">
        <v>45517</v>
      </c>
      <c r="D202" s="30" t="s">
        <v>126</v>
      </c>
      <c r="E202" s="28" t="s">
        <v>501</v>
      </c>
      <c r="F202" s="30" t="s">
        <v>502</v>
      </c>
      <c r="G202" s="31" t="n">
        <v>33734</v>
      </c>
      <c r="H202" s="31" t="n">
        <v>2</v>
      </c>
      <c r="I202" s="31" t="n">
        <v>67467</v>
      </c>
      <c r="J202" s="29" t="n">
        <v>45520</v>
      </c>
      <c r="K202" s="31" t="n">
        <v>31618</v>
      </c>
      <c r="L202" s="30" t="s">
        <v>32</v>
      </c>
      <c r="M202" s="10" t="n">
        <v>2</v>
      </c>
      <c r="N202" s="12" t="n">
        <v>-4364</v>
      </c>
      <c r="O202" s="13" t="n">
        <v>-0.0646850430726544</v>
      </c>
      <c r="P202" s="15" t="n">
        <v>0.0197517615915244</v>
      </c>
      <c r="Q202" s="13" t="n">
        <v>-0.0647334860984712</v>
      </c>
      <c r="R202" s="15" t="n">
        <v>0.174216027874564</v>
      </c>
      <c r="S202" s="32" t="n">
        <v>284522932900</v>
      </c>
      <c r="T202" s="15" t="n">
        <v>0.0853462157809983</v>
      </c>
      <c r="U202" s="32" t="n">
        <v>15848863707.5</v>
      </c>
      <c r="V202" s="14" t="n">
        <v>14.9812955987431</v>
      </c>
      <c r="W202" s="13" t="n">
        <v>0.0698412698412698</v>
      </c>
      <c r="X202" s="15" t="n">
        <v>0.0697329376854599</v>
      </c>
      <c r="Y202" s="13" t="n">
        <v>0.00122216705495926</v>
      </c>
      <c r="Z202" s="13" t="n">
        <v>0.0393909957774121</v>
      </c>
      <c r="AA202" s="30" t="s">
        <v>96</v>
      </c>
      <c r="AB202" s="28" t="s">
        <v>93</v>
      </c>
      <c r="AC202" s="28" t="s">
        <v>103</v>
      </c>
      <c r="AD202" s="28" t="s">
        <v>110</v>
      </c>
      <c r="AE202" s="28" t="s">
        <v>101</v>
      </c>
      <c r="AF202" s="28" t="s">
        <v>120</v>
      </c>
      <c r="AG202" s="30" t="s">
        <v>122</v>
      </c>
    </row>
    <row r="203" customFormat="false" ht="15" hidden="false" customHeight="false" outlineLevel="0" collapsed="false">
      <c r="A203" s="10" t="n">
        <v>2024</v>
      </c>
      <c r="B203" s="28" t="s">
        <v>58</v>
      </c>
      <c r="C203" s="29" t="n">
        <v>45517</v>
      </c>
      <c r="D203" s="30" t="s">
        <v>126</v>
      </c>
      <c r="E203" s="28" t="s">
        <v>503</v>
      </c>
      <c r="F203" s="28" t="s">
        <v>504</v>
      </c>
      <c r="G203" s="31" t="n">
        <v>10581</v>
      </c>
      <c r="H203" s="31" t="n">
        <v>9</v>
      </c>
      <c r="I203" s="31" t="n">
        <v>95225</v>
      </c>
      <c r="J203" s="29" t="n">
        <v>45539</v>
      </c>
      <c r="K203" s="31" t="n">
        <v>9990</v>
      </c>
      <c r="L203" s="30" t="s">
        <v>32</v>
      </c>
      <c r="M203" s="10" t="n">
        <v>15</v>
      </c>
      <c r="N203" s="12" t="n">
        <v>-5505</v>
      </c>
      <c r="O203" s="13" t="n">
        <v>-0.057807621470299</v>
      </c>
      <c r="P203" s="15" t="n">
        <v>0.155892357406076</v>
      </c>
      <c r="Q203" s="13" t="n">
        <v>-0.0624323642299044</v>
      </c>
      <c r="R203" s="15" t="n">
        <v>0.158991228070176</v>
      </c>
      <c r="S203" s="32" t="n">
        <v>214843970250</v>
      </c>
      <c r="T203" s="15" t="n">
        <v>0.0709219858156029</v>
      </c>
      <c r="U203" s="32" t="n">
        <v>4267139860</v>
      </c>
      <c r="V203" s="14" t="n">
        <v>43.2184866829207</v>
      </c>
      <c r="W203" s="13" t="n">
        <v>0.152671755725191</v>
      </c>
      <c r="X203" s="15" t="n">
        <v>0.0794701986754967</v>
      </c>
      <c r="Y203" s="13" t="n">
        <v>0.00122216705495926</v>
      </c>
      <c r="Z203" s="13" t="n">
        <v>0.0393909957774121</v>
      </c>
      <c r="AA203" s="30" t="s">
        <v>96</v>
      </c>
      <c r="AB203" s="28" t="s">
        <v>93</v>
      </c>
      <c r="AC203" s="28" t="s">
        <v>103</v>
      </c>
      <c r="AD203" s="28" t="s">
        <v>110</v>
      </c>
      <c r="AE203" s="28" t="s">
        <v>101</v>
      </c>
      <c r="AF203" s="28" t="s">
        <v>120</v>
      </c>
      <c r="AG203" s="30" t="s">
        <v>122</v>
      </c>
    </row>
    <row r="204" customFormat="false" ht="15" hidden="false" customHeight="false" outlineLevel="0" collapsed="false">
      <c r="A204" s="10" t="n">
        <v>2024</v>
      </c>
      <c r="B204" s="28" t="s">
        <v>58</v>
      </c>
      <c r="C204" s="29" t="n">
        <v>45517</v>
      </c>
      <c r="D204" s="30" t="s">
        <v>126</v>
      </c>
      <c r="E204" s="28" t="s">
        <v>505</v>
      </c>
      <c r="F204" s="30" t="s">
        <v>506</v>
      </c>
      <c r="G204" s="31" t="n">
        <v>57858</v>
      </c>
      <c r="H204" s="31" t="n">
        <v>1</v>
      </c>
      <c r="I204" s="31" t="n">
        <v>57858</v>
      </c>
      <c r="J204" s="29" t="n">
        <v>45523</v>
      </c>
      <c r="K204" s="31" t="n">
        <v>55045</v>
      </c>
      <c r="L204" s="30" t="s">
        <v>32</v>
      </c>
      <c r="M204" s="10" t="n">
        <v>3</v>
      </c>
      <c r="N204" s="12" t="n">
        <v>-2929</v>
      </c>
      <c r="O204" s="13" t="n">
        <v>-0.0506226684215439</v>
      </c>
      <c r="P204" s="15" t="n">
        <v>0.0231982550321652</v>
      </c>
      <c r="Q204" s="13" t="n">
        <v>-0.0563070147845234</v>
      </c>
      <c r="R204" s="15" t="n">
        <v>0.0683918669131238</v>
      </c>
      <c r="S204" s="32" t="n">
        <v>134435459400</v>
      </c>
      <c r="T204" s="15" t="n">
        <v>0.0122591943957968</v>
      </c>
      <c r="U204" s="32" t="n">
        <v>27986667430</v>
      </c>
      <c r="V204" s="14" t="n">
        <v>4.45894479425236</v>
      </c>
      <c r="W204" s="13" t="n">
        <v>0.0586080586080586</v>
      </c>
      <c r="X204" s="15" t="n">
        <v>0.0484429065743945</v>
      </c>
      <c r="Y204" s="13" t="n">
        <v>0.00122216705495926</v>
      </c>
      <c r="Z204" s="13" t="n">
        <v>0.0393909957774121</v>
      </c>
      <c r="AA204" s="30" t="s">
        <v>96</v>
      </c>
      <c r="AB204" s="28" t="s">
        <v>93</v>
      </c>
      <c r="AC204" s="28" t="s">
        <v>101</v>
      </c>
      <c r="AD204" s="28" t="s">
        <v>109</v>
      </c>
      <c r="AE204" s="28" t="s">
        <v>112</v>
      </c>
      <c r="AF204" s="28" t="s">
        <v>118</v>
      </c>
      <c r="AG204" s="30" t="s">
        <v>122</v>
      </c>
    </row>
    <row r="205" customFormat="false" ht="15" hidden="false" customHeight="false" outlineLevel="0" collapsed="false">
      <c r="A205" s="10" t="n">
        <v>2024</v>
      </c>
      <c r="B205" s="28" t="s">
        <v>58</v>
      </c>
      <c r="C205" s="29" t="n">
        <v>45517</v>
      </c>
      <c r="D205" s="30" t="s">
        <v>126</v>
      </c>
      <c r="E205" s="28" t="s">
        <v>507</v>
      </c>
      <c r="F205" s="30" t="s">
        <v>508</v>
      </c>
      <c r="G205" s="31" t="n">
        <v>4915</v>
      </c>
      <c r="H205" s="31" t="n">
        <v>20</v>
      </c>
      <c r="I205" s="31" t="n">
        <v>98298</v>
      </c>
      <c r="J205" s="29" t="n">
        <v>45518</v>
      </c>
      <c r="K205" s="31" t="n">
        <v>4650</v>
      </c>
      <c r="L205" s="30" t="s">
        <v>32</v>
      </c>
      <c r="M205" s="10" t="n">
        <v>1</v>
      </c>
      <c r="N205" s="12" t="n">
        <v>-5487</v>
      </c>
      <c r="O205" s="13" t="n">
        <v>-0.055824096321194</v>
      </c>
      <c r="P205" s="15" t="n">
        <v>0.0376588787994083</v>
      </c>
      <c r="Q205" s="13" t="n">
        <v>-0.0640723838279846</v>
      </c>
      <c r="R205" s="15" t="n">
        <v>0.0779363336992316</v>
      </c>
      <c r="S205" s="32" t="n">
        <v>133675206630</v>
      </c>
      <c r="T205" s="15" t="n">
        <v>0.0627705627705628</v>
      </c>
      <c r="U205" s="32" t="n">
        <v>4006951812.75</v>
      </c>
      <c r="V205" s="14" t="n">
        <v>29.6672829667225</v>
      </c>
      <c r="W205" s="13" t="n">
        <v>0.086283185840708</v>
      </c>
      <c r="X205" s="15" t="n">
        <v>0.120162932790224</v>
      </c>
      <c r="Y205" s="13" t="n">
        <v>0.00122216705495926</v>
      </c>
      <c r="Z205" s="13" t="n">
        <v>0.0393909957774121</v>
      </c>
      <c r="AA205" s="30" t="s">
        <v>96</v>
      </c>
      <c r="AB205" s="28" t="s">
        <v>93</v>
      </c>
      <c r="AC205" s="28" t="s">
        <v>101</v>
      </c>
      <c r="AD205" s="28" t="s">
        <v>109</v>
      </c>
      <c r="AE205" s="28" t="s">
        <v>101</v>
      </c>
      <c r="AF205" s="28" t="s">
        <v>120</v>
      </c>
      <c r="AG205" s="30" t="s">
        <v>122</v>
      </c>
    </row>
    <row r="206" customFormat="false" ht="15" hidden="false" customHeight="false" outlineLevel="0" collapsed="false">
      <c r="A206" s="10" t="n">
        <v>2024</v>
      </c>
      <c r="B206" s="28" t="s">
        <v>58</v>
      </c>
      <c r="C206" s="29" t="n">
        <v>45517</v>
      </c>
      <c r="D206" s="30" t="s">
        <v>126</v>
      </c>
      <c r="E206" s="28" t="s">
        <v>469</v>
      </c>
      <c r="F206" s="28" t="s">
        <v>470</v>
      </c>
      <c r="G206" s="31" t="n">
        <v>84785</v>
      </c>
      <c r="H206" s="31" t="n">
        <v>1</v>
      </c>
      <c r="I206" s="31" t="n">
        <v>84785</v>
      </c>
      <c r="J206" s="29" t="n">
        <v>45575</v>
      </c>
      <c r="K206" s="31" t="n">
        <v>80619</v>
      </c>
      <c r="L206" s="30" t="s">
        <v>32</v>
      </c>
      <c r="M206" s="10" t="n">
        <v>35</v>
      </c>
      <c r="N206" s="12" t="n">
        <v>-4335</v>
      </c>
      <c r="O206" s="13" t="n">
        <v>-0.0511333452851752</v>
      </c>
      <c r="P206" s="15" t="n">
        <v>0.151151092119215</v>
      </c>
      <c r="Q206" s="13" t="n">
        <v>-0.0776637766012028</v>
      </c>
      <c r="R206" s="15" t="n">
        <v>0.0254237288135593</v>
      </c>
      <c r="S206" s="32" t="n">
        <v>86867388300</v>
      </c>
      <c r="T206" s="15" t="n">
        <v>0.00474495848161327</v>
      </c>
      <c r="U206" s="32" t="n">
        <v>96441337365</v>
      </c>
      <c r="V206" s="14" t="n">
        <v>0.865045580066052</v>
      </c>
      <c r="W206" s="13" t="n">
        <v>0.0279126213592233</v>
      </c>
      <c r="X206" s="15" t="n">
        <v>0.00708382526564355</v>
      </c>
      <c r="Y206" s="13" t="n">
        <v>0.00122216705495926</v>
      </c>
      <c r="Z206" s="13" t="n">
        <v>0.0393909957774121</v>
      </c>
      <c r="AA206" s="30" t="s">
        <v>96</v>
      </c>
      <c r="AB206" s="28" t="s">
        <v>93</v>
      </c>
      <c r="AC206" s="28" t="s">
        <v>99</v>
      </c>
      <c r="AD206" s="28" t="s">
        <v>108</v>
      </c>
      <c r="AE206" s="28" t="s">
        <v>112</v>
      </c>
      <c r="AF206" s="28" t="s">
        <v>116</v>
      </c>
      <c r="AG206" s="30" t="s">
        <v>122</v>
      </c>
    </row>
    <row r="207" customFormat="false" ht="15" hidden="false" customHeight="false" outlineLevel="0" collapsed="false">
      <c r="A207" s="10" t="n">
        <v>2024</v>
      </c>
      <c r="B207" s="28" t="s">
        <v>58</v>
      </c>
      <c r="C207" s="29" t="n">
        <v>45518</v>
      </c>
      <c r="D207" s="30" t="s">
        <v>127</v>
      </c>
      <c r="E207" s="28" t="s">
        <v>509</v>
      </c>
      <c r="F207" s="28" t="s">
        <v>510</v>
      </c>
      <c r="G207" s="31" t="n">
        <v>3068</v>
      </c>
      <c r="H207" s="31" t="n">
        <v>32</v>
      </c>
      <c r="I207" s="31" t="n">
        <v>98178</v>
      </c>
      <c r="J207" s="29" t="n">
        <v>45527</v>
      </c>
      <c r="K207" s="31" t="n">
        <v>2872</v>
      </c>
      <c r="L207" s="30" t="s">
        <v>32</v>
      </c>
      <c r="M207" s="10" t="n">
        <v>6</v>
      </c>
      <c r="N207" s="12" t="n">
        <v>-6464</v>
      </c>
      <c r="O207" s="13" t="n">
        <v>-0.0658398220050748</v>
      </c>
      <c r="P207" s="15" t="n">
        <v>0.150562325113712</v>
      </c>
      <c r="Q207" s="13" t="n">
        <v>-0.0645569764656223</v>
      </c>
      <c r="R207" s="15" t="n">
        <v>0.137291280148423</v>
      </c>
      <c r="S207" s="32" t="n">
        <v>138041724395</v>
      </c>
      <c r="T207" s="15" t="n">
        <v>0.0425170068027212</v>
      </c>
      <c r="U207" s="32" t="n">
        <v>16433462355.25</v>
      </c>
      <c r="V207" s="14" t="n">
        <v>7.53771246764432</v>
      </c>
      <c r="W207" s="13" t="n">
        <v>0.1309963099631</v>
      </c>
      <c r="X207" s="15" t="n">
        <v>0.0717781402936379</v>
      </c>
      <c r="Y207" s="13" t="n">
        <v>0.00877360289910367</v>
      </c>
      <c r="Z207" s="13" t="n">
        <v>0.0296253324040945</v>
      </c>
      <c r="AA207" s="30" t="s">
        <v>96</v>
      </c>
      <c r="AB207" s="28" t="s">
        <v>93</v>
      </c>
      <c r="AC207" s="28" t="s">
        <v>102</v>
      </c>
      <c r="AD207" s="28" t="s">
        <v>109</v>
      </c>
      <c r="AE207" s="28" t="s">
        <v>113</v>
      </c>
      <c r="AF207" s="28" t="s">
        <v>119</v>
      </c>
      <c r="AG207" s="30" t="s">
        <v>122</v>
      </c>
    </row>
    <row r="208" customFormat="false" ht="15" hidden="false" customHeight="false" outlineLevel="0" collapsed="false">
      <c r="A208" s="10" t="n">
        <v>2024</v>
      </c>
      <c r="B208" s="28" t="s">
        <v>58</v>
      </c>
      <c r="C208" s="29" t="n">
        <v>45520</v>
      </c>
      <c r="D208" s="30" t="s">
        <v>129</v>
      </c>
      <c r="E208" s="28" t="s">
        <v>511</v>
      </c>
      <c r="F208" s="30" t="s">
        <v>512</v>
      </c>
      <c r="G208" s="31" t="n">
        <v>14114</v>
      </c>
      <c r="H208" s="31" t="n">
        <v>7</v>
      </c>
      <c r="I208" s="31" t="n">
        <v>98799</v>
      </c>
      <c r="J208" s="29" t="n">
        <v>45523</v>
      </c>
      <c r="K208" s="31" t="n">
        <v>13437</v>
      </c>
      <c r="L208" s="30" t="s">
        <v>32</v>
      </c>
      <c r="M208" s="10" t="n">
        <v>1</v>
      </c>
      <c r="N208" s="12" t="n">
        <v>-4941</v>
      </c>
      <c r="O208" s="13" t="n">
        <v>-0.0500115761897676</v>
      </c>
      <c r="P208" s="15" t="n">
        <v>0.0648925542542564</v>
      </c>
      <c r="Q208" s="13" t="n">
        <v>-0.0477607498884094</v>
      </c>
      <c r="R208" s="15" t="n">
        <v>0.206159110350727</v>
      </c>
      <c r="S208" s="32" t="n">
        <v>67865118900</v>
      </c>
      <c r="T208" s="15" t="n">
        <v>0.0812883435582823</v>
      </c>
      <c r="U208" s="32" t="n">
        <v>8964385620.5</v>
      </c>
      <c r="V208" s="14" t="n">
        <v>6.57385886919273</v>
      </c>
      <c r="W208" s="13" t="n">
        <v>0.161449752883031</v>
      </c>
      <c r="X208" s="15" t="n">
        <v>0.0326241134751772</v>
      </c>
      <c r="Y208" s="13" t="n">
        <v>0.0199394970693894</v>
      </c>
      <c r="Z208" s="13" t="n">
        <v>0.0549530063792423</v>
      </c>
      <c r="AA208" s="30" t="s">
        <v>97</v>
      </c>
      <c r="AB208" s="28" t="s">
        <v>93</v>
      </c>
      <c r="AC208" s="28" t="s">
        <v>104</v>
      </c>
      <c r="AD208" s="28" t="s">
        <v>108</v>
      </c>
      <c r="AE208" s="28" t="s">
        <v>101</v>
      </c>
      <c r="AF208" s="28" t="s">
        <v>119</v>
      </c>
      <c r="AG208" s="30" t="s">
        <v>122</v>
      </c>
    </row>
    <row r="209" customFormat="false" ht="15" hidden="false" customHeight="false" outlineLevel="0" collapsed="false">
      <c r="A209" s="10" t="n">
        <v>2024</v>
      </c>
      <c r="B209" s="28" t="s">
        <v>58</v>
      </c>
      <c r="C209" s="29" t="n">
        <v>45523</v>
      </c>
      <c r="D209" s="30" t="s">
        <v>125</v>
      </c>
      <c r="E209" s="28" t="s">
        <v>513</v>
      </c>
      <c r="F209" s="30" t="s">
        <v>514</v>
      </c>
      <c r="G209" s="31" t="n">
        <v>17848</v>
      </c>
      <c r="H209" s="31" t="n">
        <v>5</v>
      </c>
      <c r="I209" s="31" t="n">
        <v>89239</v>
      </c>
      <c r="J209" s="29" t="n">
        <v>45524</v>
      </c>
      <c r="K209" s="31" t="n">
        <v>16983</v>
      </c>
      <c r="L209" s="30" t="s">
        <v>32</v>
      </c>
      <c r="M209" s="10" t="n">
        <v>1</v>
      </c>
      <c r="N209" s="12" t="n">
        <v>-4503</v>
      </c>
      <c r="O209" s="13" t="n">
        <v>-0.0504612619293214</v>
      </c>
      <c r="P209" s="15" t="n">
        <v>-0.0150063060887513</v>
      </c>
      <c r="Q209" s="13" t="n">
        <v>-0.0794399095016032</v>
      </c>
      <c r="R209" s="15" t="n">
        <v>0.0938650306748465</v>
      </c>
      <c r="S209" s="32" t="n">
        <v>139287995660</v>
      </c>
      <c r="T209" s="15" t="n">
        <v>0.0740963855421686</v>
      </c>
      <c r="U209" s="32" t="n">
        <v>21427488255</v>
      </c>
      <c r="V209" s="14" t="n">
        <v>5.83413641061795</v>
      </c>
      <c r="W209" s="13" t="n">
        <v>0.0562796208530805</v>
      </c>
      <c r="X209" s="15" t="n">
        <v>0.00336511497476155</v>
      </c>
      <c r="Y209" s="13" t="n">
        <v>-0.00847906926735942</v>
      </c>
      <c r="Z209" s="13" t="n">
        <v>0.0331977298980464</v>
      </c>
      <c r="AA209" s="30" t="s">
        <v>97</v>
      </c>
      <c r="AB209" s="28" t="s">
        <v>93</v>
      </c>
      <c r="AC209" s="28" t="s">
        <v>101</v>
      </c>
      <c r="AD209" s="28" t="s">
        <v>109</v>
      </c>
      <c r="AE209" s="28" t="s">
        <v>101</v>
      </c>
      <c r="AF209" s="28" t="s">
        <v>119</v>
      </c>
      <c r="AG209" s="30" t="s">
        <v>122</v>
      </c>
    </row>
    <row r="210" customFormat="false" ht="15" hidden="false" customHeight="false" outlineLevel="0" collapsed="false">
      <c r="A210" s="10" t="n">
        <v>2024</v>
      </c>
      <c r="B210" s="28" t="s">
        <v>58</v>
      </c>
      <c r="C210" s="29" t="n">
        <v>45523</v>
      </c>
      <c r="D210" s="30" t="s">
        <v>125</v>
      </c>
      <c r="E210" s="28" t="s">
        <v>515</v>
      </c>
      <c r="F210" s="30" t="s">
        <v>516</v>
      </c>
      <c r="G210" s="31" t="n">
        <v>12714</v>
      </c>
      <c r="H210" s="31" t="n">
        <v>7</v>
      </c>
      <c r="I210" s="31" t="n">
        <v>88996</v>
      </c>
      <c r="J210" s="29" t="n">
        <v>45524</v>
      </c>
      <c r="K210" s="31" t="n">
        <v>12098</v>
      </c>
      <c r="L210" s="30" t="s">
        <v>32</v>
      </c>
      <c r="M210" s="10" t="n">
        <v>1</v>
      </c>
      <c r="N210" s="12" t="n">
        <v>-4489</v>
      </c>
      <c r="O210" s="13" t="n">
        <v>-0.050444794099901</v>
      </c>
      <c r="P210" s="15" t="n">
        <v>0.0395808032440235</v>
      </c>
      <c r="Q210" s="13" t="n">
        <v>-0.112409009011668</v>
      </c>
      <c r="R210" s="15" t="n">
        <v>0.242201834862385</v>
      </c>
      <c r="S210" s="32" t="n">
        <v>127594609740</v>
      </c>
      <c r="T210" s="15" t="n">
        <v>0.100813008130081</v>
      </c>
      <c r="U210" s="32" t="n">
        <v>12824512355</v>
      </c>
      <c r="V210" s="14" t="n">
        <v>8.75883118436649</v>
      </c>
      <c r="W210" s="13" t="n">
        <v>0.210008936550492</v>
      </c>
      <c r="X210" s="15" t="n">
        <v>0.0465288035450517</v>
      </c>
      <c r="Y210" s="13" t="n">
        <v>-0.00847906926735942</v>
      </c>
      <c r="Z210" s="13" t="n">
        <v>0.0331977298980464</v>
      </c>
      <c r="AA210" s="30" t="s">
        <v>97</v>
      </c>
      <c r="AB210" s="28" t="s">
        <v>93</v>
      </c>
      <c r="AC210" s="28" t="s">
        <v>104</v>
      </c>
      <c r="AD210" s="28" t="s">
        <v>109</v>
      </c>
      <c r="AE210" s="28" t="s">
        <v>114</v>
      </c>
      <c r="AF210" s="28" t="s">
        <v>119</v>
      </c>
      <c r="AG210" s="30" t="s">
        <v>122</v>
      </c>
    </row>
    <row r="211" customFormat="false" ht="15" hidden="false" customHeight="false" outlineLevel="0" collapsed="false">
      <c r="A211" s="10" t="n">
        <v>2024</v>
      </c>
      <c r="B211" s="28" t="s">
        <v>58</v>
      </c>
      <c r="C211" s="29" t="n">
        <v>45523</v>
      </c>
      <c r="D211" s="30" t="s">
        <v>125</v>
      </c>
      <c r="E211" s="28" t="s">
        <v>449</v>
      </c>
      <c r="F211" s="30" t="s">
        <v>450</v>
      </c>
      <c r="G211" s="31" t="n">
        <v>40290</v>
      </c>
      <c r="H211" s="31" t="n">
        <v>2</v>
      </c>
      <c r="I211" s="31" t="n">
        <v>80580</v>
      </c>
      <c r="J211" s="29" t="n">
        <v>45524</v>
      </c>
      <c r="K211" s="31" t="n">
        <v>48350</v>
      </c>
      <c r="L211" s="30" t="s">
        <v>31</v>
      </c>
      <c r="M211" s="10" t="n">
        <v>1</v>
      </c>
      <c r="N211" s="12" t="n">
        <v>15919</v>
      </c>
      <c r="O211" s="13" t="n">
        <v>0.197552111553043</v>
      </c>
      <c r="P211" s="15" t="n">
        <v>0.298080801186392</v>
      </c>
      <c r="Q211" s="13" t="n">
        <v>0.0163749294184079</v>
      </c>
      <c r="R211" s="15" t="n">
        <v>0.0550458715596329</v>
      </c>
      <c r="S211" s="32" t="n">
        <v>105336544250</v>
      </c>
      <c r="T211" s="15" t="n">
        <v>0.0360360360360361</v>
      </c>
      <c r="U211" s="32" t="n">
        <v>19934657492.5</v>
      </c>
      <c r="V211" s="14" t="n">
        <v>4.64643561169428</v>
      </c>
      <c r="W211" s="13" t="n">
        <v>-0.0584795321637427</v>
      </c>
      <c r="X211" s="15" t="n">
        <v>0.127950310559006</v>
      </c>
      <c r="Y211" s="13" t="n">
        <v>-0.00847906926735942</v>
      </c>
      <c r="Z211" s="13" t="n">
        <v>0.0331977298980464</v>
      </c>
      <c r="AA211" s="30" t="s">
        <v>97</v>
      </c>
      <c r="AB211" s="28" t="s">
        <v>93</v>
      </c>
      <c r="AC211" s="28" t="s">
        <v>101</v>
      </c>
      <c r="AD211" s="28" t="s">
        <v>109</v>
      </c>
      <c r="AE211" s="28" t="s">
        <v>113</v>
      </c>
      <c r="AF211" s="28" t="s">
        <v>118</v>
      </c>
      <c r="AG211" s="30" t="s">
        <v>123</v>
      </c>
    </row>
    <row r="212" customFormat="false" ht="15" hidden="false" customHeight="false" outlineLevel="0" collapsed="false">
      <c r="A212" s="10" t="n">
        <v>2024</v>
      </c>
      <c r="B212" s="28" t="s">
        <v>58</v>
      </c>
      <c r="C212" s="29" t="n">
        <v>45524</v>
      </c>
      <c r="D212" s="30" t="s">
        <v>126</v>
      </c>
      <c r="E212" s="28" t="s">
        <v>409</v>
      </c>
      <c r="F212" s="30" t="s">
        <v>410</v>
      </c>
      <c r="G212" s="31" t="n">
        <v>14349</v>
      </c>
      <c r="H212" s="31" t="n">
        <v>6</v>
      </c>
      <c r="I212" s="31" t="n">
        <v>86094</v>
      </c>
      <c r="J212" s="29" t="n">
        <v>45525</v>
      </c>
      <c r="K212" s="31" t="n">
        <v>13656</v>
      </c>
      <c r="L212" s="30" t="s">
        <v>32</v>
      </c>
      <c r="M212" s="10" t="n">
        <v>1</v>
      </c>
      <c r="N212" s="12" t="n">
        <v>-4329</v>
      </c>
      <c r="O212" s="13" t="n">
        <v>-0.050279393971863</v>
      </c>
      <c r="P212" s="15" t="n">
        <v>0.005974827964357</v>
      </c>
      <c r="Q212" s="13" t="n">
        <v>-0.056789632705863</v>
      </c>
      <c r="R212" s="15" t="n">
        <v>0.2847533632287</v>
      </c>
      <c r="S212" s="32" t="n">
        <v>78783463215</v>
      </c>
      <c r="T212" s="15" t="n">
        <v>0.0324324324324323</v>
      </c>
      <c r="U212" s="32" t="n">
        <v>4782825425.25</v>
      </c>
      <c r="V212" s="14" t="n">
        <v>13.9469403815348</v>
      </c>
      <c r="W212" s="13" t="n">
        <v>0.262114537444934</v>
      </c>
      <c r="X212" s="15" t="n">
        <v>0.00349040139616053</v>
      </c>
      <c r="Y212" s="13" t="n">
        <v>0.0083272259531253</v>
      </c>
      <c r="Z212" s="13" t="n">
        <v>0.0299163579421762</v>
      </c>
      <c r="AA212" s="30" t="s">
        <v>97</v>
      </c>
      <c r="AB212" s="28" t="s">
        <v>93</v>
      </c>
      <c r="AC212" s="28" t="s">
        <v>104</v>
      </c>
      <c r="AD212" s="28" t="s">
        <v>108</v>
      </c>
      <c r="AE212" s="28" t="s">
        <v>113</v>
      </c>
      <c r="AF212" s="28" t="s">
        <v>120</v>
      </c>
      <c r="AG212" s="30" t="s">
        <v>122</v>
      </c>
    </row>
    <row r="213" customFormat="false" ht="15" hidden="false" customHeight="false" outlineLevel="0" collapsed="false">
      <c r="A213" s="10" t="n">
        <v>2024</v>
      </c>
      <c r="B213" s="28" t="s">
        <v>58</v>
      </c>
      <c r="C213" s="29" t="n">
        <v>45524</v>
      </c>
      <c r="D213" s="30" t="s">
        <v>126</v>
      </c>
      <c r="E213" s="28" t="s">
        <v>517</v>
      </c>
      <c r="F213" s="30" t="s">
        <v>518</v>
      </c>
      <c r="G213" s="31" t="n">
        <v>4249</v>
      </c>
      <c r="H213" s="31" t="n">
        <v>23</v>
      </c>
      <c r="I213" s="31" t="n">
        <v>97733</v>
      </c>
      <c r="J213" s="29" t="n">
        <v>45527</v>
      </c>
      <c r="K213" s="31" t="n">
        <v>4041</v>
      </c>
      <c r="L213" s="30" t="s">
        <v>32</v>
      </c>
      <c r="M213" s="10" t="n">
        <v>3</v>
      </c>
      <c r="N213" s="12" t="n">
        <v>-4987</v>
      </c>
      <c r="O213" s="13" t="n">
        <v>-0.0510225343561034</v>
      </c>
      <c r="P213" s="15" t="n">
        <v>0.0507749023650084</v>
      </c>
      <c r="Q213" s="13" t="n">
        <v>-0.0633630209601941</v>
      </c>
      <c r="R213" s="15" t="n">
        <v>0.0733249051833123</v>
      </c>
      <c r="S213" s="32" t="n">
        <v>38406820035</v>
      </c>
      <c r="T213" s="15" t="n">
        <v>0.062578222778473</v>
      </c>
      <c r="U213" s="32" t="n">
        <v>3359307773</v>
      </c>
      <c r="V213" s="14" t="n">
        <v>10.5630317245534</v>
      </c>
      <c r="W213" s="13" t="n">
        <v>0.0391676866585067</v>
      </c>
      <c r="X213" s="15" t="n">
        <v>0.115429917550059</v>
      </c>
      <c r="Y213" s="13" t="n">
        <v>0.0083272259531253</v>
      </c>
      <c r="Z213" s="13" t="n">
        <v>0.0299163579421762</v>
      </c>
      <c r="AA213" s="30" t="s">
        <v>97</v>
      </c>
      <c r="AB213" s="28" t="s">
        <v>93</v>
      </c>
      <c r="AC213" s="28" t="s">
        <v>101</v>
      </c>
      <c r="AD213" s="28" t="s">
        <v>107</v>
      </c>
      <c r="AE213" s="28" t="s">
        <v>101</v>
      </c>
      <c r="AF213" s="28" t="s">
        <v>120</v>
      </c>
      <c r="AG213" s="30" t="s">
        <v>122</v>
      </c>
    </row>
    <row r="214" customFormat="false" ht="15" hidden="false" customHeight="false" outlineLevel="0" collapsed="false">
      <c r="A214" s="10" t="n">
        <v>2024</v>
      </c>
      <c r="B214" s="28" t="s">
        <v>58</v>
      </c>
      <c r="C214" s="29" t="n">
        <v>45524</v>
      </c>
      <c r="D214" s="30" t="s">
        <v>126</v>
      </c>
      <c r="E214" s="28" t="s">
        <v>519</v>
      </c>
      <c r="F214" s="30" t="s">
        <v>520</v>
      </c>
      <c r="G214" s="31" t="n">
        <v>93694</v>
      </c>
      <c r="H214" s="31" t="n">
        <v>1</v>
      </c>
      <c r="I214" s="31" t="n">
        <v>93694</v>
      </c>
      <c r="J214" s="29" t="n">
        <v>45539</v>
      </c>
      <c r="K214" s="31" t="n">
        <v>87912</v>
      </c>
      <c r="L214" s="30" t="s">
        <v>32</v>
      </c>
      <c r="M214" s="10" t="n">
        <v>11</v>
      </c>
      <c r="N214" s="12" t="n">
        <v>-5967</v>
      </c>
      <c r="O214" s="13" t="n">
        <v>-0.0636871935756551</v>
      </c>
      <c r="P214" s="15" t="n">
        <v>0.0192798654337116</v>
      </c>
      <c r="Q214" s="13" t="n">
        <v>-0.0714413791336868</v>
      </c>
      <c r="R214" s="15" t="n">
        <v>0.017391304347826</v>
      </c>
      <c r="S214" s="32" t="n">
        <v>34943500800</v>
      </c>
      <c r="T214" s="15" t="n">
        <v>0.017391304347826</v>
      </c>
      <c r="U214" s="32" t="n">
        <v>17106439705</v>
      </c>
      <c r="V214" s="14" t="n">
        <v>1.94586390294448</v>
      </c>
      <c r="W214" s="13" t="n">
        <v>0.0129870129870129</v>
      </c>
      <c r="X214" s="15" t="n">
        <v>0.00854700854700852</v>
      </c>
      <c r="Y214" s="13" t="n">
        <v>0.0083272259531253</v>
      </c>
      <c r="Z214" s="13" t="n">
        <v>0.0299163579421762</v>
      </c>
      <c r="AA214" s="30" t="s">
        <v>97</v>
      </c>
      <c r="AB214" s="28" t="s">
        <v>93</v>
      </c>
      <c r="AC214" s="28" t="s">
        <v>99</v>
      </c>
      <c r="AD214" s="28" t="s">
        <v>107</v>
      </c>
      <c r="AE214" s="28" t="s">
        <v>112</v>
      </c>
      <c r="AF214" s="28" t="s">
        <v>116</v>
      </c>
      <c r="AG214" s="30" t="s">
        <v>122</v>
      </c>
    </row>
    <row r="215" customFormat="false" ht="15" hidden="false" customHeight="false" outlineLevel="0" collapsed="false">
      <c r="A215" s="10" t="n">
        <v>2024</v>
      </c>
      <c r="B215" s="28" t="s">
        <v>58</v>
      </c>
      <c r="C215" s="29" t="n">
        <v>45524</v>
      </c>
      <c r="D215" s="30" t="s">
        <v>126</v>
      </c>
      <c r="E215" s="28" t="s">
        <v>471</v>
      </c>
      <c r="F215" s="30" t="s">
        <v>472</v>
      </c>
      <c r="G215" s="31" t="n">
        <v>47848</v>
      </c>
      <c r="H215" s="31" t="n">
        <v>2</v>
      </c>
      <c r="I215" s="31" t="n">
        <v>95696</v>
      </c>
      <c r="J215" s="29" t="n">
        <v>45544</v>
      </c>
      <c r="K215" s="31" t="n">
        <v>45504</v>
      </c>
      <c r="L215" s="30" t="s">
        <v>32</v>
      </c>
      <c r="M215" s="10" t="n">
        <v>14</v>
      </c>
      <c r="N215" s="12" t="n">
        <v>-4879</v>
      </c>
      <c r="O215" s="13" t="n">
        <v>-0.0509795820810989</v>
      </c>
      <c r="P215" s="15" t="n">
        <v>0.0219905617395158</v>
      </c>
      <c r="Q215" s="13" t="n">
        <v>-0.0574279277208146</v>
      </c>
      <c r="R215" s="15" t="n">
        <v>0.0482456140350878</v>
      </c>
      <c r="S215" s="32" t="n">
        <v>34703421400</v>
      </c>
      <c r="T215" s="15" t="n">
        <v>0.0470974808324205</v>
      </c>
      <c r="U215" s="32" t="n">
        <v>14560068952.5</v>
      </c>
      <c r="V215" s="14" t="n">
        <v>2.18167694630797</v>
      </c>
      <c r="W215" s="13" t="n">
        <v>0.0425299890948745</v>
      </c>
      <c r="X215" s="15" t="n">
        <v>0</v>
      </c>
      <c r="Y215" s="13" t="n">
        <v>0.0083272259531253</v>
      </c>
      <c r="Z215" s="13" t="n">
        <v>0.0299163579421762</v>
      </c>
      <c r="AA215" s="30" t="s">
        <v>97</v>
      </c>
      <c r="AB215" s="28" t="s">
        <v>93</v>
      </c>
      <c r="AC215" s="28" t="s">
        <v>100</v>
      </c>
      <c r="AD215" s="28" t="s">
        <v>107</v>
      </c>
      <c r="AE215" s="28" t="s">
        <v>113</v>
      </c>
      <c r="AF215" s="28" t="s">
        <v>117</v>
      </c>
      <c r="AG215" s="30" t="s">
        <v>122</v>
      </c>
    </row>
    <row r="216" customFormat="false" ht="15" hidden="false" customHeight="false" outlineLevel="0" collapsed="false">
      <c r="A216" s="10" t="n">
        <v>2024</v>
      </c>
      <c r="B216" s="28" t="s">
        <v>58</v>
      </c>
      <c r="C216" s="29" t="n">
        <v>45525</v>
      </c>
      <c r="D216" s="30" t="s">
        <v>127</v>
      </c>
      <c r="E216" s="28" t="s">
        <v>401</v>
      </c>
      <c r="F216" s="30" t="s">
        <v>402</v>
      </c>
      <c r="G216" s="31" t="n">
        <v>65566</v>
      </c>
      <c r="H216" s="31" t="n">
        <v>1</v>
      </c>
      <c r="I216" s="31" t="n">
        <v>65566</v>
      </c>
      <c r="J216" s="29" t="n">
        <v>45533</v>
      </c>
      <c r="K216" s="31" t="n">
        <v>62338</v>
      </c>
      <c r="L216" s="30" t="s">
        <v>32</v>
      </c>
      <c r="M216" s="10" t="n">
        <v>6</v>
      </c>
      <c r="N216" s="12" t="n">
        <v>-3359</v>
      </c>
      <c r="O216" s="13" t="n">
        <v>-0.0512356825617134</v>
      </c>
      <c r="P216" s="15" t="n">
        <v>0.0569583088667058</v>
      </c>
      <c r="Q216" s="13" t="n">
        <v>-0.0528555414051597</v>
      </c>
      <c r="R216" s="15" t="n">
        <v>0.0155038759689923</v>
      </c>
      <c r="S216" s="32" t="n">
        <v>56077759500</v>
      </c>
      <c r="T216" s="15" t="n">
        <v>0.0123647604327666</v>
      </c>
      <c r="U216" s="32" t="n">
        <v>67015778990</v>
      </c>
      <c r="V216" s="14" t="n">
        <v>0.787358981165577</v>
      </c>
      <c r="W216" s="13" t="n">
        <v>0.00924499229583975</v>
      </c>
      <c r="X216" s="15" t="n">
        <v>0.0198473282442748</v>
      </c>
      <c r="Y216" s="13" t="n">
        <v>0.00166874951328144</v>
      </c>
      <c r="Z216" s="13" t="n">
        <v>0.0303757390806791</v>
      </c>
      <c r="AA216" s="30" t="s">
        <v>97</v>
      </c>
      <c r="AB216" s="28" t="s">
        <v>93</v>
      </c>
      <c r="AC216" s="28" t="s">
        <v>99</v>
      </c>
      <c r="AD216" s="28" t="s">
        <v>108</v>
      </c>
      <c r="AE216" s="28" t="s">
        <v>112</v>
      </c>
      <c r="AF216" s="28" t="s">
        <v>116</v>
      </c>
      <c r="AG216" s="30" t="s">
        <v>122</v>
      </c>
    </row>
    <row r="217" customFormat="false" ht="15" hidden="false" customHeight="false" outlineLevel="0" collapsed="false">
      <c r="A217" s="10" t="n">
        <v>2024</v>
      </c>
      <c r="B217" s="28" t="s">
        <v>58</v>
      </c>
      <c r="C217" s="29" t="n">
        <v>45527</v>
      </c>
      <c r="D217" s="30" t="s">
        <v>129</v>
      </c>
      <c r="E217" s="28" t="s">
        <v>521</v>
      </c>
      <c r="F217" s="30" t="s">
        <v>522</v>
      </c>
      <c r="G217" s="31" t="n">
        <v>7998</v>
      </c>
      <c r="H217" s="31" t="n">
        <v>12</v>
      </c>
      <c r="I217" s="31" t="n">
        <v>95976</v>
      </c>
      <c r="J217" s="29" t="n">
        <v>45532</v>
      </c>
      <c r="K217" s="31" t="n">
        <v>7612</v>
      </c>
      <c r="L217" s="30" t="s">
        <v>32</v>
      </c>
      <c r="M217" s="10" t="n">
        <v>3</v>
      </c>
      <c r="N217" s="12" t="n">
        <v>-4820</v>
      </c>
      <c r="O217" s="13" t="n">
        <v>-0.0502193475485716</v>
      </c>
      <c r="P217" s="15" t="n">
        <v>0.160291523245216</v>
      </c>
      <c r="Q217" s="13" t="n">
        <v>-0.0497612525146942</v>
      </c>
      <c r="R217" s="15" t="n">
        <v>0.190760059612519</v>
      </c>
      <c r="S217" s="32" t="n">
        <v>110736853690</v>
      </c>
      <c r="T217" s="15" t="n">
        <v>0.0296391752577319</v>
      </c>
      <c r="U217" s="32" t="n">
        <v>3177264403</v>
      </c>
      <c r="V217" s="14" t="n">
        <v>30.0801508323222</v>
      </c>
      <c r="W217" s="13" t="n">
        <v>0.217987804878049</v>
      </c>
      <c r="X217" s="15" t="n">
        <v>0.0750938673341677</v>
      </c>
      <c r="Y217" s="13" t="n">
        <v>-0.00220854092263834</v>
      </c>
      <c r="Z217" s="13" t="n">
        <v>0.00165354826989161</v>
      </c>
      <c r="AA217" s="30" t="s">
        <v>97</v>
      </c>
      <c r="AB217" s="28" t="s">
        <v>93</v>
      </c>
      <c r="AC217" s="28" t="s">
        <v>103</v>
      </c>
      <c r="AD217" s="28" t="s">
        <v>109</v>
      </c>
      <c r="AE217" s="28" t="s">
        <v>113</v>
      </c>
      <c r="AF217" s="28" t="s">
        <v>120</v>
      </c>
      <c r="AG217" s="30" t="s">
        <v>122</v>
      </c>
    </row>
    <row r="218" customFormat="false" ht="15" hidden="false" customHeight="false" outlineLevel="0" collapsed="false">
      <c r="A218" s="10" t="n">
        <v>2024</v>
      </c>
      <c r="B218" s="28" t="s">
        <v>58</v>
      </c>
      <c r="C218" s="29" t="n">
        <v>45530</v>
      </c>
      <c r="D218" s="30" t="s">
        <v>125</v>
      </c>
      <c r="E218" s="28" t="s">
        <v>523</v>
      </c>
      <c r="F218" s="30" t="s">
        <v>524</v>
      </c>
      <c r="G218" s="31" t="n">
        <v>17988</v>
      </c>
      <c r="H218" s="31" t="n">
        <v>5</v>
      </c>
      <c r="I218" s="31" t="n">
        <v>89940</v>
      </c>
      <c r="J218" s="29" t="n">
        <v>45533</v>
      </c>
      <c r="K218" s="31" t="n">
        <v>17123</v>
      </c>
      <c r="L218" s="30" t="s">
        <v>32</v>
      </c>
      <c r="M218" s="10" t="n">
        <v>3</v>
      </c>
      <c r="N218" s="12" t="n">
        <v>-4506</v>
      </c>
      <c r="O218" s="13" t="n">
        <v>-0.0501000264343336</v>
      </c>
      <c r="P218" s="15" t="n">
        <v>0.0612648342197593</v>
      </c>
      <c r="Q218" s="13" t="n">
        <v>-0.0560357839155835</v>
      </c>
      <c r="R218" s="15" t="n">
        <v>0.226621160409556</v>
      </c>
      <c r="S218" s="32" t="n">
        <v>173269327680</v>
      </c>
      <c r="T218" s="15" t="n">
        <v>0.11892901618929</v>
      </c>
      <c r="U218" s="32" t="n">
        <v>4217097414.5</v>
      </c>
      <c r="V218" s="14" t="n">
        <v>34.2501280542083</v>
      </c>
      <c r="W218" s="13" t="n">
        <v>0.127352572145546</v>
      </c>
      <c r="X218" s="15" t="n">
        <v>0.0573177518085699</v>
      </c>
      <c r="Y218" s="13" t="n">
        <v>-0.00136211038276035</v>
      </c>
      <c r="Z218" s="13" t="n">
        <v>0.0088432372605034</v>
      </c>
      <c r="AA218" s="30" t="s">
        <v>97</v>
      </c>
      <c r="AB218" s="28" t="s">
        <v>93</v>
      </c>
      <c r="AC218" s="28" t="s">
        <v>104</v>
      </c>
      <c r="AD218" s="28" t="s">
        <v>109</v>
      </c>
      <c r="AE218" s="28" t="s">
        <v>114</v>
      </c>
      <c r="AF218" s="28" t="s">
        <v>120</v>
      </c>
      <c r="AG218" s="30" t="s">
        <v>122</v>
      </c>
    </row>
    <row r="219" customFormat="false" ht="15" hidden="false" customHeight="false" outlineLevel="0" collapsed="false">
      <c r="A219" s="10" t="n">
        <v>2024</v>
      </c>
      <c r="B219" s="28" t="s">
        <v>58</v>
      </c>
      <c r="C219" s="29" t="n">
        <v>45532</v>
      </c>
      <c r="D219" s="30" t="s">
        <v>127</v>
      </c>
      <c r="E219" s="28" t="s">
        <v>525</v>
      </c>
      <c r="F219" s="30" t="s">
        <v>526</v>
      </c>
      <c r="G219" s="31" t="n">
        <v>16967</v>
      </c>
      <c r="H219" s="31" t="n">
        <v>5</v>
      </c>
      <c r="I219" s="31" t="n">
        <v>84835</v>
      </c>
      <c r="J219" s="29" t="n">
        <v>45538</v>
      </c>
      <c r="K219" s="31" t="n">
        <v>20400</v>
      </c>
      <c r="L219" s="30" t="s">
        <v>31</v>
      </c>
      <c r="M219" s="10" t="n">
        <v>4</v>
      </c>
      <c r="N219" s="12" t="n">
        <v>16954</v>
      </c>
      <c r="O219" s="13" t="n">
        <v>0.199842927426556</v>
      </c>
      <c r="P219" s="15" t="n">
        <v>0.258328691957011</v>
      </c>
      <c r="Q219" s="13" t="n">
        <v>-0.039308773822048</v>
      </c>
      <c r="R219" s="15" t="n">
        <v>0.154632152588556</v>
      </c>
      <c r="S219" s="32" t="n">
        <v>69266564850</v>
      </c>
      <c r="T219" s="15" t="n">
        <v>0.0266505148394913</v>
      </c>
      <c r="U219" s="32" t="n">
        <v>5335510353</v>
      </c>
      <c r="V219" s="14" t="n">
        <v>10.7083831375818</v>
      </c>
      <c r="W219" s="13" t="n">
        <v>0.149932157394844</v>
      </c>
      <c r="X219" s="15" t="n">
        <v>0.0566371681415929</v>
      </c>
      <c r="Y219" s="13" t="n">
        <v>0.000215673514920578</v>
      </c>
      <c r="Z219" s="13" t="n">
        <v>-0.00418343434044277</v>
      </c>
      <c r="AA219" s="30" t="s">
        <v>97</v>
      </c>
      <c r="AB219" s="28" t="s">
        <v>94</v>
      </c>
      <c r="AC219" s="28" t="s">
        <v>103</v>
      </c>
      <c r="AD219" s="28" t="s">
        <v>108</v>
      </c>
      <c r="AE219" s="28" t="s">
        <v>113</v>
      </c>
      <c r="AF219" s="28" t="s">
        <v>120</v>
      </c>
      <c r="AG219" s="30" t="s">
        <v>122</v>
      </c>
    </row>
    <row r="220" customFormat="false" ht="15" hidden="false" customHeight="false" outlineLevel="0" collapsed="false">
      <c r="A220" s="10" t="n">
        <v>2024</v>
      </c>
      <c r="B220" s="28" t="s">
        <v>58</v>
      </c>
      <c r="C220" s="29" t="n">
        <v>45533</v>
      </c>
      <c r="D220" s="30" t="s">
        <v>128</v>
      </c>
      <c r="E220" s="28" t="s">
        <v>527</v>
      </c>
      <c r="F220" s="30" t="s">
        <v>528</v>
      </c>
      <c r="G220" s="31" t="n">
        <v>89790</v>
      </c>
      <c r="H220" s="31" t="n">
        <v>1</v>
      </c>
      <c r="I220" s="31" t="n">
        <v>89790</v>
      </c>
      <c r="J220" s="29" t="n">
        <v>45555</v>
      </c>
      <c r="K220" s="31" t="n">
        <v>107800</v>
      </c>
      <c r="L220" s="30" t="s">
        <v>31</v>
      </c>
      <c r="M220" s="10" t="n">
        <v>13</v>
      </c>
      <c r="N220" s="12" t="n">
        <v>17787</v>
      </c>
      <c r="O220" s="13" t="n">
        <v>0.198092003258726</v>
      </c>
      <c r="P220" s="15" t="n">
        <v>0.205037994335653</v>
      </c>
      <c r="Q220" s="13" t="n">
        <v>-0.0299555516946821</v>
      </c>
      <c r="R220" s="15" t="n">
        <v>0.074251497005988</v>
      </c>
      <c r="S220" s="32" t="n">
        <v>153518410500</v>
      </c>
      <c r="T220" s="15" t="n">
        <v>0.0381944444444444</v>
      </c>
      <c r="U220" s="32" t="n">
        <v>46906079865</v>
      </c>
      <c r="V220" s="14" t="n">
        <v>2.98322760801348</v>
      </c>
      <c r="W220" s="13" t="n">
        <v>0.0912408759124088</v>
      </c>
      <c r="X220" s="15" t="n">
        <v>0.0468227424749164</v>
      </c>
      <c r="Y220" s="13" t="n">
        <v>-0.0102422829695557</v>
      </c>
      <c r="Z220" s="13" t="n">
        <v>-0.0167634903810287</v>
      </c>
      <c r="AA220" s="30" t="s">
        <v>97</v>
      </c>
      <c r="AB220" s="28" t="s">
        <v>94</v>
      </c>
      <c r="AC220" s="28" t="s">
        <v>101</v>
      </c>
      <c r="AD220" s="28" t="s">
        <v>109</v>
      </c>
      <c r="AE220" s="28" t="s">
        <v>113</v>
      </c>
      <c r="AF220" s="28" t="s">
        <v>117</v>
      </c>
      <c r="AG220" s="30" t="s">
        <v>122</v>
      </c>
    </row>
    <row r="221" customFormat="false" ht="15" hidden="false" customHeight="false" outlineLevel="0" collapsed="false">
      <c r="A221" s="10" t="n">
        <v>2024</v>
      </c>
      <c r="B221" s="28" t="s">
        <v>58</v>
      </c>
      <c r="C221" s="29" t="n">
        <v>45533</v>
      </c>
      <c r="D221" s="30" t="s">
        <v>128</v>
      </c>
      <c r="E221" s="28" t="s">
        <v>529</v>
      </c>
      <c r="F221" s="30" t="s">
        <v>530</v>
      </c>
      <c r="G221" s="31" t="n">
        <v>6587</v>
      </c>
      <c r="H221" s="31" t="n">
        <v>15</v>
      </c>
      <c r="I221" s="31" t="n">
        <v>98799</v>
      </c>
      <c r="J221" s="29" t="n">
        <v>45539</v>
      </c>
      <c r="K221" s="31" t="n">
        <v>7910</v>
      </c>
      <c r="L221" s="30" t="s">
        <v>31</v>
      </c>
      <c r="M221" s="10" t="n">
        <v>4</v>
      </c>
      <c r="N221" s="12" t="n">
        <v>19605</v>
      </c>
      <c r="O221" s="13" t="n">
        <v>0.198434925712585</v>
      </c>
      <c r="P221" s="15" t="n">
        <v>0.205481448642543</v>
      </c>
      <c r="Q221" s="13" t="n">
        <v>-0.0116266712011391</v>
      </c>
      <c r="R221" s="15" t="n">
        <v>0.0313479623824451</v>
      </c>
      <c r="S221" s="32" t="n">
        <v>92327520040</v>
      </c>
      <c r="T221" s="15" t="n">
        <v>0.00920245398773001</v>
      </c>
      <c r="U221" s="32" t="n">
        <v>5578933285.5</v>
      </c>
      <c r="V221" s="14" t="n">
        <v>15.1236133648987</v>
      </c>
      <c r="W221" s="13" t="n">
        <v>-0.0745428973277075</v>
      </c>
      <c r="X221" s="15" t="n">
        <v>0.164133738601824</v>
      </c>
      <c r="Y221" s="13" t="n">
        <v>-0.0102422829695557</v>
      </c>
      <c r="Z221" s="13" t="n">
        <v>-0.0167634903810287</v>
      </c>
      <c r="AA221" s="30" t="s">
        <v>97</v>
      </c>
      <c r="AB221" s="28" t="s">
        <v>94</v>
      </c>
      <c r="AC221" s="28" t="s">
        <v>100</v>
      </c>
      <c r="AD221" s="28" t="s">
        <v>108</v>
      </c>
      <c r="AE221" s="28" t="s">
        <v>112</v>
      </c>
      <c r="AF221" s="28" t="s">
        <v>120</v>
      </c>
      <c r="AG221" s="30" t="s">
        <v>123</v>
      </c>
    </row>
    <row r="222" customFormat="false" ht="15" hidden="false" customHeight="false" outlineLevel="0" collapsed="false">
      <c r="A222" s="10" t="n">
        <v>2024</v>
      </c>
      <c r="B222" s="28" t="s">
        <v>59</v>
      </c>
      <c r="C222" s="29" t="n">
        <v>45538</v>
      </c>
      <c r="D222" s="30" t="s">
        <v>126</v>
      </c>
      <c r="E222" s="28" t="s">
        <v>531</v>
      </c>
      <c r="F222" s="30" t="s">
        <v>532</v>
      </c>
      <c r="G222" s="31" t="n">
        <v>9610</v>
      </c>
      <c r="H222" s="31" t="n">
        <v>10</v>
      </c>
      <c r="I222" s="31" t="n">
        <v>96096</v>
      </c>
      <c r="J222" s="29" t="n">
        <v>45539</v>
      </c>
      <c r="K222" s="31" t="n">
        <v>9141</v>
      </c>
      <c r="L222" s="30" t="s">
        <v>32</v>
      </c>
      <c r="M222" s="10" t="n">
        <v>1</v>
      </c>
      <c r="N222" s="12" t="n">
        <v>-4880</v>
      </c>
      <c r="O222" s="13" t="n">
        <v>-0.0507842259303196</v>
      </c>
      <c r="P222" s="15" t="n">
        <v>0.0406260406260408</v>
      </c>
      <c r="Q222" s="13" t="n">
        <v>-0.105061605061605</v>
      </c>
      <c r="R222" s="15" t="n">
        <v>0.26984126984127</v>
      </c>
      <c r="S222" s="32" t="n">
        <v>214972156800</v>
      </c>
      <c r="T222" s="15" t="n">
        <v>0.235521235521236</v>
      </c>
      <c r="U222" s="32" t="n">
        <v>15097057744.5</v>
      </c>
      <c r="V222" s="14" t="n">
        <v>10.6438207024429</v>
      </c>
      <c r="W222" s="13" t="n">
        <v>0.133412042502952</v>
      </c>
      <c r="X222" s="15" t="n">
        <v>0.0197916666666667</v>
      </c>
      <c r="Y222" s="13" t="n">
        <v>-0.00610593062290188</v>
      </c>
      <c r="Z222" s="13" t="n">
        <v>-0.00915496885748812</v>
      </c>
      <c r="AA222" s="30" t="s">
        <v>97</v>
      </c>
      <c r="AB222" s="28" t="s">
        <v>94</v>
      </c>
      <c r="AC222" s="28" t="s">
        <v>104</v>
      </c>
      <c r="AD222" s="28" t="s">
        <v>110</v>
      </c>
      <c r="AE222" s="28" t="s">
        <v>114</v>
      </c>
      <c r="AF222" s="28" t="s">
        <v>120</v>
      </c>
      <c r="AG222" s="30" t="s">
        <v>122</v>
      </c>
    </row>
    <row r="223" customFormat="false" ht="15" hidden="false" customHeight="false" outlineLevel="0" collapsed="false">
      <c r="A223" s="10" t="n">
        <v>2024</v>
      </c>
      <c r="B223" s="28" t="s">
        <v>59</v>
      </c>
      <c r="C223" s="29" t="n">
        <v>45539</v>
      </c>
      <c r="D223" s="30" t="s">
        <v>127</v>
      </c>
      <c r="E223" s="28" t="s">
        <v>533</v>
      </c>
      <c r="F223" s="30" t="s">
        <v>534</v>
      </c>
      <c r="G223" s="31" t="n">
        <v>15746</v>
      </c>
      <c r="H223" s="31" t="n">
        <v>6</v>
      </c>
      <c r="I223" s="31" t="n">
        <v>94474</v>
      </c>
      <c r="J223" s="29" t="n">
        <v>45540</v>
      </c>
      <c r="K223" s="31" t="n">
        <v>14955</v>
      </c>
      <c r="L223" s="30" t="s">
        <v>32</v>
      </c>
      <c r="M223" s="10" t="n">
        <v>1</v>
      </c>
      <c r="N223" s="12" t="n">
        <v>-4933</v>
      </c>
      <c r="O223" s="13" t="n">
        <v>-0.0522188661941999</v>
      </c>
      <c r="P223" s="15" t="n">
        <v>-0.00544465070847766</v>
      </c>
      <c r="Q223" s="13" t="n">
        <v>-0.108964779657723</v>
      </c>
      <c r="R223" s="15" t="n">
        <v>0.180930930930931</v>
      </c>
      <c r="S223" s="32" t="n">
        <v>367094439140</v>
      </c>
      <c r="T223" s="15" t="n">
        <v>0.0976971388695045</v>
      </c>
      <c r="U223" s="32" t="n">
        <v>11022078676</v>
      </c>
      <c r="V223" s="14" t="n">
        <v>28.7498927448192</v>
      </c>
      <c r="W223" s="13" t="n">
        <v>0.222222222222222</v>
      </c>
      <c r="X223" s="15" t="n">
        <v>0.0476795931341385</v>
      </c>
      <c r="Y223" s="13" t="n">
        <v>-0.0314602777871599</v>
      </c>
      <c r="Z223" s="13" t="n">
        <v>-0.0405341601513849</v>
      </c>
      <c r="AA223" s="30" t="s">
        <v>96</v>
      </c>
      <c r="AB223" s="28" t="s">
        <v>94</v>
      </c>
      <c r="AC223" s="28" t="s">
        <v>103</v>
      </c>
      <c r="AD223" s="28" t="s">
        <v>110</v>
      </c>
      <c r="AE223" s="28" t="s">
        <v>101</v>
      </c>
      <c r="AF223" s="28" t="s">
        <v>120</v>
      </c>
      <c r="AG223" s="30" t="s">
        <v>122</v>
      </c>
    </row>
    <row r="224" customFormat="false" ht="15" hidden="false" customHeight="false" outlineLevel="0" collapsed="false">
      <c r="A224" s="10" t="n">
        <v>2024</v>
      </c>
      <c r="B224" s="28" t="s">
        <v>59</v>
      </c>
      <c r="C224" s="29" t="n">
        <v>45539</v>
      </c>
      <c r="D224" s="30" t="s">
        <v>127</v>
      </c>
      <c r="E224" s="28" t="s">
        <v>535</v>
      </c>
      <c r="F224" s="30" t="s">
        <v>536</v>
      </c>
      <c r="G224" s="31" t="n">
        <v>3173</v>
      </c>
      <c r="H224" s="31" t="n">
        <v>31</v>
      </c>
      <c r="I224" s="31" t="n">
        <v>98368</v>
      </c>
      <c r="J224" s="29" t="n">
        <v>45546</v>
      </c>
      <c r="K224" s="31" t="n">
        <v>3017</v>
      </c>
      <c r="L224" s="30" t="s">
        <v>32</v>
      </c>
      <c r="M224" s="10" t="n">
        <v>5</v>
      </c>
      <c r="N224" s="12" t="n">
        <v>-5039</v>
      </c>
      <c r="O224" s="13" t="n">
        <v>-0.0512260882650471</v>
      </c>
      <c r="P224" s="15" t="n">
        <v>0.142390732296095</v>
      </c>
      <c r="Q224" s="13" t="n">
        <v>-0.0766331460337768</v>
      </c>
      <c r="R224" s="15" t="n">
        <v>0.167587476979742</v>
      </c>
      <c r="S224" s="32" t="n">
        <v>103975724210</v>
      </c>
      <c r="T224" s="15" t="n">
        <v>0.112280701754386</v>
      </c>
      <c r="U224" s="32" t="n">
        <v>3679788219.25</v>
      </c>
      <c r="V224" s="14" t="n">
        <v>24.6251425850214</v>
      </c>
      <c r="W224" s="13" t="n">
        <v>0.138240574506284</v>
      </c>
      <c r="X224" s="15" t="n">
        <v>0.00788643533123024</v>
      </c>
      <c r="Y224" s="13" t="n">
        <v>-0.0314602777871599</v>
      </c>
      <c r="Z224" s="13" t="n">
        <v>-0.0405341601513849</v>
      </c>
      <c r="AA224" s="30" t="s">
        <v>96</v>
      </c>
      <c r="AB224" s="28" t="s">
        <v>94</v>
      </c>
      <c r="AC224" s="28" t="s">
        <v>103</v>
      </c>
      <c r="AD224" s="28" t="s">
        <v>109</v>
      </c>
      <c r="AE224" s="28" t="s">
        <v>114</v>
      </c>
      <c r="AF224" s="28" t="s">
        <v>120</v>
      </c>
      <c r="AG224" s="30" t="s">
        <v>122</v>
      </c>
    </row>
    <row r="225" customFormat="false" ht="15" hidden="false" customHeight="false" outlineLevel="0" collapsed="false">
      <c r="A225" s="10" t="n">
        <v>2024</v>
      </c>
      <c r="B225" s="28" t="s">
        <v>59</v>
      </c>
      <c r="C225" s="29" t="n">
        <v>45541</v>
      </c>
      <c r="D225" s="30" t="s">
        <v>129</v>
      </c>
      <c r="E225" s="28" t="s">
        <v>537</v>
      </c>
      <c r="F225" s="30" t="s">
        <v>538</v>
      </c>
      <c r="G225" s="31" t="n">
        <v>14454</v>
      </c>
      <c r="H225" s="31" t="n">
        <v>6</v>
      </c>
      <c r="I225" s="31" t="n">
        <v>86727</v>
      </c>
      <c r="J225" s="29" t="n">
        <v>45545</v>
      </c>
      <c r="K225" s="31" t="n">
        <v>13756</v>
      </c>
      <c r="L225" s="30" t="s">
        <v>32</v>
      </c>
      <c r="M225" s="10" t="n">
        <v>2</v>
      </c>
      <c r="N225" s="12" t="n">
        <v>-4363</v>
      </c>
      <c r="O225" s="13" t="n">
        <v>-0.0503099957175787</v>
      </c>
      <c r="P225" s="15" t="n">
        <v>0.0647247489352754</v>
      </c>
      <c r="Q225" s="13" t="n">
        <v>-0.0473515404263326</v>
      </c>
      <c r="R225" s="15" t="n">
        <v>0.0555555555555556</v>
      </c>
      <c r="S225" s="32" t="n">
        <v>40975680440</v>
      </c>
      <c r="T225" s="15" t="n">
        <v>0.0147575544624035</v>
      </c>
      <c r="U225" s="32" t="n">
        <v>10097269964</v>
      </c>
      <c r="V225" s="14" t="n">
        <v>3.87493984774721</v>
      </c>
      <c r="W225" s="13" t="n">
        <v>0.0752047654504839</v>
      </c>
      <c r="X225" s="15" t="n">
        <v>0.0180055401662049</v>
      </c>
      <c r="Y225" s="13" t="n">
        <v>-0.0121219180741603</v>
      </c>
      <c r="Z225" s="13" t="n">
        <v>-0.0486218875149103</v>
      </c>
      <c r="AA225" s="30" t="s">
        <v>96</v>
      </c>
      <c r="AB225" s="28" t="s">
        <v>94</v>
      </c>
      <c r="AC225" s="28" t="s">
        <v>101</v>
      </c>
      <c r="AD225" s="28" t="s">
        <v>107</v>
      </c>
      <c r="AE225" s="28" t="s">
        <v>112</v>
      </c>
      <c r="AF225" s="28" t="s">
        <v>118</v>
      </c>
      <c r="AG225" s="30" t="s">
        <v>122</v>
      </c>
    </row>
    <row r="226" customFormat="false" ht="15" hidden="false" customHeight="false" outlineLevel="0" collapsed="false">
      <c r="A226" s="10" t="n">
        <v>2024</v>
      </c>
      <c r="B226" s="28" t="s">
        <v>59</v>
      </c>
      <c r="C226" s="29" t="n">
        <v>45546</v>
      </c>
      <c r="D226" s="30" t="s">
        <v>127</v>
      </c>
      <c r="E226" s="28" t="s">
        <v>539</v>
      </c>
      <c r="F226" s="30" t="s">
        <v>540</v>
      </c>
      <c r="G226" s="31" t="n">
        <v>18919</v>
      </c>
      <c r="H226" s="31" t="n">
        <v>5</v>
      </c>
      <c r="I226" s="31" t="n">
        <v>94594</v>
      </c>
      <c r="J226" s="29" t="n">
        <v>45555</v>
      </c>
      <c r="K226" s="31" t="n">
        <v>18002</v>
      </c>
      <c r="L226" s="30" t="s">
        <v>32</v>
      </c>
      <c r="M226" s="10" t="n">
        <v>4</v>
      </c>
      <c r="N226" s="12" t="n">
        <v>-4774</v>
      </c>
      <c r="O226" s="13" t="n">
        <v>-0.0504713115455972</v>
      </c>
      <c r="P226" s="15" t="n">
        <v>0.0835725121439408</v>
      </c>
      <c r="Q226" s="13" t="n">
        <v>-0.0527990527990527</v>
      </c>
      <c r="R226" s="15" t="n">
        <v>0.187932118164676</v>
      </c>
      <c r="S226" s="32" t="n">
        <v>190593251100</v>
      </c>
      <c r="T226" s="15" t="n">
        <v>0.0617977528089888</v>
      </c>
      <c r="U226" s="32" t="n">
        <v>6298980699.5</v>
      </c>
      <c r="V226" s="14" t="n">
        <v>26.4032572128319</v>
      </c>
      <c r="W226" s="13" t="n">
        <v>0.165228113440197</v>
      </c>
      <c r="X226" s="15" t="n">
        <v>0.0820105820105821</v>
      </c>
      <c r="Y226" s="13" t="n">
        <v>-0.00398663723582582</v>
      </c>
      <c r="Z226" s="13" t="n">
        <v>-0.0261275573465594</v>
      </c>
      <c r="AA226" s="30" t="s">
        <v>96</v>
      </c>
      <c r="AB226" s="28" t="s">
        <v>94</v>
      </c>
      <c r="AC226" s="28" t="s">
        <v>103</v>
      </c>
      <c r="AD226" s="28" t="s">
        <v>109</v>
      </c>
      <c r="AE226" s="28" t="s">
        <v>101</v>
      </c>
      <c r="AF226" s="28" t="s">
        <v>120</v>
      </c>
      <c r="AG226" s="30" t="s">
        <v>122</v>
      </c>
    </row>
    <row r="227" customFormat="false" ht="15" hidden="false" customHeight="false" outlineLevel="0" collapsed="false">
      <c r="A227" s="10" t="n">
        <v>2024</v>
      </c>
      <c r="B227" s="28" t="s">
        <v>59</v>
      </c>
      <c r="C227" s="29" t="n">
        <v>45546</v>
      </c>
      <c r="D227" s="30" t="s">
        <v>127</v>
      </c>
      <c r="E227" s="28" t="s">
        <v>541</v>
      </c>
      <c r="F227" s="30" t="s">
        <v>542</v>
      </c>
      <c r="G227" s="31" t="n">
        <v>8888</v>
      </c>
      <c r="H227" s="31" t="n">
        <v>11</v>
      </c>
      <c r="I227" s="31" t="n">
        <v>97764</v>
      </c>
      <c r="J227" s="29" t="n">
        <v>45548</v>
      </c>
      <c r="K227" s="31" t="n">
        <v>8452</v>
      </c>
      <c r="L227" s="30" t="s">
        <v>32</v>
      </c>
      <c r="M227" s="10" t="n">
        <v>2</v>
      </c>
      <c r="N227" s="12" t="n">
        <v>-4993</v>
      </c>
      <c r="O227" s="13" t="n">
        <v>-0.0510749634908155</v>
      </c>
      <c r="P227" s="15" t="n">
        <v>0.0451520310675242</v>
      </c>
      <c r="Q227" s="13" t="n">
        <v>-0.0516525727793332</v>
      </c>
      <c r="R227" s="15" t="n">
        <v>0.21160409556314</v>
      </c>
      <c r="S227" s="32" t="n">
        <v>105805957250</v>
      </c>
      <c r="T227" s="15" t="n">
        <v>0.062874251497006</v>
      </c>
      <c r="U227" s="32" t="n">
        <v>4104459086.5</v>
      </c>
      <c r="V227" s="14" t="n">
        <v>21.7724204759917</v>
      </c>
      <c r="W227" s="13" t="n">
        <v>0.137820512820513</v>
      </c>
      <c r="X227" s="15" t="n">
        <v>0.0726760563380282</v>
      </c>
      <c r="Y227" s="13" t="n">
        <v>-0.00398663723582582</v>
      </c>
      <c r="Z227" s="13" t="n">
        <v>-0.0261275573465594</v>
      </c>
      <c r="AA227" s="30" t="s">
        <v>96</v>
      </c>
      <c r="AB227" s="28" t="s">
        <v>94</v>
      </c>
      <c r="AC227" s="28" t="s">
        <v>104</v>
      </c>
      <c r="AD227" s="28" t="s">
        <v>109</v>
      </c>
      <c r="AE227" s="28" t="s">
        <v>101</v>
      </c>
      <c r="AF227" s="28" t="s">
        <v>120</v>
      </c>
      <c r="AG227" s="30" t="s">
        <v>122</v>
      </c>
    </row>
    <row r="228" customFormat="false" ht="15" hidden="false" customHeight="false" outlineLevel="0" collapsed="false">
      <c r="A228" s="10" t="n">
        <v>2024</v>
      </c>
      <c r="B228" s="28" t="s">
        <v>59</v>
      </c>
      <c r="C228" s="29" t="n">
        <v>45547</v>
      </c>
      <c r="D228" s="30" t="s">
        <v>128</v>
      </c>
      <c r="E228" s="28" t="s">
        <v>229</v>
      </c>
      <c r="F228" s="30" t="s">
        <v>230</v>
      </c>
      <c r="G228" s="31" t="n">
        <v>35235</v>
      </c>
      <c r="H228" s="31" t="n">
        <v>2</v>
      </c>
      <c r="I228" s="31" t="n">
        <v>70470</v>
      </c>
      <c r="J228" s="29" t="n">
        <v>45560</v>
      </c>
      <c r="K228" s="31" t="n">
        <v>33516</v>
      </c>
      <c r="L228" s="30" t="s">
        <v>32</v>
      </c>
      <c r="M228" s="10" t="n">
        <v>6</v>
      </c>
      <c r="N228" s="12" t="n">
        <v>-3579</v>
      </c>
      <c r="O228" s="13" t="n">
        <v>-0.0507842259303197</v>
      </c>
      <c r="P228" s="15" t="n">
        <v>0.112523839796567</v>
      </c>
      <c r="Q228" s="13" t="n">
        <v>-0.0478271728271728</v>
      </c>
      <c r="R228" s="15" t="n">
        <v>0.0476190476190477</v>
      </c>
      <c r="S228" s="32" t="n">
        <v>34252240000</v>
      </c>
      <c r="T228" s="15" t="n">
        <v>0.036818851251841</v>
      </c>
      <c r="U228" s="32" t="n">
        <v>28479142440</v>
      </c>
      <c r="V228" s="14" t="n">
        <v>1.06705636260628</v>
      </c>
      <c r="W228" s="13" t="n">
        <v>0.0507462686567164</v>
      </c>
      <c r="X228" s="15" t="n">
        <v>0.00852272727272729</v>
      </c>
      <c r="Y228" s="13" t="n">
        <v>0.0233630543851484</v>
      </c>
      <c r="Z228" s="13" t="n">
        <v>-0.00132401475441657</v>
      </c>
      <c r="AA228" s="30" t="s">
        <v>96</v>
      </c>
      <c r="AB228" s="28" t="s">
        <v>94</v>
      </c>
      <c r="AC228" s="28" t="s">
        <v>100</v>
      </c>
      <c r="AD228" s="28" t="s">
        <v>107</v>
      </c>
      <c r="AE228" s="28" t="s">
        <v>113</v>
      </c>
      <c r="AF228" s="28" t="s">
        <v>116</v>
      </c>
      <c r="AG228" s="30" t="s">
        <v>122</v>
      </c>
    </row>
    <row r="229" customFormat="false" ht="15" hidden="false" customHeight="false" outlineLevel="0" collapsed="false">
      <c r="A229" s="10" t="n">
        <v>2024</v>
      </c>
      <c r="B229" s="28" t="s">
        <v>59</v>
      </c>
      <c r="C229" s="29" t="n">
        <v>45548</v>
      </c>
      <c r="D229" s="30" t="s">
        <v>129</v>
      </c>
      <c r="E229" s="28" t="s">
        <v>543</v>
      </c>
      <c r="F229" s="30" t="s">
        <v>544</v>
      </c>
      <c r="G229" s="31" t="n">
        <v>22172</v>
      </c>
      <c r="H229" s="31" t="n">
        <v>4</v>
      </c>
      <c r="I229" s="31" t="n">
        <v>88689</v>
      </c>
      <c r="J229" s="29" t="n">
        <v>45554</v>
      </c>
      <c r="K229" s="31" t="n">
        <v>21079</v>
      </c>
      <c r="L229" s="30" t="s">
        <v>32</v>
      </c>
      <c r="M229" s="10" t="n">
        <v>1</v>
      </c>
      <c r="N229" s="12" t="n">
        <v>-4551</v>
      </c>
      <c r="O229" s="13" t="n">
        <v>-0.0513112024544305</v>
      </c>
      <c r="P229" s="15" t="n">
        <v>0.00802132404841216</v>
      </c>
      <c r="Q229" s="13" t="n">
        <v>-0.0483557074979196</v>
      </c>
      <c r="R229" s="15" t="n">
        <v>0.0448113207547169</v>
      </c>
      <c r="S229" s="32" t="n">
        <v>37995423350</v>
      </c>
      <c r="T229" s="15" t="n">
        <v>0.025462962962963</v>
      </c>
      <c r="U229" s="32" t="n">
        <v>13977334933</v>
      </c>
      <c r="V229" s="14" t="n">
        <v>2.46283074157613</v>
      </c>
      <c r="W229" s="13" t="n">
        <v>0.0302325581395349</v>
      </c>
      <c r="X229" s="15" t="n">
        <v>0.0564334085778782</v>
      </c>
      <c r="Y229" s="13" t="n">
        <v>0.00129077909404396</v>
      </c>
      <c r="Z229" s="13" t="n">
        <v>0.0122352885688681</v>
      </c>
      <c r="AA229" s="30" t="s">
        <v>96</v>
      </c>
      <c r="AB229" s="28" t="s">
        <v>93</v>
      </c>
      <c r="AC229" s="28" t="s">
        <v>100</v>
      </c>
      <c r="AD229" s="28" t="s">
        <v>107</v>
      </c>
      <c r="AE229" s="28" t="s">
        <v>113</v>
      </c>
      <c r="AF229" s="28" t="s">
        <v>117</v>
      </c>
      <c r="AG229" s="30" t="s">
        <v>122</v>
      </c>
    </row>
    <row r="230" customFormat="false" ht="15" hidden="false" customHeight="false" outlineLevel="0" collapsed="false">
      <c r="A230" s="10" t="n">
        <v>2024</v>
      </c>
      <c r="B230" s="28" t="s">
        <v>59</v>
      </c>
      <c r="C230" s="29" t="n">
        <v>45548</v>
      </c>
      <c r="D230" s="30" t="s">
        <v>129</v>
      </c>
      <c r="E230" s="28" t="s">
        <v>337</v>
      </c>
      <c r="F230" s="30" t="s">
        <v>338</v>
      </c>
      <c r="G230" s="31" t="n">
        <v>6947</v>
      </c>
      <c r="H230" s="31" t="n">
        <v>14</v>
      </c>
      <c r="I230" s="31" t="n">
        <v>97257</v>
      </c>
      <c r="J230" s="29" t="n">
        <v>45573</v>
      </c>
      <c r="K230" s="31" t="n">
        <v>6613</v>
      </c>
      <c r="L230" s="30" t="s">
        <v>32</v>
      </c>
      <c r="M230" s="10" t="n">
        <v>12</v>
      </c>
      <c r="N230" s="12" t="n">
        <v>-4865</v>
      </c>
      <c r="O230" s="13" t="n">
        <v>-0.0500217551900549</v>
      </c>
      <c r="P230" s="15" t="n">
        <v>0.047943411055803</v>
      </c>
      <c r="Q230" s="13" t="n">
        <v>-0.0672152055437357</v>
      </c>
      <c r="R230" s="15" t="n">
        <v>0.0911949685534592</v>
      </c>
      <c r="S230" s="32" t="n">
        <v>27108618540</v>
      </c>
      <c r="T230" s="15" t="n">
        <v>0.04047976011994</v>
      </c>
      <c r="U230" s="32" t="n">
        <v>5549984713</v>
      </c>
      <c r="V230" s="14" t="n">
        <v>4.37316164647287</v>
      </c>
      <c r="W230" s="13" t="n">
        <v>0.0860719874804381</v>
      </c>
      <c r="X230" s="15" t="n">
        <v>0.0273775216138328</v>
      </c>
      <c r="Y230" s="13" t="n">
        <v>0.00129077909404396</v>
      </c>
      <c r="Z230" s="13" t="n">
        <v>0.0122352885688681</v>
      </c>
      <c r="AA230" s="30" t="s">
        <v>96</v>
      </c>
      <c r="AB230" s="28" t="s">
        <v>93</v>
      </c>
      <c r="AC230" s="28" t="s">
        <v>101</v>
      </c>
      <c r="AD230" s="28" t="s">
        <v>106</v>
      </c>
      <c r="AE230" s="28" t="s">
        <v>113</v>
      </c>
      <c r="AF230" s="28" t="s">
        <v>118</v>
      </c>
      <c r="AG230" s="30" t="s">
        <v>122</v>
      </c>
    </row>
    <row r="231" customFormat="false" ht="15" hidden="false" customHeight="false" outlineLevel="0" collapsed="false">
      <c r="A231" s="10" t="n">
        <v>2024</v>
      </c>
      <c r="B231" s="28" t="s">
        <v>59</v>
      </c>
      <c r="C231" s="29" t="n">
        <v>45554</v>
      </c>
      <c r="D231" s="30" t="s">
        <v>128</v>
      </c>
      <c r="E231" s="28" t="s">
        <v>477</v>
      </c>
      <c r="F231" s="30" t="s">
        <v>478</v>
      </c>
      <c r="G231" s="31" t="n">
        <v>18729</v>
      </c>
      <c r="H231" s="31" t="n">
        <v>5</v>
      </c>
      <c r="I231" s="31" t="n">
        <v>93644</v>
      </c>
      <c r="J231" s="29" t="n">
        <v>45559</v>
      </c>
      <c r="K231" s="31" t="n">
        <v>17822</v>
      </c>
      <c r="L231" s="30" t="s">
        <v>32</v>
      </c>
      <c r="M231" s="10" t="n">
        <v>3</v>
      </c>
      <c r="N231" s="12" t="n">
        <v>-4721</v>
      </c>
      <c r="O231" s="13" t="n">
        <v>-0.0504099064217449</v>
      </c>
      <c r="P231" s="15" t="n">
        <v>0.0032725158326441</v>
      </c>
      <c r="Q231" s="13" t="n">
        <v>-0.0517232633747866</v>
      </c>
      <c r="R231" s="15" t="n">
        <v>0.0302863436123348</v>
      </c>
      <c r="S231" s="32" t="n">
        <v>88316887840</v>
      </c>
      <c r="T231" s="15" t="n">
        <v>0.0124458874458875</v>
      </c>
      <c r="U231" s="32" t="n">
        <v>57477587708</v>
      </c>
      <c r="V231" s="14" t="n">
        <v>1.45532524786763</v>
      </c>
      <c r="W231" s="13" t="n">
        <v>0.0113513513513515</v>
      </c>
      <c r="X231" s="15" t="n">
        <v>0.00213789417423849</v>
      </c>
      <c r="Y231" s="13" t="n">
        <v>0.00209287064972186</v>
      </c>
      <c r="Z231" s="13" t="n">
        <v>0.0176937060565554</v>
      </c>
      <c r="AA231" s="30" t="s">
        <v>96</v>
      </c>
      <c r="AB231" s="28" t="s">
        <v>93</v>
      </c>
      <c r="AC231" s="28" t="s">
        <v>100</v>
      </c>
      <c r="AD231" s="28" t="s">
        <v>108</v>
      </c>
      <c r="AE231" s="28" t="s">
        <v>112</v>
      </c>
      <c r="AF231" s="28" t="s">
        <v>116</v>
      </c>
      <c r="AG231" s="30" t="s">
        <v>122</v>
      </c>
    </row>
    <row r="232" customFormat="false" ht="15" hidden="false" customHeight="false" outlineLevel="0" collapsed="false">
      <c r="A232" s="10" t="n">
        <v>2024</v>
      </c>
      <c r="B232" s="28" t="s">
        <v>59</v>
      </c>
      <c r="C232" s="29" t="n">
        <v>45554</v>
      </c>
      <c r="D232" s="30" t="s">
        <v>128</v>
      </c>
      <c r="E232" s="28" t="s">
        <v>545</v>
      </c>
      <c r="F232" s="30" t="s">
        <v>546</v>
      </c>
      <c r="G232" s="31" t="n">
        <v>45495</v>
      </c>
      <c r="H232" s="31" t="n">
        <v>2</v>
      </c>
      <c r="I232" s="31" t="n">
        <v>90991</v>
      </c>
      <c r="J232" s="29" t="n">
        <v>45565</v>
      </c>
      <c r="K232" s="31" t="n">
        <v>43307</v>
      </c>
      <c r="L232" s="30" t="s">
        <v>32</v>
      </c>
      <c r="M232" s="10" t="n">
        <v>7</v>
      </c>
      <c r="N232" s="12" t="n">
        <v>-4560</v>
      </c>
      <c r="O232" s="13" t="n">
        <v>-0.0501164904402529</v>
      </c>
      <c r="P232" s="15" t="n">
        <v>0.0484564940010486</v>
      </c>
      <c r="Q232" s="13" t="n">
        <v>-0.0559495509990559</v>
      </c>
      <c r="R232" s="15" t="n">
        <v>0.0282805429864252</v>
      </c>
      <c r="S232" s="32" t="n">
        <v>79241484150</v>
      </c>
      <c r="T232" s="15" t="n">
        <v>0.00110132158590304</v>
      </c>
      <c r="U232" s="32" t="n">
        <v>82453167432.5</v>
      </c>
      <c r="V232" s="14" t="n">
        <v>0.881607854362859</v>
      </c>
      <c r="W232" s="13" t="n">
        <v>0.0179171332586787</v>
      </c>
      <c r="X232" s="15" t="n">
        <v>0.00990099009900991</v>
      </c>
      <c r="Y232" s="13" t="n">
        <v>0.00209287064972186</v>
      </c>
      <c r="Z232" s="13" t="n">
        <v>0.0176937060565554</v>
      </c>
      <c r="AA232" s="30" t="s">
        <v>96</v>
      </c>
      <c r="AB232" s="28" t="s">
        <v>93</v>
      </c>
      <c r="AC232" s="28" t="s">
        <v>99</v>
      </c>
      <c r="AD232" s="28" t="s">
        <v>108</v>
      </c>
      <c r="AE232" s="28" t="s">
        <v>112</v>
      </c>
      <c r="AF232" s="28" t="s">
        <v>116</v>
      </c>
      <c r="AG232" s="30" t="s">
        <v>122</v>
      </c>
    </row>
    <row r="233" customFormat="false" ht="15" hidden="false" customHeight="false" outlineLevel="0" collapsed="false">
      <c r="A233" s="10" t="n">
        <v>2024</v>
      </c>
      <c r="B233" s="28" t="s">
        <v>59</v>
      </c>
      <c r="C233" s="29" t="n">
        <v>45554</v>
      </c>
      <c r="D233" s="30" t="s">
        <v>128</v>
      </c>
      <c r="E233" s="28" t="s">
        <v>355</v>
      </c>
      <c r="F233" s="30" t="s">
        <v>356</v>
      </c>
      <c r="G233" s="31" t="n">
        <v>69069</v>
      </c>
      <c r="H233" s="31" t="n">
        <v>1</v>
      </c>
      <c r="I233" s="31" t="n">
        <v>69069</v>
      </c>
      <c r="J233" s="29" t="n">
        <v>45567</v>
      </c>
      <c r="K233" s="31" t="n">
        <v>65734</v>
      </c>
      <c r="L233" s="30" t="s">
        <v>32</v>
      </c>
      <c r="M233" s="10" t="n">
        <v>8</v>
      </c>
      <c r="N233" s="12" t="n">
        <v>-3473</v>
      </c>
      <c r="O233" s="13" t="n">
        <v>-0.0502880024323501</v>
      </c>
      <c r="P233" s="15" t="n">
        <v>0.0641532380662817</v>
      </c>
      <c r="Q233" s="13" t="n">
        <v>-0.0487773096468747</v>
      </c>
      <c r="R233" s="15" t="n">
        <v>0.0518292682926829</v>
      </c>
      <c r="S233" s="32" t="n">
        <v>58896606000</v>
      </c>
      <c r="T233" s="15" t="n">
        <v>0.0518292682926829</v>
      </c>
      <c r="U233" s="32" t="n">
        <v>35524874580</v>
      </c>
      <c r="V233" s="14" t="n">
        <v>1.50912672895835</v>
      </c>
      <c r="W233" s="13" t="n">
        <v>0.0298507462686568</v>
      </c>
      <c r="X233" s="15" t="n">
        <v>0.00724637681159424</v>
      </c>
      <c r="Y233" s="13" t="n">
        <v>0.00209287064972186</v>
      </c>
      <c r="Z233" s="13" t="n">
        <v>0.0176937060565554</v>
      </c>
      <c r="AA233" s="30" t="s">
        <v>96</v>
      </c>
      <c r="AB233" s="28" t="s">
        <v>93</v>
      </c>
      <c r="AC233" s="28" t="s">
        <v>101</v>
      </c>
      <c r="AD233" s="28" t="s">
        <v>108</v>
      </c>
      <c r="AE233" s="28" t="s">
        <v>101</v>
      </c>
      <c r="AF233" s="28" t="s">
        <v>116</v>
      </c>
      <c r="AG233" s="30" t="s">
        <v>122</v>
      </c>
    </row>
    <row r="234" customFormat="false" ht="15" hidden="false" customHeight="false" outlineLevel="0" collapsed="false">
      <c r="A234" s="10" t="n">
        <v>2024</v>
      </c>
      <c r="B234" s="28" t="s">
        <v>59</v>
      </c>
      <c r="C234" s="29" t="n">
        <v>45555</v>
      </c>
      <c r="D234" s="30" t="s">
        <v>129</v>
      </c>
      <c r="E234" s="28" t="s">
        <v>225</v>
      </c>
      <c r="F234" s="30" t="s">
        <v>226</v>
      </c>
      <c r="G234" s="31" t="n">
        <v>56156</v>
      </c>
      <c r="H234" s="31" t="n">
        <v>1</v>
      </c>
      <c r="I234" s="31" t="n">
        <v>56156</v>
      </c>
      <c r="J234" s="29" t="n">
        <v>45562</v>
      </c>
      <c r="K234" s="31" t="n">
        <v>53446</v>
      </c>
      <c r="L234" s="30" t="s">
        <v>32</v>
      </c>
      <c r="M234" s="10" t="n">
        <v>5</v>
      </c>
      <c r="N234" s="12" t="n">
        <v>-2822</v>
      </c>
      <c r="O234" s="13" t="n">
        <v>-0.0502571241592631</v>
      </c>
      <c r="P234" s="15" t="n">
        <v>0.0132470025518154</v>
      </c>
      <c r="Q234" s="13" t="n">
        <v>-0.0472985125391541</v>
      </c>
      <c r="R234" s="15" t="n">
        <v>0.0408163265306123</v>
      </c>
      <c r="S234" s="32" t="n">
        <v>187118857200</v>
      </c>
      <c r="T234" s="15" t="n">
        <v>0.0274725274725274</v>
      </c>
      <c r="U234" s="32" t="n">
        <v>84863891585</v>
      </c>
      <c r="V234" s="14" t="n">
        <v>2.05403656477871</v>
      </c>
      <c r="W234" s="13" t="n">
        <v>0.03125</v>
      </c>
      <c r="X234" s="15" t="n">
        <v>0.017825311942959</v>
      </c>
      <c r="Y234" s="13" t="n">
        <v>0.00487058276503394</v>
      </c>
      <c r="Z234" s="13" t="n">
        <v>0.0277162433671629</v>
      </c>
      <c r="AA234" s="30" t="s">
        <v>96</v>
      </c>
      <c r="AB234" s="28" t="s">
        <v>93</v>
      </c>
      <c r="AC234" s="28" t="s">
        <v>100</v>
      </c>
      <c r="AD234" s="28" t="s">
        <v>109</v>
      </c>
      <c r="AE234" s="28" t="s">
        <v>113</v>
      </c>
      <c r="AF234" s="28" t="s">
        <v>117</v>
      </c>
      <c r="AG234" s="30" t="s">
        <v>122</v>
      </c>
    </row>
    <row r="235" customFormat="false" ht="15" hidden="false" customHeight="false" outlineLevel="0" collapsed="false">
      <c r="A235" s="10" t="n">
        <v>2024</v>
      </c>
      <c r="B235" s="28" t="s">
        <v>59</v>
      </c>
      <c r="C235" s="29" t="n">
        <v>45555</v>
      </c>
      <c r="D235" s="30" t="s">
        <v>129</v>
      </c>
      <c r="E235" s="28" t="s">
        <v>547</v>
      </c>
      <c r="F235" s="30" t="s">
        <v>548</v>
      </c>
      <c r="G235" s="31" t="n">
        <v>16567</v>
      </c>
      <c r="H235" s="31" t="n">
        <v>6</v>
      </c>
      <c r="I235" s="31" t="n">
        <v>99399</v>
      </c>
      <c r="J235" s="29" t="n">
        <v>45567</v>
      </c>
      <c r="K235" s="31" t="n">
        <v>19880</v>
      </c>
      <c r="L235" s="30" t="s">
        <v>31</v>
      </c>
      <c r="M235" s="10" t="n">
        <v>7</v>
      </c>
      <c r="N235" s="12" t="n">
        <v>19633</v>
      </c>
      <c r="O235" s="13" t="n">
        <v>0.197518434284749</v>
      </c>
      <c r="P235" s="15" t="n">
        <v>0.202422954688816</v>
      </c>
      <c r="Q235" s="13" t="n">
        <v>0.00443363283242437</v>
      </c>
      <c r="R235" s="15" t="n">
        <v>0.091688654353562</v>
      </c>
      <c r="S235" s="32" t="n">
        <v>91369504800</v>
      </c>
      <c r="T235" s="15" t="n">
        <v>0.0209747069710056</v>
      </c>
      <c r="U235" s="32" t="n">
        <v>28163383953.5</v>
      </c>
      <c r="V235" s="14" t="n">
        <v>2.98681871510686</v>
      </c>
      <c r="W235" s="13" t="n">
        <v>0.0643086816720258</v>
      </c>
      <c r="X235" s="15" t="n">
        <v>0.0211480362537764</v>
      </c>
      <c r="Y235" s="13" t="n">
        <v>0.00487058276503394</v>
      </c>
      <c r="Z235" s="13" t="n">
        <v>0.0277162433671629</v>
      </c>
      <c r="AA235" s="30" t="s">
        <v>96</v>
      </c>
      <c r="AB235" s="28" t="s">
        <v>93</v>
      </c>
      <c r="AC235" s="28" t="s">
        <v>101</v>
      </c>
      <c r="AD235" s="28" t="s">
        <v>108</v>
      </c>
      <c r="AE235" s="28" t="s">
        <v>113</v>
      </c>
      <c r="AF235" s="28" t="s">
        <v>117</v>
      </c>
      <c r="AG235" s="30" t="s">
        <v>122</v>
      </c>
    </row>
    <row r="236" customFormat="false" ht="15" hidden="false" customHeight="false" outlineLevel="0" collapsed="false">
      <c r="A236" s="10" t="n">
        <v>2024</v>
      </c>
      <c r="B236" s="28" t="s">
        <v>59</v>
      </c>
      <c r="C236" s="29" t="n">
        <v>45559</v>
      </c>
      <c r="D236" s="30" t="s">
        <v>126</v>
      </c>
      <c r="E236" s="28" t="s">
        <v>549</v>
      </c>
      <c r="F236" s="30" t="s">
        <v>550</v>
      </c>
      <c r="G236" s="31" t="n">
        <v>90290</v>
      </c>
      <c r="H236" s="31" t="n">
        <v>1</v>
      </c>
      <c r="I236" s="31" t="n">
        <v>90290</v>
      </c>
      <c r="J236" s="29" t="n">
        <v>45579</v>
      </c>
      <c r="K236" s="31" t="n">
        <v>85015</v>
      </c>
      <c r="L236" s="30" t="s">
        <v>32</v>
      </c>
      <c r="M236" s="10" t="n">
        <v>11</v>
      </c>
      <c r="N236" s="12" t="n">
        <v>-5455</v>
      </c>
      <c r="O236" s="13" t="n">
        <v>-0.0604121220796944</v>
      </c>
      <c r="P236" s="15" t="n">
        <v>0.0444101353192263</v>
      </c>
      <c r="Q236" s="13" t="n">
        <v>-0.0696664754314421</v>
      </c>
      <c r="R236" s="15" t="n">
        <v>0.0893719806763285</v>
      </c>
      <c r="S236" s="32" t="n">
        <v>279195699200</v>
      </c>
      <c r="T236" s="15" t="n">
        <v>0.00110987791342954</v>
      </c>
      <c r="U236" s="32" t="n">
        <v>74131000130</v>
      </c>
      <c r="V236" s="14" t="n">
        <v>3.42129135152623</v>
      </c>
      <c r="W236" s="13" t="n">
        <v>0.0674556213017752</v>
      </c>
      <c r="X236" s="15" t="n">
        <v>0.0266075388026608</v>
      </c>
      <c r="Y236" s="13" t="n">
        <v>0.0114027232793108</v>
      </c>
      <c r="Z236" s="13" t="n">
        <v>0.0231679295825573</v>
      </c>
      <c r="AA236" s="30" t="s">
        <v>97</v>
      </c>
      <c r="AB236" s="28" t="s">
        <v>93</v>
      </c>
      <c r="AC236" s="28" t="s">
        <v>101</v>
      </c>
      <c r="AD236" s="28" t="s">
        <v>110</v>
      </c>
      <c r="AE236" s="28" t="s">
        <v>112</v>
      </c>
      <c r="AF236" s="28" t="s">
        <v>118</v>
      </c>
      <c r="AG236" s="30" t="s">
        <v>122</v>
      </c>
    </row>
    <row r="237" customFormat="false" ht="15" hidden="false" customHeight="false" outlineLevel="0" collapsed="false">
      <c r="A237" s="10" t="n">
        <v>2024</v>
      </c>
      <c r="B237" s="28" t="s">
        <v>59</v>
      </c>
      <c r="C237" s="29" t="n">
        <v>45560</v>
      </c>
      <c r="D237" s="30" t="s">
        <v>127</v>
      </c>
      <c r="E237" s="28" t="s">
        <v>551</v>
      </c>
      <c r="F237" s="30" t="s">
        <v>552</v>
      </c>
      <c r="G237" s="31" t="n">
        <v>13844</v>
      </c>
      <c r="H237" s="31" t="n">
        <v>7</v>
      </c>
      <c r="I237" s="31" t="n">
        <v>96907</v>
      </c>
      <c r="J237" s="29" t="n">
        <v>45565</v>
      </c>
      <c r="K237" s="31" t="n">
        <v>13177</v>
      </c>
      <c r="L237" s="30" t="s">
        <v>32</v>
      </c>
      <c r="M237" s="10" t="n">
        <v>3</v>
      </c>
      <c r="N237" s="12" t="n">
        <v>-4864</v>
      </c>
      <c r="O237" s="13" t="n">
        <v>-0.0501877987522238</v>
      </c>
      <c r="P237" s="15" t="n">
        <v>0.0141702115671749</v>
      </c>
      <c r="Q237" s="13" t="n">
        <v>-0.0638428816303002</v>
      </c>
      <c r="R237" s="15" t="n">
        <v>0.238137869292749</v>
      </c>
      <c r="S237" s="32" t="n">
        <v>91216304370</v>
      </c>
      <c r="T237" s="15" t="n">
        <v>0.172033898305085</v>
      </c>
      <c r="U237" s="32" t="n">
        <v>3808369919.5</v>
      </c>
      <c r="V237" s="14" t="n">
        <v>19.6324989384583</v>
      </c>
      <c r="W237" s="13" t="n">
        <v>0.215289982425308</v>
      </c>
      <c r="X237" s="15" t="n">
        <v>0.0498915401301519</v>
      </c>
      <c r="Y237" s="13" t="n">
        <v>-0.0134362840466925</v>
      </c>
      <c r="Z237" s="13" t="n">
        <v>0.00811909560031232</v>
      </c>
      <c r="AA237" s="30" t="s">
        <v>96</v>
      </c>
      <c r="AB237" s="28" t="s">
        <v>93</v>
      </c>
      <c r="AC237" s="28" t="s">
        <v>104</v>
      </c>
      <c r="AD237" s="28" t="s">
        <v>108</v>
      </c>
      <c r="AE237" s="28" t="s">
        <v>114</v>
      </c>
      <c r="AF237" s="28" t="s">
        <v>120</v>
      </c>
      <c r="AG237" s="30" t="s">
        <v>122</v>
      </c>
    </row>
    <row r="238" customFormat="false" ht="15" hidden="false" customHeight="false" outlineLevel="0" collapsed="false">
      <c r="A238" s="10" t="n">
        <v>2024</v>
      </c>
      <c r="B238" s="28" t="s">
        <v>59</v>
      </c>
      <c r="C238" s="29" t="n">
        <v>45562</v>
      </c>
      <c r="D238" s="30" t="s">
        <v>129</v>
      </c>
      <c r="E238" s="28" t="s">
        <v>553</v>
      </c>
      <c r="F238" s="28" t="s">
        <v>554</v>
      </c>
      <c r="G238" s="31" t="n">
        <v>2948</v>
      </c>
      <c r="H238" s="31" t="n">
        <v>33</v>
      </c>
      <c r="I238" s="31" t="n">
        <v>97282</v>
      </c>
      <c r="J238" s="29" t="n">
        <v>45565</v>
      </c>
      <c r="K238" s="31" t="n">
        <v>3540</v>
      </c>
      <c r="L238" s="30" t="s">
        <v>31</v>
      </c>
      <c r="M238" s="10" t="n">
        <v>1</v>
      </c>
      <c r="N238" s="12" t="n">
        <v>19295</v>
      </c>
      <c r="O238" s="13" t="n">
        <v>0.198344883724086</v>
      </c>
      <c r="P238" s="15" t="n">
        <v>0.221189676198165</v>
      </c>
      <c r="Q238" s="13" t="n">
        <v>0.05836438603841</v>
      </c>
      <c r="R238" s="15" t="n">
        <v>0.0847145488029466</v>
      </c>
      <c r="S238" s="32" t="n">
        <v>52703964435</v>
      </c>
      <c r="T238" s="15" t="n">
        <v>0.0499108734402851</v>
      </c>
      <c r="U238" s="32" t="n">
        <v>3708579148</v>
      </c>
      <c r="V238" s="14" t="n">
        <v>13.3618869919318</v>
      </c>
      <c r="W238" s="13" t="n">
        <v>0.0650994575045207</v>
      </c>
      <c r="X238" s="15" t="n">
        <v>0.096774193548387</v>
      </c>
      <c r="Y238" s="13" t="n">
        <v>-0.00815625269036557</v>
      </c>
      <c r="Z238" s="13" t="n">
        <v>0.0217516204783739</v>
      </c>
      <c r="AA238" s="30" t="s">
        <v>97</v>
      </c>
      <c r="AB238" s="28" t="s">
        <v>93</v>
      </c>
      <c r="AC238" s="28" t="s">
        <v>101</v>
      </c>
      <c r="AD238" s="28" t="s">
        <v>108</v>
      </c>
      <c r="AE238" s="28" t="s">
        <v>113</v>
      </c>
      <c r="AF238" s="28" t="s">
        <v>120</v>
      </c>
      <c r="AG238" s="30" t="s">
        <v>122</v>
      </c>
    </row>
    <row r="239" customFormat="false" ht="15" hidden="false" customHeight="false" outlineLevel="0" collapsed="false">
      <c r="A239" s="10" t="n">
        <v>2024</v>
      </c>
      <c r="B239" s="28" t="s">
        <v>59</v>
      </c>
      <c r="C239" s="29" t="n">
        <v>45565</v>
      </c>
      <c r="D239" s="30" t="s">
        <v>125</v>
      </c>
      <c r="E239" s="28" t="s">
        <v>555</v>
      </c>
      <c r="F239" s="30" t="s">
        <v>556</v>
      </c>
      <c r="G239" s="31" t="n">
        <v>16642</v>
      </c>
      <c r="H239" s="31" t="n">
        <v>5</v>
      </c>
      <c r="I239" s="31" t="n">
        <v>83208</v>
      </c>
      <c r="J239" s="29" t="n">
        <v>45576</v>
      </c>
      <c r="K239" s="31" t="n">
        <v>15834</v>
      </c>
      <c r="L239" s="30" t="s">
        <v>32</v>
      </c>
      <c r="M239" s="10" t="n">
        <v>6</v>
      </c>
      <c r="N239" s="12" t="n">
        <v>-4204</v>
      </c>
      <c r="O239" s="13" t="n">
        <v>-0.0505267866719746</v>
      </c>
      <c r="P239" s="15" t="n">
        <v>0.0515799989484203</v>
      </c>
      <c r="Q239" s="13" t="n">
        <v>-0.076111858066745</v>
      </c>
      <c r="R239" s="15" t="n">
        <v>0.160558464223386</v>
      </c>
      <c r="S239" s="32" t="n">
        <v>182187516350</v>
      </c>
      <c r="T239" s="15" t="n">
        <v>0.0555555555555556</v>
      </c>
      <c r="U239" s="32" t="n">
        <v>17767864222.5</v>
      </c>
      <c r="V239" s="14" t="n">
        <v>9.19532727426891</v>
      </c>
      <c r="W239" s="13" t="n">
        <v>0.158536585365854</v>
      </c>
      <c r="X239" s="15" t="n">
        <v>0.0511278195488722</v>
      </c>
      <c r="Y239" s="13" t="n">
        <v>-0.0213262987870692</v>
      </c>
      <c r="Z239" s="13" t="n">
        <v>-0.00335894174119245</v>
      </c>
      <c r="AA239" s="30" t="s">
        <v>96</v>
      </c>
      <c r="AB239" s="28" t="s">
        <v>94</v>
      </c>
      <c r="AC239" s="28" t="s">
        <v>103</v>
      </c>
      <c r="AD239" s="28" t="s">
        <v>109</v>
      </c>
      <c r="AE239" s="28" t="s">
        <v>101</v>
      </c>
      <c r="AF239" s="28" t="s">
        <v>119</v>
      </c>
      <c r="AG239" s="30" t="s">
        <v>122</v>
      </c>
    </row>
    <row r="240" customFormat="false" ht="15" hidden="false" customHeight="false" outlineLevel="0" collapsed="false">
      <c r="A240" s="10" t="n">
        <v>2024</v>
      </c>
      <c r="B240" s="28" t="s">
        <v>59</v>
      </c>
      <c r="C240" s="29" t="n">
        <v>45565</v>
      </c>
      <c r="D240" s="30" t="s">
        <v>125</v>
      </c>
      <c r="E240" s="28" t="s">
        <v>557</v>
      </c>
      <c r="F240" s="30" t="s">
        <v>558</v>
      </c>
      <c r="G240" s="31" t="n">
        <v>12452</v>
      </c>
      <c r="H240" s="31" t="n">
        <v>7</v>
      </c>
      <c r="I240" s="31" t="n">
        <v>87167</v>
      </c>
      <c r="J240" s="29" t="n">
        <v>45572</v>
      </c>
      <c r="K240" s="31" t="n">
        <v>11848</v>
      </c>
      <c r="L240" s="30" t="s">
        <v>32</v>
      </c>
      <c r="M240" s="10" t="n">
        <v>3</v>
      </c>
      <c r="N240" s="12" t="n">
        <v>-4405</v>
      </c>
      <c r="O240" s="13" t="n">
        <v>-0.0505340109247665</v>
      </c>
      <c r="P240" s="15" t="n">
        <v>0.0744882127518785</v>
      </c>
      <c r="Q240" s="13" t="n">
        <v>-0.0604251054411825</v>
      </c>
      <c r="R240" s="15" t="n">
        <v>0.161531279178338</v>
      </c>
      <c r="S240" s="32" t="n">
        <v>105158143880</v>
      </c>
      <c r="T240" s="15" t="n">
        <v>0.098939929328622</v>
      </c>
      <c r="U240" s="32" t="n">
        <v>8516517879</v>
      </c>
      <c r="V240" s="14" t="n">
        <v>10.3789160309552</v>
      </c>
      <c r="W240" s="13" t="n">
        <v>0.161531279178338</v>
      </c>
      <c r="X240" s="15" t="n">
        <v>0.0265273311897105</v>
      </c>
      <c r="Y240" s="13" t="n">
        <v>-0.0213262987870692</v>
      </c>
      <c r="Z240" s="13" t="n">
        <v>-0.00335894174119245</v>
      </c>
      <c r="AA240" s="30" t="s">
        <v>96</v>
      </c>
      <c r="AB240" s="28" t="s">
        <v>94</v>
      </c>
      <c r="AC240" s="28" t="s">
        <v>103</v>
      </c>
      <c r="AD240" s="28" t="s">
        <v>109</v>
      </c>
      <c r="AE240" s="28" t="s">
        <v>101</v>
      </c>
      <c r="AF240" s="28" t="s">
        <v>120</v>
      </c>
      <c r="AG240" s="30" t="s">
        <v>122</v>
      </c>
    </row>
    <row r="241" customFormat="false" ht="15" hidden="false" customHeight="false" outlineLevel="0" collapsed="false">
      <c r="A241" s="10" t="n">
        <v>2024</v>
      </c>
      <c r="B241" s="28" t="s">
        <v>59</v>
      </c>
      <c r="C241" s="29" t="n">
        <v>45565</v>
      </c>
      <c r="D241" s="30" t="s">
        <v>125</v>
      </c>
      <c r="E241" s="28" t="s">
        <v>559</v>
      </c>
      <c r="F241" s="28" t="s">
        <v>560</v>
      </c>
      <c r="G241" s="31" t="n">
        <v>3574</v>
      </c>
      <c r="H241" s="31" t="n">
        <v>27</v>
      </c>
      <c r="I241" s="31" t="n">
        <v>96486</v>
      </c>
      <c r="J241" s="29" t="n">
        <v>45569</v>
      </c>
      <c r="K241" s="31" t="n">
        <v>3402</v>
      </c>
      <c r="L241" s="30" t="s">
        <v>32</v>
      </c>
      <c r="M241" s="10" t="n">
        <v>2</v>
      </c>
      <c r="N241" s="12" t="n">
        <v>-4837</v>
      </c>
      <c r="O241" s="13" t="n">
        <v>-0.0501303026805127</v>
      </c>
      <c r="P241" s="15" t="n">
        <v>0.0927447902237819</v>
      </c>
      <c r="Q241" s="13" t="n">
        <v>-0.0485704771419057</v>
      </c>
      <c r="R241" s="15" t="n">
        <v>0.0704647676161918</v>
      </c>
      <c r="S241" s="32" t="n">
        <v>34344499560</v>
      </c>
      <c r="T241" s="15" t="n">
        <v>0.0156472261735419</v>
      </c>
      <c r="U241" s="32" t="n">
        <v>4265474033.5</v>
      </c>
      <c r="V241" s="14" t="n">
        <v>7.40301647103039</v>
      </c>
      <c r="W241" s="13" t="n">
        <v>0.0656716417910448</v>
      </c>
      <c r="X241" s="15" t="n">
        <v>0.0868347338935573</v>
      </c>
      <c r="Y241" s="13" t="n">
        <v>-0.0213262987870692</v>
      </c>
      <c r="Z241" s="13" t="n">
        <v>-0.00335894174119245</v>
      </c>
      <c r="AA241" s="30" t="s">
        <v>96</v>
      </c>
      <c r="AB241" s="28" t="s">
        <v>94</v>
      </c>
      <c r="AC241" s="28" t="s">
        <v>101</v>
      </c>
      <c r="AD241" s="28" t="s">
        <v>107</v>
      </c>
      <c r="AE241" s="28" t="s">
        <v>112</v>
      </c>
      <c r="AF241" s="28" t="s">
        <v>119</v>
      </c>
      <c r="AG241" s="30" t="s">
        <v>122</v>
      </c>
    </row>
    <row r="242" customFormat="false" ht="15" hidden="false" customHeight="false" outlineLevel="0" collapsed="false">
      <c r="A242" s="10" t="n">
        <v>2024</v>
      </c>
      <c r="B242" s="28" t="s">
        <v>60</v>
      </c>
      <c r="C242" s="29" t="n">
        <v>45569</v>
      </c>
      <c r="D242" s="30" t="s">
        <v>129</v>
      </c>
      <c r="E242" s="28" t="s">
        <v>227</v>
      </c>
      <c r="F242" s="30" t="s">
        <v>228</v>
      </c>
      <c r="G242" s="31" t="n">
        <v>13293</v>
      </c>
      <c r="H242" s="31" t="n">
        <v>7</v>
      </c>
      <c r="I242" s="31" t="n">
        <v>93053</v>
      </c>
      <c r="J242" s="29" t="n">
        <v>45573</v>
      </c>
      <c r="K242" s="31" t="n">
        <v>12647</v>
      </c>
      <c r="L242" s="30" t="s">
        <v>32</v>
      </c>
      <c r="M242" s="10" t="n">
        <v>2</v>
      </c>
      <c r="N242" s="12" t="n">
        <v>-4708</v>
      </c>
      <c r="O242" s="13" t="n">
        <v>-0.0505967154080858</v>
      </c>
      <c r="P242" s="15" t="n">
        <v>0.00727585667344721</v>
      </c>
      <c r="Q242" s="13" t="n">
        <v>-0.0604275242829458</v>
      </c>
      <c r="R242" s="15" t="n">
        <v>0.112227805695143</v>
      </c>
      <c r="S242" s="32" t="n">
        <v>179553435200</v>
      </c>
      <c r="T242" s="15" t="n">
        <v>0.0718321226795804</v>
      </c>
      <c r="U242" s="32" t="n">
        <v>14434776729.5</v>
      </c>
      <c r="V242" s="14" t="n">
        <v>10.8715358944439</v>
      </c>
      <c r="W242" s="13" t="n">
        <v>0.0753036437246963</v>
      </c>
      <c r="X242" s="15" t="n">
        <v>0.0376506024096386</v>
      </c>
      <c r="Y242" s="13" t="n">
        <v>0.00313074571864669</v>
      </c>
      <c r="Z242" s="13" t="n">
        <v>-0.0102491218339804</v>
      </c>
      <c r="AA242" s="30" t="s">
        <v>96</v>
      </c>
      <c r="AB242" s="28" t="s">
        <v>94</v>
      </c>
      <c r="AC242" s="28" t="s">
        <v>102</v>
      </c>
      <c r="AD242" s="28" t="s">
        <v>109</v>
      </c>
      <c r="AE242" s="28" t="s">
        <v>101</v>
      </c>
      <c r="AF242" s="28" t="s">
        <v>120</v>
      </c>
      <c r="AG242" s="30" t="s">
        <v>122</v>
      </c>
    </row>
    <row r="243" customFormat="false" ht="15" hidden="false" customHeight="false" outlineLevel="0" collapsed="false">
      <c r="A243" s="10" t="n">
        <v>2024</v>
      </c>
      <c r="B243" s="28" t="s">
        <v>60</v>
      </c>
      <c r="C243" s="29" t="n">
        <v>45569</v>
      </c>
      <c r="D243" s="30" t="s">
        <v>129</v>
      </c>
      <c r="E243" s="28" t="s">
        <v>561</v>
      </c>
      <c r="F243" s="28" t="s">
        <v>562</v>
      </c>
      <c r="G243" s="31" t="n">
        <v>1984</v>
      </c>
      <c r="H243" s="31" t="n">
        <v>50</v>
      </c>
      <c r="I243" s="31" t="n">
        <v>99216</v>
      </c>
      <c r="J243" s="29" t="n">
        <v>45573</v>
      </c>
      <c r="K243" s="31" t="n">
        <v>2385</v>
      </c>
      <c r="L243" s="30" t="s">
        <v>31</v>
      </c>
      <c r="M243" s="10" t="n">
        <v>2</v>
      </c>
      <c r="N243" s="12" t="n">
        <v>19786</v>
      </c>
      <c r="O243" s="13" t="n">
        <v>0.199427654823442</v>
      </c>
      <c r="P243" s="15" t="n">
        <v>0.248751248751249</v>
      </c>
      <c r="Q243" s="13" t="n">
        <v>-0.0464081373172282</v>
      </c>
      <c r="R243" s="15" t="n">
        <v>0.1</v>
      </c>
      <c r="S243" s="32" t="n">
        <v>76676956400</v>
      </c>
      <c r="T243" s="15" t="n">
        <v>0.0280373831775702</v>
      </c>
      <c r="U243" s="32" t="n">
        <v>18167721621.65</v>
      </c>
      <c r="V243" s="14" t="n">
        <v>3.87925827185819</v>
      </c>
      <c r="W243" s="13" t="n">
        <v>0.0628019323671498</v>
      </c>
      <c r="X243" s="15" t="n">
        <v>0.0727272727272728</v>
      </c>
      <c r="Y243" s="13" t="n">
        <v>0.00313074571864669</v>
      </c>
      <c r="Z243" s="13" t="n">
        <v>-0.0102491218339804</v>
      </c>
      <c r="AA243" s="30" t="s">
        <v>96</v>
      </c>
      <c r="AB243" s="28" t="s">
        <v>94</v>
      </c>
      <c r="AC243" s="28" t="s">
        <v>102</v>
      </c>
      <c r="AD243" s="28" t="s">
        <v>108</v>
      </c>
      <c r="AE243" s="28" t="s">
        <v>113</v>
      </c>
      <c r="AF243" s="28" t="s">
        <v>118</v>
      </c>
      <c r="AG243" s="30" t="s">
        <v>122</v>
      </c>
    </row>
    <row r="244" customFormat="false" ht="15" hidden="false" customHeight="false" outlineLevel="0" collapsed="false">
      <c r="A244" s="10" t="n">
        <v>2024</v>
      </c>
      <c r="B244" s="28" t="s">
        <v>60</v>
      </c>
      <c r="C244" s="29" t="n">
        <v>45572</v>
      </c>
      <c r="D244" s="30" t="s">
        <v>125</v>
      </c>
      <c r="E244" s="28" t="s">
        <v>425</v>
      </c>
      <c r="F244" s="30" t="s">
        <v>426</v>
      </c>
      <c r="G244" s="31" t="n">
        <v>12202</v>
      </c>
      <c r="H244" s="31" t="n">
        <v>8</v>
      </c>
      <c r="I244" s="31" t="n">
        <v>97618</v>
      </c>
      <c r="J244" s="29" t="n">
        <v>45575</v>
      </c>
      <c r="K244" s="31" t="n">
        <v>14650</v>
      </c>
      <c r="L244" s="30" t="s">
        <v>31</v>
      </c>
      <c r="M244" s="10" t="n">
        <v>2</v>
      </c>
      <c r="N244" s="12" t="n">
        <v>19339</v>
      </c>
      <c r="O244" s="13" t="n">
        <v>0.198112975744518</v>
      </c>
      <c r="P244" s="15" t="n">
        <v>0.239121829769902</v>
      </c>
      <c r="Q244" s="13" t="n">
        <v>-0.0239457015502954</v>
      </c>
      <c r="R244" s="15" t="n">
        <v>0.206930693069307</v>
      </c>
      <c r="S244" s="32" t="n">
        <v>102535953390</v>
      </c>
      <c r="T244" s="15" t="n">
        <v>0.0508620689655173</v>
      </c>
      <c r="U244" s="32" t="n">
        <v>14146043366.5</v>
      </c>
      <c r="V244" s="14" t="n">
        <v>6.32120725674579</v>
      </c>
      <c r="W244" s="13" t="n">
        <v>0.123502304147465</v>
      </c>
      <c r="X244" s="15" t="n">
        <v>0.0164068908941755</v>
      </c>
      <c r="Y244" s="13" t="n">
        <v>0.0158266886146685</v>
      </c>
      <c r="Z244" s="13" t="n">
        <v>-0.0229041350217288</v>
      </c>
      <c r="AA244" s="30" t="s">
        <v>97</v>
      </c>
      <c r="AB244" s="28" t="s">
        <v>94</v>
      </c>
      <c r="AC244" s="28" t="s">
        <v>104</v>
      </c>
      <c r="AD244" s="28" t="s">
        <v>109</v>
      </c>
      <c r="AE244" s="28" t="s">
        <v>101</v>
      </c>
      <c r="AF244" s="28" t="s">
        <v>119</v>
      </c>
      <c r="AG244" s="30" t="s">
        <v>122</v>
      </c>
    </row>
    <row r="245" customFormat="false" ht="15" hidden="false" customHeight="false" outlineLevel="0" collapsed="false">
      <c r="A245" s="10" t="n">
        <v>2024</v>
      </c>
      <c r="B245" s="28" t="s">
        <v>60</v>
      </c>
      <c r="C245" s="29" t="n">
        <v>45572</v>
      </c>
      <c r="D245" s="30" t="s">
        <v>125</v>
      </c>
      <c r="E245" s="28" t="s">
        <v>563</v>
      </c>
      <c r="F245" s="30" t="s">
        <v>564</v>
      </c>
      <c r="G245" s="31" t="n">
        <v>64564</v>
      </c>
      <c r="H245" s="31" t="n">
        <v>1</v>
      </c>
      <c r="I245" s="31" t="n">
        <v>64564</v>
      </c>
      <c r="J245" s="29" t="n">
        <v>45573</v>
      </c>
      <c r="K245" s="31" t="n">
        <v>61438</v>
      </c>
      <c r="L245" s="30" t="s">
        <v>32</v>
      </c>
      <c r="M245" s="10" t="n">
        <v>1</v>
      </c>
      <c r="N245" s="12" t="n">
        <v>-3255</v>
      </c>
      <c r="O245" s="13" t="n">
        <v>-0.0504222870153103</v>
      </c>
      <c r="P245" s="15" t="n">
        <v>-0.00409667851528306</v>
      </c>
      <c r="Q245" s="13" t="n">
        <v>-0.0645013900827853</v>
      </c>
      <c r="R245" s="15" t="n">
        <v>0.147686832740213</v>
      </c>
      <c r="S245" s="32" t="n">
        <v>55460905500</v>
      </c>
      <c r="T245" s="15" t="n">
        <v>0.0303514376996805</v>
      </c>
      <c r="U245" s="32" t="n">
        <v>10358376105</v>
      </c>
      <c r="V245" s="14" t="n">
        <v>4.89292273462495</v>
      </c>
      <c r="W245" s="13" t="n">
        <v>0.129597197898424</v>
      </c>
      <c r="X245" s="15" t="n">
        <v>0.0108527131782945</v>
      </c>
      <c r="Y245" s="13" t="n">
        <v>0.0158266886146685</v>
      </c>
      <c r="Z245" s="13" t="n">
        <v>-0.0229041350217288</v>
      </c>
      <c r="AA245" s="30" t="s">
        <v>97</v>
      </c>
      <c r="AB245" s="28" t="s">
        <v>94</v>
      </c>
      <c r="AC245" s="28" t="s">
        <v>102</v>
      </c>
      <c r="AD245" s="28" t="s">
        <v>108</v>
      </c>
      <c r="AE245" s="28" t="s">
        <v>113</v>
      </c>
      <c r="AF245" s="28" t="s">
        <v>118</v>
      </c>
      <c r="AG245" s="30" t="s">
        <v>122</v>
      </c>
    </row>
    <row r="246" customFormat="false" ht="15" hidden="false" customHeight="false" outlineLevel="0" collapsed="false">
      <c r="A246" s="10" t="n">
        <v>2024</v>
      </c>
      <c r="B246" s="28" t="s">
        <v>60</v>
      </c>
      <c r="C246" s="29" t="n">
        <v>45573</v>
      </c>
      <c r="D246" s="30" t="s">
        <v>126</v>
      </c>
      <c r="E246" s="28" t="s">
        <v>291</v>
      </c>
      <c r="F246" s="30" t="s">
        <v>292</v>
      </c>
      <c r="G246" s="31" t="n">
        <v>61061</v>
      </c>
      <c r="H246" s="31" t="n">
        <v>1</v>
      </c>
      <c r="I246" s="31" t="n">
        <v>61061</v>
      </c>
      <c r="J246" s="29" t="n">
        <v>45575</v>
      </c>
      <c r="K246" s="31" t="n">
        <v>73300</v>
      </c>
      <c r="L246" s="30" t="s">
        <v>31</v>
      </c>
      <c r="M246" s="10" t="n">
        <v>1</v>
      </c>
      <c r="N246" s="12" t="n">
        <v>12087</v>
      </c>
      <c r="O246" s="13" t="n">
        <v>0.197948049491492</v>
      </c>
      <c r="P246" s="15" t="n">
        <v>0.216815970914332</v>
      </c>
      <c r="Q246" s="13" t="n">
        <v>-0.00754982722195829</v>
      </c>
      <c r="R246" s="15" t="n">
        <v>0.253854059609455</v>
      </c>
      <c r="S246" s="32" t="n">
        <v>360107827000</v>
      </c>
      <c r="T246" s="15" t="n">
        <v>0.159179996176697</v>
      </c>
      <c r="U246" s="32" t="n">
        <v>34343697687.5</v>
      </c>
      <c r="V246" s="14" t="n">
        <v>8.43933283888983</v>
      </c>
      <c r="W246" s="13" t="n">
        <v>0.0481099656357389</v>
      </c>
      <c r="X246" s="15" t="n">
        <v>0.0360655737704918</v>
      </c>
      <c r="Y246" s="13" t="n">
        <v>-0.00613703751944161</v>
      </c>
      <c r="Z246" s="13" t="n">
        <v>-0.0209149438821337</v>
      </c>
      <c r="AA246" s="30" t="s">
        <v>97</v>
      </c>
      <c r="AB246" s="28" t="s">
        <v>94</v>
      </c>
      <c r="AC246" s="28" t="s">
        <v>104</v>
      </c>
      <c r="AD246" s="28" t="s">
        <v>110</v>
      </c>
      <c r="AE246" s="28" t="s">
        <v>114</v>
      </c>
      <c r="AF246" s="28" t="s">
        <v>119</v>
      </c>
      <c r="AG246" s="30" t="s">
        <v>122</v>
      </c>
    </row>
    <row r="247" customFormat="false" ht="15" hidden="false" customHeight="false" outlineLevel="0" collapsed="false">
      <c r="A247" s="10" t="n">
        <v>2024</v>
      </c>
      <c r="B247" s="28" t="s">
        <v>60</v>
      </c>
      <c r="C247" s="29" t="n">
        <v>45573</v>
      </c>
      <c r="D247" s="30" t="s">
        <v>126</v>
      </c>
      <c r="E247" s="28" t="s">
        <v>399</v>
      </c>
      <c r="F247" s="28" t="s">
        <v>400</v>
      </c>
      <c r="G247" s="31" t="n">
        <v>89489</v>
      </c>
      <c r="H247" s="31" t="n">
        <v>1</v>
      </c>
      <c r="I247" s="31" t="n">
        <v>89489</v>
      </c>
      <c r="J247" s="29" t="n">
        <v>45632</v>
      </c>
      <c r="K247" s="31" t="n">
        <v>84815</v>
      </c>
      <c r="L247" s="30" t="s">
        <v>32</v>
      </c>
      <c r="M247" s="10" t="n">
        <v>42</v>
      </c>
      <c r="N247" s="12" t="n">
        <v>-4853</v>
      </c>
      <c r="O247" s="13" t="n">
        <v>-0.0542311475437313</v>
      </c>
      <c r="P247" s="15" t="n">
        <v>0.161031362373644</v>
      </c>
      <c r="Q247" s="13" t="n">
        <v>-0.051284286183615</v>
      </c>
      <c r="R247" s="15" t="n">
        <v>0.0240549828178693</v>
      </c>
      <c r="S247" s="32" t="n">
        <v>160501161000</v>
      </c>
      <c r="T247" s="15" t="n">
        <v>0.0240549828178693</v>
      </c>
      <c r="U247" s="32" t="n">
        <v>136039866880</v>
      </c>
      <c r="V247" s="14" t="n">
        <v>1.08147000984869</v>
      </c>
      <c r="W247" s="13" t="n">
        <v>0.0335260115606937</v>
      </c>
      <c r="X247" s="15" t="n">
        <v>0</v>
      </c>
      <c r="Y247" s="13" t="n">
        <v>-0.00613703751944161</v>
      </c>
      <c r="Z247" s="13" t="n">
        <v>-0.0209149438821337</v>
      </c>
      <c r="AA247" s="30" t="s">
        <v>97</v>
      </c>
      <c r="AB247" s="28" t="s">
        <v>94</v>
      </c>
      <c r="AC247" s="28" t="s">
        <v>99</v>
      </c>
      <c r="AD247" s="28" t="s">
        <v>109</v>
      </c>
      <c r="AE247" s="28" t="s">
        <v>113</v>
      </c>
      <c r="AF247" s="28" t="s">
        <v>116</v>
      </c>
      <c r="AG247" s="30" t="s">
        <v>122</v>
      </c>
    </row>
    <row r="248" customFormat="false" ht="15" hidden="false" customHeight="false" outlineLevel="0" collapsed="false">
      <c r="A248" s="10" t="n">
        <v>2024</v>
      </c>
      <c r="B248" s="28" t="s">
        <v>60</v>
      </c>
      <c r="C248" s="29" t="n">
        <v>45573</v>
      </c>
      <c r="D248" s="30" t="s">
        <v>126</v>
      </c>
      <c r="E248" s="28" t="s">
        <v>281</v>
      </c>
      <c r="F248" s="30" t="s">
        <v>282</v>
      </c>
      <c r="G248" s="31" t="n">
        <v>9886</v>
      </c>
      <c r="H248" s="31" t="n">
        <v>10</v>
      </c>
      <c r="I248" s="31" t="n">
        <v>98857</v>
      </c>
      <c r="J248" s="29" t="n">
        <v>45576</v>
      </c>
      <c r="K248" s="31" t="n">
        <v>9411</v>
      </c>
      <c r="L248" s="30" t="s">
        <v>32</v>
      </c>
      <c r="M248" s="10" t="n">
        <v>2</v>
      </c>
      <c r="N248" s="12" t="n">
        <v>-4950</v>
      </c>
      <c r="O248" s="13" t="n">
        <v>-0.0500721746988667</v>
      </c>
      <c r="P248" s="15" t="n">
        <v>0.0855405992184108</v>
      </c>
      <c r="Q248" s="13" t="n">
        <v>-0.0490765566753407</v>
      </c>
      <c r="R248" s="15" t="n">
        <v>0.217766810610734</v>
      </c>
      <c r="S248" s="32" t="n">
        <v>82746408360</v>
      </c>
      <c r="T248" s="15" t="n">
        <v>0.067027027027027</v>
      </c>
      <c r="U248" s="32" t="n">
        <v>3907216277.5</v>
      </c>
      <c r="V248" s="14" t="n">
        <v>18.0004719321672</v>
      </c>
      <c r="W248" s="13" t="n">
        <v>0.205128205128205</v>
      </c>
      <c r="X248" s="15" t="n">
        <v>0.0663627152988855</v>
      </c>
      <c r="Y248" s="13" t="n">
        <v>-0.00613703751944161</v>
      </c>
      <c r="Z248" s="13" t="n">
        <v>-0.0209149438821337</v>
      </c>
      <c r="AA248" s="30" t="s">
        <v>97</v>
      </c>
      <c r="AB248" s="28" t="s">
        <v>94</v>
      </c>
      <c r="AC248" s="28" t="s">
        <v>104</v>
      </c>
      <c r="AD248" s="28" t="s">
        <v>108</v>
      </c>
      <c r="AE248" s="28" t="s">
        <v>101</v>
      </c>
      <c r="AF248" s="28" t="s">
        <v>120</v>
      </c>
      <c r="AG248" s="30" t="s">
        <v>122</v>
      </c>
    </row>
    <row r="249" customFormat="false" ht="15" hidden="false" customHeight="false" outlineLevel="0" collapsed="false">
      <c r="A249" s="10" t="n">
        <v>2024</v>
      </c>
      <c r="B249" s="28" t="s">
        <v>60</v>
      </c>
      <c r="C249" s="29" t="n">
        <v>45573</v>
      </c>
      <c r="D249" s="30" t="s">
        <v>126</v>
      </c>
      <c r="E249" s="28" t="s">
        <v>289</v>
      </c>
      <c r="F249" s="30" t="s">
        <v>290</v>
      </c>
      <c r="G249" s="31" t="n">
        <v>33934</v>
      </c>
      <c r="H249" s="31" t="n">
        <v>2</v>
      </c>
      <c r="I249" s="31" t="n">
        <v>67868</v>
      </c>
      <c r="J249" s="29" t="n">
        <v>45576</v>
      </c>
      <c r="K249" s="31" t="n">
        <v>40750</v>
      </c>
      <c r="L249" s="30" t="s">
        <v>31</v>
      </c>
      <c r="M249" s="10" t="n">
        <v>2</v>
      </c>
      <c r="N249" s="12" t="n">
        <v>13463</v>
      </c>
      <c r="O249" s="13" t="n">
        <v>0.198372347858631</v>
      </c>
      <c r="P249" s="15" t="n">
        <v>0.202337485523326</v>
      </c>
      <c r="Q249" s="13" t="n">
        <v>-0.00689281220254656</v>
      </c>
      <c r="R249" s="15" t="n">
        <v>0.0527950310559007</v>
      </c>
      <c r="S249" s="32" t="n">
        <v>59545994100</v>
      </c>
      <c r="T249" s="15" t="n">
        <v>0.0272727272727273</v>
      </c>
      <c r="U249" s="32" t="n">
        <v>42662620460</v>
      </c>
      <c r="V249" s="14" t="n">
        <v>1.24561756025907</v>
      </c>
      <c r="W249" s="13" t="n">
        <v>0.0626959247648904</v>
      </c>
      <c r="X249" s="15" t="n">
        <v>0.00294985250737456</v>
      </c>
      <c r="Y249" s="13" t="n">
        <v>-0.00613703751944161</v>
      </c>
      <c r="Z249" s="13" t="n">
        <v>-0.0209149438821337</v>
      </c>
      <c r="AA249" s="30" t="s">
        <v>97</v>
      </c>
      <c r="AB249" s="28" t="s">
        <v>94</v>
      </c>
      <c r="AC249" s="28" t="s">
        <v>101</v>
      </c>
      <c r="AD249" s="28" t="s">
        <v>108</v>
      </c>
      <c r="AE249" s="28" t="s">
        <v>113</v>
      </c>
      <c r="AF249" s="28" t="s">
        <v>116</v>
      </c>
      <c r="AG249" s="30" t="s">
        <v>122</v>
      </c>
    </row>
    <row r="250" customFormat="false" ht="15" hidden="false" customHeight="false" outlineLevel="0" collapsed="false">
      <c r="A250" s="10" t="n">
        <v>2024</v>
      </c>
      <c r="B250" s="28" t="s">
        <v>60</v>
      </c>
      <c r="C250" s="29" t="n">
        <v>45575</v>
      </c>
      <c r="D250" s="30" t="s">
        <v>128</v>
      </c>
      <c r="E250" s="28" t="s">
        <v>565</v>
      </c>
      <c r="F250" s="30" t="s">
        <v>566</v>
      </c>
      <c r="G250" s="31" t="n">
        <v>42743</v>
      </c>
      <c r="H250" s="31" t="n">
        <v>2</v>
      </c>
      <c r="I250" s="31" t="n">
        <v>85485</v>
      </c>
      <c r="J250" s="29" t="n">
        <v>45587</v>
      </c>
      <c r="K250" s="31" t="n">
        <v>51300</v>
      </c>
      <c r="L250" s="30" t="s">
        <v>31</v>
      </c>
      <c r="M250" s="10" t="n">
        <v>8</v>
      </c>
      <c r="N250" s="12" t="n">
        <v>16902</v>
      </c>
      <c r="O250" s="13" t="n">
        <v>0.197714547630356</v>
      </c>
      <c r="P250" s="15" t="n">
        <v>0.21658201283494</v>
      </c>
      <c r="Q250" s="13" t="n">
        <v>-0.0162062761594377</v>
      </c>
      <c r="R250" s="15" t="n">
        <v>0.100515463917526</v>
      </c>
      <c r="S250" s="32" t="n">
        <v>181043089500</v>
      </c>
      <c r="T250" s="15" t="n">
        <v>0.094871794871795</v>
      </c>
      <c r="U250" s="32" t="n">
        <v>22522360165</v>
      </c>
      <c r="V250" s="14" t="n">
        <v>7.02808059570566</v>
      </c>
      <c r="W250" s="13" t="n">
        <v>0.082382762991128</v>
      </c>
      <c r="X250" s="15" t="n">
        <v>0.0105386416861826</v>
      </c>
      <c r="Y250" s="13" t="n">
        <v>0.00185016728595877</v>
      </c>
      <c r="Z250" s="13" t="n">
        <v>0.00227126369410047</v>
      </c>
      <c r="AA250" s="30" t="s">
        <v>97</v>
      </c>
      <c r="AB250" s="28" t="s">
        <v>93</v>
      </c>
      <c r="AC250" s="28" t="s">
        <v>102</v>
      </c>
      <c r="AD250" s="28" t="s">
        <v>109</v>
      </c>
      <c r="AE250" s="28" t="s">
        <v>101</v>
      </c>
      <c r="AF250" s="28" t="s">
        <v>119</v>
      </c>
      <c r="AG250" s="30" t="s">
        <v>122</v>
      </c>
    </row>
    <row r="251" customFormat="false" ht="15" hidden="false" customHeight="false" outlineLevel="0" collapsed="false">
      <c r="A251" s="10" t="n">
        <v>2024</v>
      </c>
      <c r="B251" s="28" t="s">
        <v>60</v>
      </c>
      <c r="C251" s="29" t="n">
        <v>45575</v>
      </c>
      <c r="D251" s="30" t="s">
        <v>128</v>
      </c>
      <c r="E251" s="28" t="s">
        <v>567</v>
      </c>
      <c r="F251" s="30" t="s">
        <v>568</v>
      </c>
      <c r="G251" s="31" t="n">
        <v>38989</v>
      </c>
      <c r="H251" s="31" t="n">
        <v>2</v>
      </c>
      <c r="I251" s="31" t="n">
        <v>77978</v>
      </c>
      <c r="J251" s="29" t="n">
        <v>45588</v>
      </c>
      <c r="K251" s="31" t="n">
        <v>37113</v>
      </c>
      <c r="L251" s="30" t="s">
        <v>32</v>
      </c>
      <c r="M251" s="10" t="n">
        <v>9</v>
      </c>
      <c r="N251" s="12" t="n">
        <v>-3909</v>
      </c>
      <c r="O251" s="13" t="n">
        <v>-0.0501249302687044</v>
      </c>
      <c r="P251" s="15" t="n">
        <v>0.118265559857344</v>
      </c>
      <c r="Q251" s="13" t="n">
        <v>-0.166430488638447</v>
      </c>
      <c r="R251" s="15" t="n">
        <v>0.0400534045393859</v>
      </c>
      <c r="S251" s="32" t="n">
        <v>33803341750</v>
      </c>
      <c r="T251" s="15" t="n">
        <v>0.0196335078534031</v>
      </c>
      <c r="U251" s="32" t="n">
        <v>22483086005</v>
      </c>
      <c r="V251" s="14" t="n">
        <v>1.39093445668228</v>
      </c>
      <c r="W251" s="13" t="n">
        <v>0.0304232804232805</v>
      </c>
      <c r="X251" s="15" t="n">
        <v>0.00385109114249027</v>
      </c>
      <c r="Y251" s="13" t="n">
        <v>0.00185016728595877</v>
      </c>
      <c r="Z251" s="13" t="n">
        <v>0.00227126369410047</v>
      </c>
      <c r="AA251" s="30" t="s">
        <v>97</v>
      </c>
      <c r="AB251" s="28" t="s">
        <v>93</v>
      </c>
      <c r="AC251" s="28" t="s">
        <v>100</v>
      </c>
      <c r="AD251" s="28" t="s">
        <v>107</v>
      </c>
      <c r="AE251" s="28" t="s">
        <v>112</v>
      </c>
      <c r="AF251" s="28" t="s">
        <v>116</v>
      </c>
      <c r="AG251" s="30" t="s">
        <v>122</v>
      </c>
    </row>
    <row r="252" customFormat="false" ht="15" hidden="false" customHeight="false" outlineLevel="0" collapsed="false">
      <c r="A252" s="10" t="n">
        <v>2024</v>
      </c>
      <c r="B252" s="28" t="s">
        <v>60</v>
      </c>
      <c r="C252" s="29" t="n">
        <v>45576</v>
      </c>
      <c r="D252" s="30" t="s">
        <v>129</v>
      </c>
      <c r="E252" s="28" t="s">
        <v>569</v>
      </c>
      <c r="F252" s="28" t="s">
        <v>570</v>
      </c>
      <c r="G252" s="31" t="n">
        <v>2679</v>
      </c>
      <c r="H252" s="31" t="n">
        <v>37</v>
      </c>
      <c r="I252" s="31" t="n">
        <v>99134</v>
      </c>
      <c r="J252" s="29" t="n">
        <v>45579</v>
      </c>
      <c r="K252" s="31" t="n">
        <v>2547</v>
      </c>
      <c r="L252" s="30" t="s">
        <v>32</v>
      </c>
      <c r="M252" s="10" t="n">
        <v>1</v>
      </c>
      <c r="N252" s="12" t="n">
        <v>-5077</v>
      </c>
      <c r="O252" s="13" t="n">
        <v>-0.0512112704774514</v>
      </c>
      <c r="P252" s="15" t="n">
        <v>0.00948003045905166</v>
      </c>
      <c r="Q252" s="13" t="n">
        <v>-0.0499011478032455</v>
      </c>
      <c r="R252" s="15" t="n">
        <v>0.146292585170341</v>
      </c>
      <c r="S252" s="32" t="n">
        <v>69339006880</v>
      </c>
      <c r="T252" s="15" t="n">
        <v>0.0123893805309734</v>
      </c>
      <c r="U252" s="32" t="n">
        <v>8935054558.25</v>
      </c>
      <c r="V252" s="14" t="n">
        <v>6.85776689421507</v>
      </c>
      <c r="W252" s="13" t="n">
        <v>0.128205128205128</v>
      </c>
      <c r="X252" s="15" t="n">
        <v>0.0174825174825175</v>
      </c>
      <c r="Y252" s="13" t="n">
        <v>-0.000865664291540336</v>
      </c>
      <c r="Z252" s="13" t="n">
        <v>0.0137487361858772</v>
      </c>
      <c r="AA252" s="30" t="s">
        <v>97</v>
      </c>
      <c r="AB252" s="28" t="s">
        <v>93</v>
      </c>
      <c r="AC252" s="28" t="s">
        <v>102</v>
      </c>
      <c r="AD252" s="28" t="s">
        <v>108</v>
      </c>
      <c r="AE252" s="28" t="s">
        <v>112</v>
      </c>
      <c r="AF252" s="28" t="s">
        <v>119</v>
      </c>
      <c r="AG252" s="30" t="s">
        <v>122</v>
      </c>
    </row>
    <row r="253" customFormat="false" ht="15" hidden="false" customHeight="false" outlineLevel="0" collapsed="false">
      <c r="A253" s="10" t="n">
        <v>2024</v>
      </c>
      <c r="B253" s="28" t="s">
        <v>60</v>
      </c>
      <c r="C253" s="29" t="n">
        <v>45576</v>
      </c>
      <c r="D253" s="30" t="s">
        <v>129</v>
      </c>
      <c r="E253" s="28" t="s">
        <v>407</v>
      </c>
      <c r="F253" s="30" t="s">
        <v>408</v>
      </c>
      <c r="G253" s="31" t="n">
        <v>57557</v>
      </c>
      <c r="H253" s="31" t="n">
        <v>1</v>
      </c>
      <c r="I253" s="31" t="n">
        <v>57557</v>
      </c>
      <c r="J253" s="29" t="n">
        <v>45595</v>
      </c>
      <c r="K253" s="31" t="n">
        <v>54745</v>
      </c>
      <c r="L253" s="30" t="s">
        <v>32</v>
      </c>
      <c r="M253" s="10" t="n">
        <v>13</v>
      </c>
      <c r="N253" s="12" t="n">
        <v>-2928</v>
      </c>
      <c r="O253" s="13" t="n">
        <v>-0.0508654261390783</v>
      </c>
      <c r="P253" s="15" t="n">
        <v>0.0406984320027799</v>
      </c>
      <c r="Q253" s="13" t="n">
        <v>-0.0618077574599313</v>
      </c>
      <c r="R253" s="15" t="n">
        <v>0.0123239436619718</v>
      </c>
      <c r="S253" s="32" t="n">
        <v>46998890000</v>
      </c>
      <c r="T253" s="15" t="n">
        <v>0.00700525394045526</v>
      </c>
      <c r="U253" s="32" t="n">
        <v>80222894100</v>
      </c>
      <c r="V253" s="14" t="n">
        <v>0.565918662364504</v>
      </c>
      <c r="W253" s="13" t="n">
        <v>-0.00173611111111116</v>
      </c>
      <c r="X253" s="15" t="n">
        <v>0.00869565217391299</v>
      </c>
      <c r="Y253" s="13" t="n">
        <v>-0.000865664291540336</v>
      </c>
      <c r="Z253" s="13" t="n">
        <v>0.0137487361858772</v>
      </c>
      <c r="AA253" s="30" t="s">
        <v>97</v>
      </c>
      <c r="AB253" s="28" t="s">
        <v>93</v>
      </c>
      <c r="AC253" s="28" t="s">
        <v>99</v>
      </c>
      <c r="AD253" s="28" t="s">
        <v>107</v>
      </c>
      <c r="AE253" s="28" t="s">
        <v>112</v>
      </c>
      <c r="AF253" s="28" t="s">
        <v>116</v>
      </c>
      <c r="AG253" s="30" t="s">
        <v>123</v>
      </c>
    </row>
    <row r="254" customFormat="false" ht="15" hidden="false" customHeight="false" outlineLevel="0" collapsed="false">
      <c r="A254" s="10" t="n">
        <v>2024</v>
      </c>
      <c r="B254" s="28" t="s">
        <v>60</v>
      </c>
      <c r="C254" s="29" t="n">
        <v>45576</v>
      </c>
      <c r="D254" s="30" t="s">
        <v>129</v>
      </c>
      <c r="E254" s="28" t="s">
        <v>571</v>
      </c>
      <c r="F254" s="30" t="s">
        <v>572</v>
      </c>
      <c r="G254" s="31" t="n">
        <v>24324</v>
      </c>
      <c r="H254" s="31" t="n">
        <v>4</v>
      </c>
      <c r="I254" s="31" t="n">
        <v>97297</v>
      </c>
      <c r="J254" s="29" t="n">
        <v>45588</v>
      </c>
      <c r="K254" s="31" t="n">
        <v>23127</v>
      </c>
      <c r="L254" s="30" t="s">
        <v>32</v>
      </c>
      <c r="M254" s="10" t="n">
        <v>8</v>
      </c>
      <c r="N254" s="12" t="n">
        <v>-4985</v>
      </c>
      <c r="O254" s="13" t="n">
        <v>-0.0512325535575535</v>
      </c>
      <c r="P254" s="15" t="n">
        <v>0.0647788425566205</v>
      </c>
      <c r="Q254" s="13" t="n">
        <v>-0.089387978276867</v>
      </c>
      <c r="R254" s="15" t="n">
        <v>0.0210084033613445</v>
      </c>
      <c r="S254" s="32" t="n">
        <v>38047919400</v>
      </c>
      <c r="T254" s="15" t="n">
        <v>0.0062111801242235</v>
      </c>
      <c r="U254" s="32" t="n">
        <v>13818483329.5</v>
      </c>
      <c r="V254" s="14" t="n">
        <v>2.51466573023986</v>
      </c>
      <c r="W254" s="13" t="n">
        <v>0.0062111801242235</v>
      </c>
      <c r="X254" s="15" t="n">
        <v>0.0576131687242798</v>
      </c>
      <c r="Y254" s="13" t="n">
        <v>-0.000865664291540336</v>
      </c>
      <c r="Z254" s="13" t="n">
        <v>0.0137487361858772</v>
      </c>
      <c r="AA254" s="30" t="s">
        <v>97</v>
      </c>
      <c r="AB254" s="28" t="s">
        <v>93</v>
      </c>
      <c r="AC254" s="28" t="s">
        <v>99</v>
      </c>
      <c r="AD254" s="28" t="s">
        <v>107</v>
      </c>
      <c r="AE254" s="28" t="s">
        <v>112</v>
      </c>
      <c r="AF254" s="28" t="s">
        <v>117</v>
      </c>
      <c r="AG254" s="30" t="s">
        <v>122</v>
      </c>
    </row>
    <row r="255" customFormat="false" ht="15" hidden="false" customHeight="false" outlineLevel="0" collapsed="false">
      <c r="A255" s="10" t="n">
        <v>2024</v>
      </c>
      <c r="B255" s="28" t="s">
        <v>60</v>
      </c>
      <c r="C255" s="29" t="n">
        <v>45579</v>
      </c>
      <c r="D255" s="30" t="s">
        <v>125</v>
      </c>
      <c r="E255" s="28" t="s">
        <v>573</v>
      </c>
      <c r="F255" s="30" t="s">
        <v>574</v>
      </c>
      <c r="G255" s="31" t="n">
        <v>16557</v>
      </c>
      <c r="H255" s="31" t="n">
        <v>6</v>
      </c>
      <c r="I255" s="31" t="n">
        <v>99339</v>
      </c>
      <c r="J255" s="29" t="n">
        <v>45595</v>
      </c>
      <c r="K255" s="31" t="n">
        <v>15754</v>
      </c>
      <c r="L255" s="30" t="s">
        <v>32</v>
      </c>
      <c r="M255" s="10" t="n">
        <v>12</v>
      </c>
      <c r="N255" s="12" t="n">
        <v>-5013</v>
      </c>
      <c r="O255" s="13" t="n">
        <v>-0.0504643016898458</v>
      </c>
      <c r="P255" s="15" t="n">
        <v>0.0328244911074418</v>
      </c>
      <c r="Q255" s="13" t="n">
        <v>-0.0481102935758315</v>
      </c>
      <c r="R255" s="15" t="n">
        <v>0.0395977372721559</v>
      </c>
      <c r="S255" s="32" t="n">
        <v>109344186760</v>
      </c>
      <c r="T255" s="15" t="n">
        <v>0.027329192546584</v>
      </c>
      <c r="U255" s="32" t="n">
        <v>35252751374.5</v>
      </c>
      <c r="V255" s="14" t="n">
        <v>2.92993080669765</v>
      </c>
      <c r="W255" s="13" t="n">
        <v>0.03375</v>
      </c>
      <c r="X255" s="15" t="n">
        <v>0.0199516324062878</v>
      </c>
      <c r="Y255" s="13" t="n">
        <v>0.0101582265076572</v>
      </c>
      <c r="Z255" s="13" t="n">
        <v>0.0208506018188823</v>
      </c>
      <c r="AA255" s="30" t="s">
        <v>97</v>
      </c>
      <c r="AB255" s="28" t="s">
        <v>93</v>
      </c>
      <c r="AC255" s="28" t="s">
        <v>100</v>
      </c>
      <c r="AD255" s="28" t="s">
        <v>109</v>
      </c>
      <c r="AE255" s="28" t="s">
        <v>113</v>
      </c>
      <c r="AF255" s="28" t="s">
        <v>117</v>
      </c>
      <c r="AG255" s="30" t="s">
        <v>122</v>
      </c>
    </row>
    <row r="256" customFormat="false" ht="15" hidden="false" customHeight="false" outlineLevel="0" collapsed="false">
      <c r="A256" s="10" t="n">
        <v>2024</v>
      </c>
      <c r="B256" s="28" t="s">
        <v>60</v>
      </c>
      <c r="C256" s="29" t="n">
        <v>45579</v>
      </c>
      <c r="D256" s="30" t="s">
        <v>125</v>
      </c>
      <c r="E256" s="28" t="s">
        <v>401</v>
      </c>
      <c r="F256" s="30" t="s">
        <v>402</v>
      </c>
      <c r="G256" s="31" t="n">
        <v>63864</v>
      </c>
      <c r="H256" s="31" t="n">
        <v>1</v>
      </c>
      <c r="I256" s="31" t="n">
        <v>63864</v>
      </c>
      <c r="J256" s="29" t="n">
        <v>45596</v>
      </c>
      <c r="K256" s="31" t="n">
        <v>60739</v>
      </c>
      <c r="L256" s="30" t="s">
        <v>32</v>
      </c>
      <c r="M256" s="10" t="n">
        <v>13</v>
      </c>
      <c r="N256" s="12" t="n">
        <v>-3253</v>
      </c>
      <c r="O256" s="13" t="n">
        <v>-0.0509305899429726</v>
      </c>
      <c r="P256" s="15" t="n">
        <v>0.0835559424901118</v>
      </c>
      <c r="Q256" s="13" t="n">
        <v>-0.0620664601855824</v>
      </c>
      <c r="R256" s="15" t="n">
        <v>0.0459016393442624</v>
      </c>
      <c r="S256" s="32" t="n">
        <v>108297373800</v>
      </c>
      <c r="T256" s="15" t="n">
        <v>0.0143084260731319</v>
      </c>
      <c r="U256" s="32" t="n">
        <v>64751443300</v>
      </c>
      <c r="V256" s="14" t="n">
        <v>1.57469122173591</v>
      </c>
      <c r="W256" s="13" t="n">
        <v>0.0224358974358974</v>
      </c>
      <c r="X256" s="15" t="n">
        <v>0.0188087774294672</v>
      </c>
      <c r="Y256" s="13" t="n">
        <v>0.0101582265076572</v>
      </c>
      <c r="Z256" s="13" t="n">
        <v>0.0208506018188823</v>
      </c>
      <c r="AA256" s="30" t="s">
        <v>97</v>
      </c>
      <c r="AB256" s="28" t="s">
        <v>93</v>
      </c>
      <c r="AC256" s="28" t="s">
        <v>100</v>
      </c>
      <c r="AD256" s="28" t="s">
        <v>109</v>
      </c>
      <c r="AE256" s="28" t="s">
        <v>112</v>
      </c>
      <c r="AF256" s="28" t="s">
        <v>116</v>
      </c>
      <c r="AG256" s="30" t="s">
        <v>122</v>
      </c>
    </row>
    <row r="257" customFormat="false" ht="15" hidden="false" customHeight="false" outlineLevel="0" collapsed="false">
      <c r="A257" s="10" t="n">
        <v>2024</v>
      </c>
      <c r="B257" s="28" t="s">
        <v>60</v>
      </c>
      <c r="C257" s="29" t="n">
        <v>45579</v>
      </c>
      <c r="D257" s="30" t="s">
        <v>125</v>
      </c>
      <c r="E257" s="28" t="s">
        <v>301</v>
      </c>
      <c r="F257" s="28" t="s">
        <v>302</v>
      </c>
      <c r="G257" s="31" t="n">
        <v>33834</v>
      </c>
      <c r="H257" s="31" t="n">
        <v>2</v>
      </c>
      <c r="I257" s="31" t="n">
        <v>67668</v>
      </c>
      <c r="J257" s="29" t="n">
        <v>45581</v>
      </c>
      <c r="K257" s="31" t="n">
        <v>32168</v>
      </c>
      <c r="L257" s="30" t="s">
        <v>32</v>
      </c>
      <c r="M257" s="10" t="n">
        <v>2</v>
      </c>
      <c r="N257" s="12" t="n">
        <v>-3468</v>
      </c>
      <c r="O257" s="13" t="n">
        <v>-0.0512446807630241</v>
      </c>
      <c r="P257" s="15" t="n">
        <v>0.0149613699909559</v>
      </c>
      <c r="Q257" s="13" t="n">
        <v>-0.0878943541665433</v>
      </c>
      <c r="R257" s="15" t="n">
        <v>0.0696202531645569</v>
      </c>
      <c r="S257" s="32" t="n">
        <v>106955875000</v>
      </c>
      <c r="T257" s="15" t="n">
        <v>0.00955794504181595</v>
      </c>
      <c r="U257" s="32" t="n">
        <v>60898223420</v>
      </c>
      <c r="V257" s="14" t="n">
        <v>1.58388998374628</v>
      </c>
      <c r="W257" s="13" t="n">
        <v>0.0682680151706701</v>
      </c>
      <c r="X257" s="15" t="n">
        <v>0.0118343195266273</v>
      </c>
      <c r="Y257" s="13" t="n">
        <v>0.0101582265076572</v>
      </c>
      <c r="Z257" s="13" t="n">
        <v>0.0208506018188823</v>
      </c>
      <c r="AA257" s="30" t="s">
        <v>97</v>
      </c>
      <c r="AB257" s="28" t="s">
        <v>93</v>
      </c>
      <c r="AC257" s="28" t="s">
        <v>101</v>
      </c>
      <c r="AD257" s="28" t="s">
        <v>109</v>
      </c>
      <c r="AE257" s="28" t="s">
        <v>112</v>
      </c>
      <c r="AF257" s="28" t="s">
        <v>116</v>
      </c>
      <c r="AG257" s="30" t="s">
        <v>122</v>
      </c>
    </row>
    <row r="258" customFormat="false" ht="15" hidden="false" customHeight="false" outlineLevel="0" collapsed="false">
      <c r="A258" s="10" t="n">
        <v>2024</v>
      </c>
      <c r="B258" s="28" t="s">
        <v>60</v>
      </c>
      <c r="C258" s="29" t="n">
        <v>45581</v>
      </c>
      <c r="D258" s="30" t="s">
        <v>127</v>
      </c>
      <c r="E258" s="28" t="s">
        <v>185</v>
      </c>
      <c r="F258" s="30" t="s">
        <v>186</v>
      </c>
      <c r="G258" s="31" t="n">
        <v>9680</v>
      </c>
      <c r="H258" s="31" t="n">
        <v>10</v>
      </c>
      <c r="I258" s="31" t="n">
        <v>96797</v>
      </c>
      <c r="J258" s="29" t="n">
        <v>45583</v>
      </c>
      <c r="K258" s="31" t="n">
        <v>9211</v>
      </c>
      <c r="L258" s="30" t="s">
        <v>32</v>
      </c>
      <c r="M258" s="10" t="n">
        <v>2</v>
      </c>
      <c r="N258" s="12" t="n">
        <v>-4883</v>
      </c>
      <c r="O258" s="13" t="n">
        <v>-0.05044624160741</v>
      </c>
      <c r="P258" s="15" t="n">
        <v>0.0124312089151801</v>
      </c>
      <c r="Q258" s="13" t="n">
        <v>-0.0505874683744382</v>
      </c>
      <c r="R258" s="15" t="n">
        <v>0.0828667413213886</v>
      </c>
      <c r="S258" s="32" t="n">
        <v>94436088610</v>
      </c>
      <c r="T258" s="15" t="n">
        <v>0.0626373626373626</v>
      </c>
      <c r="U258" s="32" t="n">
        <v>6317370267</v>
      </c>
      <c r="V258" s="14" t="n">
        <v>13.3937476397626</v>
      </c>
      <c r="W258" s="13" t="n">
        <v>0.0951302378255945</v>
      </c>
      <c r="X258" s="15" t="n">
        <v>0.0392967942088935</v>
      </c>
      <c r="Y258" s="13" t="n">
        <v>-0.00876796597619078</v>
      </c>
      <c r="Z258" s="13" t="n">
        <v>0.00616722428652916</v>
      </c>
      <c r="AA258" s="30" t="s">
        <v>97</v>
      </c>
      <c r="AB258" s="28" t="s">
        <v>93</v>
      </c>
      <c r="AC258" s="28" t="s">
        <v>101</v>
      </c>
      <c r="AD258" s="28" t="s">
        <v>108</v>
      </c>
      <c r="AE258" s="28" t="s">
        <v>101</v>
      </c>
      <c r="AF258" s="28" t="s">
        <v>120</v>
      </c>
      <c r="AG258" s="30" t="s">
        <v>122</v>
      </c>
    </row>
    <row r="259" customFormat="false" ht="15" hidden="false" customHeight="false" outlineLevel="0" collapsed="false">
      <c r="A259" s="10" t="n">
        <v>2024</v>
      </c>
      <c r="B259" s="28" t="s">
        <v>60</v>
      </c>
      <c r="C259" s="29" t="n">
        <v>45583</v>
      </c>
      <c r="D259" s="30" t="s">
        <v>129</v>
      </c>
      <c r="E259" s="28" t="s">
        <v>481</v>
      </c>
      <c r="F259" s="30" t="s">
        <v>482</v>
      </c>
      <c r="G259" s="31" t="n">
        <v>43043</v>
      </c>
      <c r="H259" s="31" t="n">
        <v>2</v>
      </c>
      <c r="I259" s="31" t="n">
        <v>86086</v>
      </c>
      <c r="J259" s="29" t="n">
        <v>45587</v>
      </c>
      <c r="K259" s="31" t="n">
        <v>40959</v>
      </c>
      <c r="L259" s="30" t="s">
        <v>32</v>
      </c>
      <c r="M259" s="10" t="n">
        <v>2</v>
      </c>
      <c r="N259" s="12" t="n">
        <v>-4341</v>
      </c>
      <c r="O259" s="13" t="n">
        <v>-0.0504222870153102</v>
      </c>
      <c r="P259" s="15" t="n">
        <v>0.0268800966475387</v>
      </c>
      <c r="Q259" s="13" t="n">
        <v>-0.0695351160467438</v>
      </c>
      <c r="R259" s="15" t="n">
        <v>0.0696517412935322</v>
      </c>
      <c r="S259" s="32" t="n">
        <v>100530689000</v>
      </c>
      <c r="T259" s="15" t="n">
        <v>0.0105757931844888</v>
      </c>
      <c r="U259" s="32" t="n">
        <v>19002913595</v>
      </c>
      <c r="V259" s="14" t="n">
        <v>5.05070039729668</v>
      </c>
      <c r="W259" s="13" t="n">
        <v>0.0630407911001236</v>
      </c>
      <c r="X259" s="15" t="n">
        <v>0.0313953488372094</v>
      </c>
      <c r="Y259" s="13" t="n">
        <v>-0.00593262560840069</v>
      </c>
      <c r="Z259" s="13" t="n">
        <v>-0.00118987565991879</v>
      </c>
      <c r="AA259" s="30" t="s">
        <v>96</v>
      </c>
      <c r="AB259" s="28" t="s">
        <v>94</v>
      </c>
      <c r="AC259" s="28" t="s">
        <v>101</v>
      </c>
      <c r="AD259" s="28" t="s">
        <v>109</v>
      </c>
      <c r="AE259" s="28" t="s">
        <v>112</v>
      </c>
      <c r="AF259" s="28" t="s">
        <v>119</v>
      </c>
      <c r="AG259" s="30" t="s">
        <v>122</v>
      </c>
    </row>
    <row r="260" customFormat="false" ht="15" hidden="false" customHeight="false" outlineLevel="0" collapsed="false">
      <c r="A260" s="10" t="n">
        <v>2024</v>
      </c>
      <c r="B260" s="28" t="s">
        <v>60</v>
      </c>
      <c r="C260" s="29" t="n">
        <v>45583</v>
      </c>
      <c r="D260" s="30" t="s">
        <v>129</v>
      </c>
      <c r="E260" s="28" t="s">
        <v>575</v>
      </c>
      <c r="F260" s="30" t="s">
        <v>576</v>
      </c>
      <c r="G260" s="31" t="n">
        <v>19849</v>
      </c>
      <c r="H260" s="31" t="n">
        <v>5</v>
      </c>
      <c r="I260" s="31" t="n">
        <v>99245</v>
      </c>
      <c r="J260" s="29" t="n">
        <v>45588</v>
      </c>
      <c r="K260" s="31" t="n">
        <v>18891</v>
      </c>
      <c r="L260" s="30" t="s">
        <v>32</v>
      </c>
      <c r="M260" s="10" t="n">
        <v>3</v>
      </c>
      <c r="N260" s="12" t="n">
        <v>-4988</v>
      </c>
      <c r="O260" s="13" t="n">
        <v>-0.0502643313028726</v>
      </c>
      <c r="P260" s="15" t="n">
        <v>0.0776624949853297</v>
      </c>
      <c r="Q260" s="13" t="n">
        <v>-0.0555376382148034</v>
      </c>
      <c r="R260" s="15" t="n">
        <v>0.205696202531646</v>
      </c>
      <c r="S260" s="32" t="n">
        <v>47609550450</v>
      </c>
      <c r="T260" s="15" t="n">
        <v>0.0421225382932167</v>
      </c>
      <c r="U260" s="32" t="n">
        <v>4122433515.7</v>
      </c>
      <c r="V260" s="14" t="n">
        <v>9.92332005764461</v>
      </c>
      <c r="W260" s="13" t="n">
        <v>0.183965195773773</v>
      </c>
      <c r="X260" s="15" t="n">
        <v>0.0708661417322833</v>
      </c>
      <c r="Y260" s="13" t="n">
        <v>-0.00593262560840069</v>
      </c>
      <c r="Z260" s="13" t="n">
        <v>-0.00118987565991879</v>
      </c>
      <c r="AA260" s="30" t="s">
        <v>96</v>
      </c>
      <c r="AB260" s="28" t="s">
        <v>94</v>
      </c>
      <c r="AC260" s="28" t="s">
        <v>104</v>
      </c>
      <c r="AD260" s="28" t="s">
        <v>107</v>
      </c>
      <c r="AE260" s="28" t="s">
        <v>113</v>
      </c>
      <c r="AF260" s="28" t="s">
        <v>119</v>
      </c>
      <c r="AG260" s="30" t="s">
        <v>122</v>
      </c>
    </row>
    <row r="261" customFormat="false" ht="15" hidden="false" customHeight="false" outlineLevel="0" collapsed="false">
      <c r="A261" s="10" t="n">
        <v>2024</v>
      </c>
      <c r="B261" s="28" t="s">
        <v>60</v>
      </c>
      <c r="C261" s="29" t="n">
        <v>45587</v>
      </c>
      <c r="D261" s="30" t="s">
        <v>126</v>
      </c>
      <c r="E261" s="28" t="s">
        <v>295</v>
      </c>
      <c r="F261" s="30" t="s">
        <v>296</v>
      </c>
      <c r="G261" s="31" t="n">
        <v>19319</v>
      </c>
      <c r="H261" s="31" t="n">
        <v>5</v>
      </c>
      <c r="I261" s="31" t="n">
        <v>96596</v>
      </c>
      <c r="J261" s="29" t="n">
        <v>45596</v>
      </c>
      <c r="K261" s="31" t="n">
        <v>18392</v>
      </c>
      <c r="L261" s="30" t="s">
        <v>32</v>
      </c>
      <c r="M261" s="10" t="n">
        <v>7</v>
      </c>
      <c r="N261" s="12" t="n">
        <v>-4832</v>
      </c>
      <c r="O261" s="13" t="n">
        <v>-0.0500262170730825</v>
      </c>
      <c r="P261" s="15" t="n">
        <v>0.0310932590725337</v>
      </c>
      <c r="Q261" s="13" t="n">
        <v>-0.0548311791835108</v>
      </c>
      <c r="R261" s="15" t="n">
        <v>0.0376344086021505</v>
      </c>
      <c r="S261" s="32" t="n">
        <v>64189677000</v>
      </c>
      <c r="T261" s="15" t="n">
        <v>0.0136554621848739</v>
      </c>
      <c r="U261" s="32" t="n">
        <v>24643949486.5</v>
      </c>
      <c r="V261" s="14" t="n">
        <v>2.49056571559255</v>
      </c>
      <c r="W261" s="13" t="n">
        <v>0.0342979635584138</v>
      </c>
      <c r="X261" s="15" t="n">
        <v>0</v>
      </c>
      <c r="Y261" s="13" t="n">
        <v>-0.0131366798212614</v>
      </c>
      <c r="Z261" s="13" t="n">
        <v>-0.0238280582505839</v>
      </c>
      <c r="AA261" s="30" t="s">
        <v>96</v>
      </c>
      <c r="AB261" s="28" t="s">
        <v>94</v>
      </c>
      <c r="AC261" s="28" t="s">
        <v>100</v>
      </c>
      <c r="AD261" s="28" t="s">
        <v>108</v>
      </c>
      <c r="AE261" s="28" t="s">
        <v>112</v>
      </c>
      <c r="AF261" s="28" t="s">
        <v>117</v>
      </c>
      <c r="AG261" s="30" t="s">
        <v>122</v>
      </c>
    </row>
    <row r="262" customFormat="false" ht="15" hidden="false" customHeight="false" outlineLevel="0" collapsed="false">
      <c r="A262" s="10" t="n">
        <v>2024</v>
      </c>
      <c r="B262" s="28" t="s">
        <v>60</v>
      </c>
      <c r="C262" s="29" t="n">
        <v>45588</v>
      </c>
      <c r="D262" s="30" t="s">
        <v>127</v>
      </c>
      <c r="E262" s="28" t="s">
        <v>577</v>
      </c>
      <c r="F262" s="30" t="s">
        <v>578</v>
      </c>
      <c r="G262" s="31" t="n">
        <v>7007</v>
      </c>
      <c r="H262" s="31" t="n">
        <v>14</v>
      </c>
      <c r="I262" s="31" t="n">
        <v>98098</v>
      </c>
      <c r="J262" s="29" t="n">
        <v>45589</v>
      </c>
      <c r="K262" s="31" t="n">
        <v>6643</v>
      </c>
      <c r="L262" s="30" t="s">
        <v>32</v>
      </c>
      <c r="M262" s="10" t="n">
        <v>1</v>
      </c>
      <c r="N262" s="12" t="n">
        <v>-5287</v>
      </c>
      <c r="O262" s="13" t="n">
        <v>-0.0538969005994005</v>
      </c>
      <c r="P262" s="15" t="n">
        <v>0.0732125017839305</v>
      </c>
      <c r="Q262" s="13" t="n">
        <v>-0.0580847723704865</v>
      </c>
      <c r="R262" s="15" t="n">
        <v>0.0204081632653062</v>
      </c>
      <c r="S262" s="32" t="n">
        <v>21052906000</v>
      </c>
      <c r="T262" s="15" t="n">
        <v>0.0204081632653062</v>
      </c>
      <c r="U262" s="32" t="n">
        <v>8151840350</v>
      </c>
      <c r="V262" s="14" t="n">
        <v>2.42696215400015</v>
      </c>
      <c r="W262" s="13" t="n">
        <v>0.0189228529839884</v>
      </c>
      <c r="X262" s="15" t="n">
        <v>0.0142857142857142</v>
      </c>
      <c r="Y262" s="13" t="n">
        <v>0.0112498541253356</v>
      </c>
      <c r="Z262" s="13" t="n">
        <v>-0.0041143750287318</v>
      </c>
      <c r="AA262" s="30" t="s">
        <v>96</v>
      </c>
      <c r="AB262" s="28" t="s">
        <v>94</v>
      </c>
      <c r="AC262" s="28" t="s">
        <v>99</v>
      </c>
      <c r="AD262" s="28" t="s">
        <v>106</v>
      </c>
      <c r="AE262" s="28" t="s">
        <v>113</v>
      </c>
      <c r="AF262" s="28" t="s">
        <v>117</v>
      </c>
      <c r="AG262" s="30" t="s">
        <v>122</v>
      </c>
    </row>
    <row r="263" customFormat="false" ht="15" hidden="false" customHeight="false" outlineLevel="0" collapsed="false">
      <c r="A263" s="10" t="n">
        <v>2024</v>
      </c>
      <c r="B263" s="28" t="s">
        <v>60</v>
      </c>
      <c r="C263" s="29" t="n">
        <v>45589</v>
      </c>
      <c r="D263" s="30" t="s">
        <v>128</v>
      </c>
      <c r="E263" s="28" t="s">
        <v>247</v>
      </c>
      <c r="F263" s="30" t="s">
        <v>248</v>
      </c>
      <c r="G263" s="31" t="n">
        <v>23073</v>
      </c>
      <c r="H263" s="31" t="n">
        <v>4</v>
      </c>
      <c r="I263" s="31" t="n">
        <v>92292</v>
      </c>
      <c r="J263" s="29" t="n">
        <v>45604</v>
      </c>
      <c r="K263" s="31" t="n">
        <v>21928</v>
      </c>
      <c r="L263" s="30" t="s">
        <v>32</v>
      </c>
      <c r="M263" s="10" t="n">
        <v>11</v>
      </c>
      <c r="N263" s="12" t="n">
        <v>-4765</v>
      </c>
      <c r="O263" s="13" t="n">
        <v>-0.0516282266540403</v>
      </c>
      <c r="P263" s="15" t="n">
        <v>0.0120031812005783</v>
      </c>
      <c r="Q263" s="13" t="n">
        <v>-0.0530077297973176</v>
      </c>
      <c r="R263" s="15" t="n">
        <v>0.0501138952164009</v>
      </c>
      <c r="S263" s="32" t="n">
        <v>126708108900</v>
      </c>
      <c r="T263" s="15" t="n">
        <v>0.0501138952164009</v>
      </c>
      <c r="U263" s="32" t="n">
        <v>43233157794</v>
      </c>
      <c r="V263" s="14" t="n">
        <v>2.6410818604752</v>
      </c>
      <c r="W263" s="13" t="n">
        <v>0.0359550561797752</v>
      </c>
      <c r="X263" s="15" t="n">
        <v>0.00867678958785256</v>
      </c>
      <c r="Y263" s="13" t="n">
        <v>-0.007151045152753</v>
      </c>
      <c r="Z263" s="13" t="n">
        <v>-0.0108343233817498</v>
      </c>
      <c r="AA263" s="30" t="s">
        <v>96</v>
      </c>
      <c r="AB263" s="28" t="s">
        <v>94</v>
      </c>
      <c r="AC263" s="28" t="s">
        <v>101</v>
      </c>
      <c r="AD263" s="28" t="s">
        <v>109</v>
      </c>
      <c r="AE263" s="28" t="s">
        <v>101</v>
      </c>
      <c r="AF263" s="28" t="s">
        <v>117</v>
      </c>
      <c r="AG263" s="30" t="s">
        <v>122</v>
      </c>
    </row>
    <row r="264" customFormat="false" ht="15" hidden="false" customHeight="false" outlineLevel="0" collapsed="false">
      <c r="A264" s="10" t="n">
        <v>2024</v>
      </c>
      <c r="B264" s="28" t="s">
        <v>60</v>
      </c>
      <c r="C264" s="29" t="n">
        <v>45589</v>
      </c>
      <c r="D264" s="30" t="s">
        <v>128</v>
      </c>
      <c r="E264" s="28" t="s">
        <v>579</v>
      </c>
      <c r="F264" s="30" t="s">
        <v>580</v>
      </c>
      <c r="G264" s="31" t="n">
        <v>21221</v>
      </c>
      <c r="H264" s="31" t="n">
        <v>4</v>
      </c>
      <c r="I264" s="31" t="n">
        <v>84885</v>
      </c>
      <c r="J264" s="29" t="n">
        <v>45601</v>
      </c>
      <c r="K264" s="31" t="n">
        <v>20180</v>
      </c>
      <c r="L264" s="30" t="s">
        <v>32</v>
      </c>
      <c r="M264" s="10" t="n">
        <v>8</v>
      </c>
      <c r="N264" s="12" t="n">
        <v>-4336</v>
      </c>
      <c r="O264" s="13" t="n">
        <v>-0.0510778744840067</v>
      </c>
      <c r="P264" s="15" t="n">
        <v>0.0272746121802727</v>
      </c>
      <c r="Q264" s="13" t="n">
        <v>-0.0481216896311235</v>
      </c>
      <c r="R264" s="15" t="n">
        <v>0.0600000000000001</v>
      </c>
      <c r="S264" s="32" t="n">
        <v>23055254400</v>
      </c>
      <c r="T264" s="15" t="n">
        <v>0.026634382566586</v>
      </c>
      <c r="U264" s="32" t="n">
        <v>3246168766.5</v>
      </c>
      <c r="V264" s="14" t="n">
        <v>6.76755975689327</v>
      </c>
      <c r="W264" s="13" t="n">
        <v>0.0469135802469136</v>
      </c>
      <c r="X264" s="15" t="n">
        <v>0</v>
      </c>
      <c r="Y264" s="13" t="n">
        <v>-0.007151045152753</v>
      </c>
      <c r="Z264" s="13" t="n">
        <v>-0.0108343233817498</v>
      </c>
      <c r="AA264" s="30" t="s">
        <v>96</v>
      </c>
      <c r="AB264" s="28" t="s">
        <v>94</v>
      </c>
      <c r="AC264" s="28" t="s">
        <v>101</v>
      </c>
      <c r="AD264" s="28" t="s">
        <v>106</v>
      </c>
      <c r="AE264" s="28" t="s">
        <v>113</v>
      </c>
      <c r="AF264" s="28" t="s">
        <v>119</v>
      </c>
      <c r="AG264" s="30" t="s">
        <v>122</v>
      </c>
    </row>
    <row r="265" customFormat="false" ht="15" hidden="false" customHeight="false" outlineLevel="0" collapsed="false">
      <c r="A265" s="10" t="n">
        <v>2024</v>
      </c>
      <c r="B265" s="28" t="s">
        <v>60</v>
      </c>
      <c r="C265" s="29" t="n">
        <v>45590</v>
      </c>
      <c r="D265" s="30" t="s">
        <v>129</v>
      </c>
      <c r="E265" s="28" t="s">
        <v>391</v>
      </c>
      <c r="F265" s="28" t="s">
        <v>392</v>
      </c>
      <c r="G265" s="31" t="n">
        <v>9920</v>
      </c>
      <c r="H265" s="31" t="n">
        <v>10</v>
      </c>
      <c r="I265" s="31" t="n">
        <v>99199</v>
      </c>
      <c r="J265" s="29" t="n">
        <v>45595</v>
      </c>
      <c r="K265" s="31" t="n">
        <v>9441</v>
      </c>
      <c r="L265" s="30" t="s">
        <v>32</v>
      </c>
      <c r="M265" s="10" t="n">
        <v>3</v>
      </c>
      <c r="N265" s="12" t="n">
        <v>-4993</v>
      </c>
      <c r="O265" s="13" t="n">
        <v>-0.0503287891724823</v>
      </c>
      <c r="P265" s="15" t="n">
        <v>0.0080736619586268</v>
      </c>
      <c r="Q265" s="13" t="n">
        <v>-0.0876933359274427</v>
      </c>
      <c r="R265" s="15" t="n">
        <v>0.0387840670859538</v>
      </c>
      <c r="S265" s="32" t="n">
        <v>27641368400</v>
      </c>
      <c r="T265" s="15" t="n">
        <v>0.0153688524590163</v>
      </c>
      <c r="U265" s="32" t="n">
        <v>9985402381.5</v>
      </c>
      <c r="V265" s="14" t="n">
        <v>2.61102317699169</v>
      </c>
      <c r="W265" s="13" t="n">
        <v>0.0387840670859538</v>
      </c>
      <c r="X265" s="15" t="n">
        <v>0.0141271442986881</v>
      </c>
      <c r="Y265" s="13" t="n">
        <v>0.00086787057879989</v>
      </c>
      <c r="Z265" s="13" t="n">
        <v>-0.00406736010979947</v>
      </c>
      <c r="AA265" s="30" t="s">
        <v>96</v>
      </c>
      <c r="AB265" s="28" t="s">
        <v>94</v>
      </c>
      <c r="AC265" s="28" t="s">
        <v>100</v>
      </c>
      <c r="AD265" s="28" t="s">
        <v>106</v>
      </c>
      <c r="AE265" s="28" t="s">
        <v>112</v>
      </c>
      <c r="AF265" s="28" t="s">
        <v>117</v>
      </c>
      <c r="AG265" s="30" t="s">
        <v>122</v>
      </c>
    </row>
    <row r="266" customFormat="false" ht="15" hidden="false" customHeight="false" outlineLevel="0" collapsed="false">
      <c r="A266" s="10" t="n">
        <v>2024</v>
      </c>
      <c r="B266" s="28" t="s">
        <v>60</v>
      </c>
      <c r="C266" s="29" t="n">
        <v>45594</v>
      </c>
      <c r="D266" s="30" t="s">
        <v>126</v>
      </c>
      <c r="E266" s="28" t="s">
        <v>581</v>
      </c>
      <c r="F266" s="30" t="s">
        <v>582</v>
      </c>
      <c r="G266" s="31" t="n">
        <v>12643</v>
      </c>
      <c r="H266" s="31" t="n">
        <v>7</v>
      </c>
      <c r="I266" s="31" t="n">
        <v>88498</v>
      </c>
      <c r="J266" s="29" t="n">
        <v>45596</v>
      </c>
      <c r="K266" s="31" t="n">
        <v>12028</v>
      </c>
      <c r="L266" s="30" t="s">
        <v>32</v>
      </c>
      <c r="M266" s="10" t="n">
        <v>2</v>
      </c>
      <c r="N266" s="12" t="n">
        <v>-4480</v>
      </c>
      <c r="O266" s="13" t="n">
        <v>-0.0506240328555055</v>
      </c>
      <c r="P266" s="15" t="n">
        <v>0.10261867981583</v>
      </c>
      <c r="Q266" s="13" t="n">
        <v>-0.0753506192936121</v>
      </c>
      <c r="R266" s="15" t="n">
        <v>0.197156398104265</v>
      </c>
      <c r="S266" s="32" t="n">
        <v>117348550650</v>
      </c>
      <c r="T266" s="15" t="n">
        <v>0.0310204081632652</v>
      </c>
      <c r="U266" s="32" t="n">
        <v>28838906375</v>
      </c>
      <c r="V266" s="14" t="n">
        <v>3.61496015511648</v>
      </c>
      <c r="W266" s="13" t="n">
        <v>0.197156398104265</v>
      </c>
      <c r="X266" s="15" t="n">
        <v>0.00950118764845609</v>
      </c>
      <c r="Y266" s="13" t="n">
        <v>0.00205555746948249</v>
      </c>
      <c r="Z266" s="13" t="n">
        <v>0.0183218578597271</v>
      </c>
      <c r="AA266" s="30" t="s">
        <v>97</v>
      </c>
      <c r="AB266" s="28" t="s">
        <v>93</v>
      </c>
      <c r="AC266" s="28" t="s">
        <v>103</v>
      </c>
      <c r="AD266" s="28" t="s">
        <v>109</v>
      </c>
      <c r="AE266" s="28" t="s">
        <v>113</v>
      </c>
      <c r="AF266" s="28" t="s">
        <v>118</v>
      </c>
      <c r="AG266" s="30" t="s">
        <v>122</v>
      </c>
    </row>
    <row r="267" customFormat="false" ht="15" hidden="false" customHeight="false" outlineLevel="0" collapsed="false">
      <c r="A267" s="10" t="n">
        <v>2024</v>
      </c>
      <c r="B267" s="28" t="s">
        <v>60</v>
      </c>
      <c r="C267" s="29" t="n">
        <v>45595</v>
      </c>
      <c r="D267" s="30" t="s">
        <v>127</v>
      </c>
      <c r="E267" s="28" t="s">
        <v>361</v>
      </c>
      <c r="F267" s="30" t="s">
        <v>362</v>
      </c>
      <c r="G267" s="31" t="n">
        <v>58959</v>
      </c>
      <c r="H267" s="31" t="n">
        <v>1</v>
      </c>
      <c r="I267" s="31" t="n">
        <v>58959</v>
      </c>
      <c r="J267" s="29" t="n">
        <v>45600</v>
      </c>
      <c r="K267" s="31" t="n">
        <v>56044</v>
      </c>
      <c r="L267" s="30" t="s">
        <v>32</v>
      </c>
      <c r="M267" s="10" t="n">
        <v>3</v>
      </c>
      <c r="N267" s="12" t="n">
        <v>-3033</v>
      </c>
      <c r="O267" s="13" t="n">
        <v>-0.05144481053751</v>
      </c>
      <c r="P267" s="15" t="n">
        <v>0.0176580634984711</v>
      </c>
      <c r="Q267" s="13" t="n">
        <v>-0.0484897106289296</v>
      </c>
      <c r="R267" s="15" t="n">
        <v>0.0988805970149254</v>
      </c>
      <c r="S267" s="32" t="n">
        <v>31648089100</v>
      </c>
      <c r="T267" s="15" t="n">
        <v>0.0827205882352942</v>
      </c>
      <c r="U267" s="32" t="n">
        <v>11131740250</v>
      </c>
      <c r="V267" s="14" t="n">
        <v>2.38740695140512</v>
      </c>
      <c r="W267" s="13" t="n">
        <v>0.102996254681648</v>
      </c>
      <c r="X267" s="15" t="n">
        <v>0.0101867572156198</v>
      </c>
      <c r="Y267" s="13" t="n">
        <v>-0.0091718236687296</v>
      </c>
      <c r="Z267" s="13" t="n">
        <v>-0.00224263546210601</v>
      </c>
      <c r="AA267" s="30" t="s">
        <v>96</v>
      </c>
      <c r="AB267" s="28" t="s">
        <v>94</v>
      </c>
      <c r="AC267" s="28" t="s">
        <v>101</v>
      </c>
      <c r="AD267" s="28" t="s">
        <v>107</v>
      </c>
      <c r="AE267" s="28" t="s">
        <v>101</v>
      </c>
      <c r="AF267" s="28" t="s">
        <v>117</v>
      </c>
      <c r="AG267" s="30" t="s">
        <v>122</v>
      </c>
    </row>
    <row r="268" customFormat="false" ht="15" hidden="false" customHeight="false" outlineLevel="0" collapsed="false">
      <c r="A268" s="10" t="n">
        <v>2024</v>
      </c>
      <c r="B268" s="28" t="s">
        <v>60</v>
      </c>
      <c r="C268" s="29" t="n">
        <v>45596</v>
      </c>
      <c r="D268" s="30" t="s">
        <v>128</v>
      </c>
      <c r="E268" s="28" t="s">
        <v>583</v>
      </c>
      <c r="F268" s="30" t="s">
        <v>584</v>
      </c>
      <c r="G268" s="31" t="n">
        <v>6758</v>
      </c>
      <c r="H268" s="31" t="n">
        <v>14</v>
      </c>
      <c r="I268" s="31" t="n">
        <v>94616</v>
      </c>
      <c r="J268" s="29" t="n">
        <v>45597</v>
      </c>
      <c r="K268" s="31" t="n">
        <v>6434</v>
      </c>
      <c r="L268" s="30" t="s">
        <v>32</v>
      </c>
      <c r="M268" s="10" t="n">
        <v>1</v>
      </c>
      <c r="N268" s="12" t="n">
        <v>-4736</v>
      </c>
      <c r="O268" s="13" t="n">
        <v>-0.05005002843191</v>
      </c>
      <c r="P268" s="15" t="n">
        <v>0.0478939050367624</v>
      </c>
      <c r="Q268" s="13" t="n">
        <v>-0.0631062059633486</v>
      </c>
      <c r="R268" s="15" t="n">
        <v>0.0784593437945791</v>
      </c>
      <c r="S268" s="32" t="n">
        <v>52139906280</v>
      </c>
      <c r="T268" s="15" t="n">
        <v>0.0470914127423823</v>
      </c>
      <c r="U268" s="32" t="n">
        <v>5800105323.5</v>
      </c>
      <c r="V268" s="14" t="n">
        <v>7.91179956965159</v>
      </c>
      <c r="W268" s="13" t="n">
        <v>0.0662905500705218</v>
      </c>
      <c r="X268" s="15" t="n">
        <v>0.117724867724868</v>
      </c>
      <c r="Y268" s="13" t="n">
        <v>-0.0145115834358217</v>
      </c>
      <c r="Z268" s="13" t="n">
        <v>-0.00963956250024223</v>
      </c>
      <c r="AA268" s="30" t="s">
        <v>96</v>
      </c>
      <c r="AB268" s="28" t="s">
        <v>94</v>
      </c>
      <c r="AC268" s="28" t="s">
        <v>101</v>
      </c>
      <c r="AD268" s="28" t="s">
        <v>108</v>
      </c>
      <c r="AE268" s="28" t="s">
        <v>113</v>
      </c>
      <c r="AF268" s="28" t="s">
        <v>119</v>
      </c>
      <c r="AG268" s="30" t="s">
        <v>122</v>
      </c>
    </row>
    <row r="269" customFormat="false" ht="15" hidden="false" customHeight="false" outlineLevel="0" collapsed="false">
      <c r="A269" s="10" t="n">
        <v>2024</v>
      </c>
      <c r="B269" s="28" t="s">
        <v>61</v>
      </c>
      <c r="C269" s="29" t="n">
        <v>45597</v>
      </c>
      <c r="D269" s="30" t="s">
        <v>129</v>
      </c>
      <c r="E269" s="28" t="s">
        <v>373</v>
      </c>
      <c r="F269" s="30" t="s">
        <v>374</v>
      </c>
      <c r="G269" s="31" t="n">
        <v>19039</v>
      </c>
      <c r="H269" s="31" t="n">
        <v>5</v>
      </c>
      <c r="I269" s="31" t="n">
        <v>95195</v>
      </c>
      <c r="J269" s="29" t="n">
        <v>45602</v>
      </c>
      <c r="K269" s="31" t="n">
        <v>18122</v>
      </c>
      <c r="L269" s="30" t="s">
        <v>32</v>
      </c>
      <c r="M269" s="10" t="n">
        <v>3</v>
      </c>
      <c r="N269" s="12" t="n">
        <v>-4777</v>
      </c>
      <c r="O269" s="13" t="n">
        <v>-0.0501787108790262</v>
      </c>
      <c r="P269" s="15" t="n">
        <v>0.0310404632171195</v>
      </c>
      <c r="Q269" s="13" t="n">
        <v>-0.0729564862056974</v>
      </c>
      <c r="R269" s="15" t="n">
        <v>0.0584307178631052</v>
      </c>
      <c r="S269" s="32" t="n">
        <v>76011489960</v>
      </c>
      <c r="T269" s="15" t="n">
        <v>0.00848356309650056</v>
      </c>
      <c r="U269" s="32" t="n">
        <v>6513779839</v>
      </c>
      <c r="V269" s="14" t="n">
        <v>10.6142843521562</v>
      </c>
      <c r="W269" s="13" t="n">
        <v>0.0862364363221018</v>
      </c>
      <c r="X269" s="15" t="n">
        <v>0.133017875920084</v>
      </c>
      <c r="Y269" s="13" t="n">
        <v>-0.00539483207167024</v>
      </c>
      <c r="Z269" s="13" t="n">
        <v>-0.0158365172823591</v>
      </c>
      <c r="AA269" s="30" t="s">
        <v>96</v>
      </c>
      <c r="AB269" s="28" t="s">
        <v>94</v>
      </c>
      <c r="AC269" s="28" t="s">
        <v>101</v>
      </c>
      <c r="AD269" s="28" t="s">
        <v>108</v>
      </c>
      <c r="AE269" s="28" t="s">
        <v>112</v>
      </c>
      <c r="AF269" s="28" t="s">
        <v>120</v>
      </c>
      <c r="AG269" s="30" t="s">
        <v>122</v>
      </c>
    </row>
    <row r="270" customFormat="false" ht="15" hidden="false" customHeight="false" outlineLevel="0" collapsed="false">
      <c r="A270" s="10" t="n">
        <v>2024</v>
      </c>
      <c r="B270" s="28" t="s">
        <v>61</v>
      </c>
      <c r="C270" s="29" t="n">
        <v>45600</v>
      </c>
      <c r="D270" s="30" t="s">
        <v>125</v>
      </c>
      <c r="E270" s="28" t="s">
        <v>385</v>
      </c>
      <c r="F270" s="28" t="s">
        <v>386</v>
      </c>
      <c r="G270" s="31" t="n">
        <v>17878</v>
      </c>
      <c r="H270" s="31" t="n">
        <v>5</v>
      </c>
      <c r="I270" s="31" t="n">
        <v>89389</v>
      </c>
      <c r="J270" s="29" t="n">
        <v>45602</v>
      </c>
      <c r="K270" s="31" t="n">
        <v>17013</v>
      </c>
      <c r="L270" s="30" t="s">
        <v>32</v>
      </c>
      <c r="M270" s="10" t="n">
        <v>2</v>
      </c>
      <c r="N270" s="12" t="n">
        <v>-4504</v>
      </c>
      <c r="O270" s="13" t="n">
        <v>-0.0503833775686797</v>
      </c>
      <c r="P270" s="15" t="n">
        <v>-0.00211770312554171</v>
      </c>
      <c r="Q270" s="13" t="n">
        <v>-0.0485438413769879</v>
      </c>
      <c r="R270" s="15" t="n">
        <v>0.0462800234329233</v>
      </c>
      <c r="S270" s="32" t="n">
        <v>25390633280</v>
      </c>
      <c r="T270" s="15" t="n">
        <v>0.0234957020057307</v>
      </c>
      <c r="U270" s="32" t="n">
        <v>16617248020</v>
      </c>
      <c r="V270" s="14" t="n">
        <v>1.46579548811914</v>
      </c>
      <c r="W270" s="13" t="n">
        <v>0.0438340151957919</v>
      </c>
      <c r="X270" s="15" t="n">
        <v>0</v>
      </c>
      <c r="Y270" s="13" t="n">
        <v>0.0183333595556883</v>
      </c>
      <c r="Z270" s="13" t="n">
        <v>-0.0089801449225434</v>
      </c>
      <c r="AA270" s="30" t="s">
        <v>96</v>
      </c>
      <c r="AB270" s="28" t="s">
        <v>94</v>
      </c>
      <c r="AC270" s="28" t="s">
        <v>100</v>
      </c>
      <c r="AD270" s="28" t="s">
        <v>106</v>
      </c>
      <c r="AE270" s="28" t="s">
        <v>113</v>
      </c>
      <c r="AF270" s="28" t="s">
        <v>116</v>
      </c>
      <c r="AG270" s="30" t="s">
        <v>122</v>
      </c>
    </row>
    <row r="271" customFormat="false" ht="15" hidden="false" customHeight="false" outlineLevel="0" collapsed="false">
      <c r="A271" s="10" t="n">
        <v>2024</v>
      </c>
      <c r="B271" s="28" t="s">
        <v>61</v>
      </c>
      <c r="C271" s="29" t="n">
        <v>45601</v>
      </c>
      <c r="D271" s="30" t="s">
        <v>126</v>
      </c>
      <c r="E271" s="28" t="s">
        <v>503</v>
      </c>
      <c r="F271" s="28" t="s">
        <v>504</v>
      </c>
      <c r="G271" s="31" t="n">
        <v>11271</v>
      </c>
      <c r="H271" s="31" t="n">
        <v>8</v>
      </c>
      <c r="I271" s="31" t="n">
        <v>90170</v>
      </c>
      <c r="J271" s="29" t="n">
        <v>45602</v>
      </c>
      <c r="K271" s="31" t="n">
        <v>10729</v>
      </c>
      <c r="L271" s="30" t="s">
        <v>32</v>
      </c>
      <c r="M271" s="10" t="n">
        <v>1</v>
      </c>
      <c r="N271" s="12" t="n">
        <v>-4517</v>
      </c>
      <c r="O271" s="13" t="n">
        <v>-0.0500931347515716</v>
      </c>
      <c r="P271" s="15" t="n">
        <v>0.00964754605962437</v>
      </c>
      <c r="Q271" s="13" t="n">
        <v>-0.108351683840138</v>
      </c>
      <c r="R271" s="15" t="n">
        <v>0.26374859708193</v>
      </c>
      <c r="S271" s="32" t="n">
        <v>285343736120</v>
      </c>
      <c r="T271" s="15" t="n">
        <v>0.121513944223108</v>
      </c>
      <c r="U271" s="32" t="n">
        <v>5769527588</v>
      </c>
      <c r="V271" s="14" t="n">
        <v>38.054504215804</v>
      </c>
      <c r="W271" s="13" t="n">
        <v>0.26374859708193</v>
      </c>
      <c r="X271" s="15" t="n">
        <v>0.0115452930728242</v>
      </c>
      <c r="Y271" s="13" t="n">
        <v>-0.00466981077416873</v>
      </c>
      <c r="Z271" s="13" t="n">
        <v>-0.0156314462525785</v>
      </c>
      <c r="AA271" s="30" t="s">
        <v>96</v>
      </c>
      <c r="AB271" s="28" t="s">
        <v>94</v>
      </c>
      <c r="AC271" s="28" t="s">
        <v>104</v>
      </c>
      <c r="AD271" s="28" t="s">
        <v>110</v>
      </c>
      <c r="AE271" s="28" t="s">
        <v>114</v>
      </c>
      <c r="AF271" s="28" t="s">
        <v>120</v>
      </c>
      <c r="AG271" s="30" t="s">
        <v>122</v>
      </c>
    </row>
    <row r="272" customFormat="false" ht="15" hidden="false" customHeight="false" outlineLevel="0" collapsed="false">
      <c r="A272" s="10" t="n">
        <v>2024</v>
      </c>
      <c r="B272" s="28" t="s">
        <v>61</v>
      </c>
      <c r="C272" s="29" t="n">
        <v>45601</v>
      </c>
      <c r="D272" s="30" t="s">
        <v>126</v>
      </c>
      <c r="E272" s="28" t="s">
        <v>211</v>
      </c>
      <c r="F272" s="30" t="s">
        <v>212</v>
      </c>
      <c r="G272" s="31" t="n">
        <v>39439</v>
      </c>
      <c r="H272" s="31" t="n">
        <v>2</v>
      </c>
      <c r="I272" s="31" t="n">
        <v>78879</v>
      </c>
      <c r="J272" s="29" t="n">
        <v>45604</v>
      </c>
      <c r="K272" s="31" t="n">
        <v>37512</v>
      </c>
      <c r="L272" s="30" t="s">
        <v>32</v>
      </c>
      <c r="M272" s="10" t="n">
        <v>3</v>
      </c>
      <c r="N272" s="12" t="n">
        <v>-4012</v>
      </c>
      <c r="O272" s="13" t="n">
        <v>-0.0508632278254741</v>
      </c>
      <c r="P272" s="15" t="n">
        <v>0.0104109088880664</v>
      </c>
      <c r="Q272" s="13" t="n">
        <v>-0.0555130149038777</v>
      </c>
      <c r="R272" s="15" t="n">
        <v>0.0750341064120055</v>
      </c>
      <c r="S272" s="32" t="n">
        <v>59306140800</v>
      </c>
      <c r="T272" s="15" t="n">
        <v>0.0154639175257731</v>
      </c>
      <c r="U272" s="32" t="n">
        <v>13326582475</v>
      </c>
      <c r="V272" s="14" t="n">
        <v>4.14022841461531</v>
      </c>
      <c r="W272" s="13" t="n">
        <v>0.0605652759084792</v>
      </c>
      <c r="X272" s="15" t="n">
        <v>0.016497461928934</v>
      </c>
      <c r="Y272" s="13" t="n">
        <v>-0.00466981077416873</v>
      </c>
      <c r="Z272" s="13" t="n">
        <v>-0.0156314462525785</v>
      </c>
      <c r="AA272" s="30" t="s">
        <v>96</v>
      </c>
      <c r="AB272" s="28" t="s">
        <v>94</v>
      </c>
      <c r="AC272" s="28" t="s">
        <v>101</v>
      </c>
      <c r="AD272" s="28" t="s">
        <v>108</v>
      </c>
      <c r="AE272" s="28" t="s">
        <v>112</v>
      </c>
      <c r="AF272" s="28" t="s">
        <v>118</v>
      </c>
      <c r="AG272" s="30" t="s">
        <v>122</v>
      </c>
    </row>
    <row r="273" customFormat="false" ht="15" hidden="false" customHeight="false" outlineLevel="0" collapsed="false">
      <c r="A273" s="10" t="n">
        <v>2024</v>
      </c>
      <c r="B273" s="28" t="s">
        <v>61</v>
      </c>
      <c r="C273" s="29" t="n">
        <v>45602</v>
      </c>
      <c r="D273" s="30" t="s">
        <v>127</v>
      </c>
      <c r="E273" s="28" t="s">
        <v>585</v>
      </c>
      <c r="F273" s="30" t="s">
        <v>586</v>
      </c>
      <c r="G273" s="31" t="n">
        <v>54354</v>
      </c>
      <c r="H273" s="31" t="n">
        <v>1</v>
      </c>
      <c r="I273" s="31" t="n">
        <v>54354</v>
      </c>
      <c r="J273" s="29" t="n">
        <v>45607</v>
      </c>
      <c r="K273" s="31" t="n">
        <v>65300</v>
      </c>
      <c r="L273" s="30" t="s">
        <v>31</v>
      </c>
      <c r="M273" s="10" t="n">
        <v>3</v>
      </c>
      <c r="N273" s="12" t="n">
        <v>10810</v>
      </c>
      <c r="O273" s="13" t="n">
        <v>0.198884207045257</v>
      </c>
      <c r="P273" s="15" t="n">
        <v>0.205056453675238</v>
      </c>
      <c r="Q273" s="13" t="n">
        <v>-0.0230763711426694</v>
      </c>
      <c r="R273" s="15" t="n">
        <v>0.167741935483871</v>
      </c>
      <c r="S273" s="32" t="n">
        <v>206755286400</v>
      </c>
      <c r="T273" s="15" t="n">
        <v>0.162740899357602</v>
      </c>
      <c r="U273" s="32" t="n">
        <v>21693274247.5</v>
      </c>
      <c r="V273" s="14" t="n">
        <v>7.63273068342708</v>
      </c>
      <c r="W273" s="13" t="n">
        <v>0.12655601659751</v>
      </c>
      <c r="X273" s="15" t="n">
        <v>0.0534069981583794</v>
      </c>
      <c r="Y273" s="13" t="n">
        <v>-0.0051884449411691</v>
      </c>
      <c r="Z273" s="13" t="n">
        <v>-0.0116740368341307</v>
      </c>
      <c r="AA273" s="30" t="s">
        <v>96</v>
      </c>
      <c r="AB273" s="28" t="s">
        <v>94</v>
      </c>
      <c r="AC273" s="28" t="s">
        <v>103</v>
      </c>
      <c r="AD273" s="28" t="s">
        <v>110</v>
      </c>
      <c r="AE273" s="28" t="s">
        <v>114</v>
      </c>
      <c r="AF273" s="28" t="s">
        <v>119</v>
      </c>
      <c r="AG273" s="30" t="s">
        <v>122</v>
      </c>
    </row>
    <row r="274" customFormat="false" ht="15" hidden="false" customHeight="false" outlineLevel="0" collapsed="false">
      <c r="A274" s="10" t="n">
        <v>2024</v>
      </c>
      <c r="B274" s="28" t="s">
        <v>61</v>
      </c>
      <c r="C274" s="29" t="n">
        <v>45602</v>
      </c>
      <c r="D274" s="30" t="s">
        <v>127</v>
      </c>
      <c r="E274" s="28" t="s">
        <v>531</v>
      </c>
      <c r="F274" s="30" t="s">
        <v>532</v>
      </c>
      <c r="G274" s="31" t="n">
        <v>9810</v>
      </c>
      <c r="H274" s="31" t="n">
        <v>10</v>
      </c>
      <c r="I274" s="31" t="n">
        <v>98098</v>
      </c>
      <c r="J274" s="29" t="n">
        <v>45603</v>
      </c>
      <c r="K274" s="31" t="n">
        <v>9331</v>
      </c>
      <c r="L274" s="30" t="s">
        <v>32</v>
      </c>
      <c r="M274" s="10" t="n">
        <v>1</v>
      </c>
      <c r="N274" s="12" t="n">
        <v>-4988</v>
      </c>
      <c r="O274" s="13" t="n">
        <v>-0.0508477499031582</v>
      </c>
      <c r="P274" s="15" t="n">
        <v>0.0285632734612327</v>
      </c>
      <c r="Q274" s="13" t="n">
        <v>-0.0825501029582662</v>
      </c>
      <c r="R274" s="15" t="n">
        <v>0.232704402515723</v>
      </c>
      <c r="S274" s="32" t="n">
        <v>123706037000</v>
      </c>
      <c r="T274" s="15" t="n">
        <v>0.111111111111111</v>
      </c>
      <c r="U274" s="32" t="n">
        <v>10406336054.5</v>
      </c>
      <c r="V274" s="14" t="n">
        <v>10.2172549712845</v>
      </c>
      <c r="W274" s="13" t="n">
        <v>0.240506329113924</v>
      </c>
      <c r="X274" s="15" t="n">
        <v>0</v>
      </c>
      <c r="Y274" s="13" t="n">
        <v>-0.0051884449411691</v>
      </c>
      <c r="Z274" s="13" t="n">
        <v>-0.0116740368341307</v>
      </c>
      <c r="AA274" s="30" t="s">
        <v>96</v>
      </c>
      <c r="AB274" s="28" t="s">
        <v>94</v>
      </c>
      <c r="AC274" s="28" t="s">
        <v>104</v>
      </c>
      <c r="AD274" s="28" t="s">
        <v>109</v>
      </c>
      <c r="AE274" s="28" t="s">
        <v>114</v>
      </c>
      <c r="AF274" s="28" t="s">
        <v>120</v>
      </c>
      <c r="AG274" s="30" t="s">
        <v>122</v>
      </c>
    </row>
    <row r="275" customFormat="false" ht="15" hidden="false" customHeight="false" outlineLevel="0" collapsed="false">
      <c r="A275" s="10" t="n">
        <v>2024</v>
      </c>
      <c r="B275" s="28" t="s">
        <v>61</v>
      </c>
      <c r="C275" s="29" t="n">
        <v>45602</v>
      </c>
      <c r="D275" s="30" t="s">
        <v>127</v>
      </c>
      <c r="E275" s="28" t="s">
        <v>587</v>
      </c>
      <c r="F275" s="30" t="s">
        <v>588</v>
      </c>
      <c r="G275" s="31" t="n">
        <v>42022</v>
      </c>
      <c r="H275" s="31" t="n">
        <v>2</v>
      </c>
      <c r="I275" s="31" t="n">
        <v>84044</v>
      </c>
      <c r="J275" s="29" t="n">
        <v>45608</v>
      </c>
      <c r="K275" s="31" t="n">
        <v>50500</v>
      </c>
      <c r="L275" s="30" t="s">
        <v>31</v>
      </c>
      <c r="M275" s="10" t="n">
        <v>4</v>
      </c>
      <c r="N275" s="12" t="n">
        <v>16746</v>
      </c>
      <c r="O275" s="13" t="n">
        <v>0.199254249427342</v>
      </c>
      <c r="P275" s="15" t="n">
        <v>0.208667875334542</v>
      </c>
      <c r="Q275" s="13" t="n">
        <v>-0.0223020526050829</v>
      </c>
      <c r="R275" s="15" t="n">
        <v>0.0581947743467934</v>
      </c>
      <c r="S275" s="32" t="n">
        <v>27424534500</v>
      </c>
      <c r="T275" s="15" t="n">
        <v>0.0360465116279072</v>
      </c>
      <c r="U275" s="32" t="n">
        <v>13452820575</v>
      </c>
      <c r="V275" s="14" t="n">
        <v>1.78139116292933</v>
      </c>
      <c r="W275" s="13" t="n">
        <v>0.051948051948052</v>
      </c>
      <c r="X275" s="15" t="n">
        <v>0.108866442199775</v>
      </c>
      <c r="Y275" s="13" t="n">
        <v>-0.0051884449411691</v>
      </c>
      <c r="Z275" s="13" t="n">
        <v>-0.0116740368341307</v>
      </c>
      <c r="AA275" s="30" t="s">
        <v>96</v>
      </c>
      <c r="AB275" s="28" t="s">
        <v>94</v>
      </c>
      <c r="AC275" s="28" t="s">
        <v>101</v>
      </c>
      <c r="AD275" s="28" t="s">
        <v>106</v>
      </c>
      <c r="AE275" s="28" t="s">
        <v>113</v>
      </c>
      <c r="AF275" s="28" t="s">
        <v>116</v>
      </c>
      <c r="AG275" s="30" t="s">
        <v>122</v>
      </c>
    </row>
    <row r="276" customFormat="false" ht="15" hidden="false" customHeight="false" outlineLevel="0" collapsed="false">
      <c r="A276" s="10" t="n">
        <v>2024</v>
      </c>
      <c r="B276" s="28" t="s">
        <v>61</v>
      </c>
      <c r="C276" s="29" t="n">
        <v>45603</v>
      </c>
      <c r="D276" s="30" t="s">
        <v>128</v>
      </c>
      <c r="E276" s="28" t="s">
        <v>589</v>
      </c>
      <c r="F276" s="30" t="s">
        <v>590</v>
      </c>
      <c r="G276" s="31" t="n">
        <v>33884</v>
      </c>
      <c r="H276" s="31" t="n">
        <v>2</v>
      </c>
      <c r="I276" s="31" t="n">
        <v>67768</v>
      </c>
      <c r="J276" s="29" t="n">
        <v>45611</v>
      </c>
      <c r="K276" s="31" t="n">
        <v>40700</v>
      </c>
      <c r="L276" s="30" t="s">
        <v>31</v>
      </c>
      <c r="M276" s="10" t="n">
        <v>6</v>
      </c>
      <c r="N276" s="12" t="n">
        <v>13463</v>
      </c>
      <c r="O276" s="13" t="n">
        <v>0.198669939292613</v>
      </c>
      <c r="P276" s="15" t="n">
        <v>0.211491610309927</v>
      </c>
      <c r="Q276" s="13" t="n">
        <v>-0.00690151797980454</v>
      </c>
      <c r="R276" s="15" t="n">
        <v>0.217625899280576</v>
      </c>
      <c r="S276" s="32" t="n">
        <v>468423611600</v>
      </c>
      <c r="T276" s="15" t="n">
        <v>0.0678233438485805</v>
      </c>
      <c r="U276" s="32" t="n">
        <v>24366907985</v>
      </c>
      <c r="V276" s="14" t="n">
        <v>16.6479355252051</v>
      </c>
      <c r="W276" s="13" t="n">
        <v>0.202486678507993</v>
      </c>
      <c r="X276" s="15" t="n">
        <v>0.00295420974889216</v>
      </c>
      <c r="Y276" s="13" t="n">
        <v>0.000436900967813569</v>
      </c>
      <c r="Z276" s="13" t="n">
        <v>0.00331748919273123</v>
      </c>
      <c r="AA276" s="30" t="s">
        <v>96</v>
      </c>
      <c r="AB276" s="28" t="s">
        <v>93</v>
      </c>
      <c r="AC276" s="28" t="s">
        <v>104</v>
      </c>
      <c r="AD276" s="28" t="s">
        <v>110</v>
      </c>
      <c r="AE276" s="28" t="s">
        <v>101</v>
      </c>
      <c r="AF276" s="28" t="s">
        <v>120</v>
      </c>
      <c r="AG276" s="30" t="s">
        <v>122</v>
      </c>
    </row>
    <row r="277" customFormat="false" ht="15" hidden="false" customHeight="false" outlineLevel="0" collapsed="false">
      <c r="A277" s="10" t="n">
        <v>2024</v>
      </c>
      <c r="B277" s="28" t="s">
        <v>61</v>
      </c>
      <c r="C277" s="29" t="n">
        <v>45603</v>
      </c>
      <c r="D277" s="30" t="s">
        <v>128</v>
      </c>
      <c r="E277" s="28" t="s">
        <v>591</v>
      </c>
      <c r="F277" s="30" t="s">
        <v>592</v>
      </c>
      <c r="G277" s="31" t="n">
        <v>10841</v>
      </c>
      <c r="H277" s="31" t="n">
        <v>9</v>
      </c>
      <c r="I277" s="31" t="n">
        <v>97567</v>
      </c>
      <c r="J277" s="29" t="n">
        <v>45635</v>
      </c>
      <c r="K277" s="31" t="n">
        <v>10290</v>
      </c>
      <c r="L277" s="30" t="s">
        <v>32</v>
      </c>
      <c r="M277" s="10" t="n">
        <v>22</v>
      </c>
      <c r="N277" s="12" t="n">
        <v>-5155</v>
      </c>
      <c r="O277" s="13" t="n">
        <v>-0.0528392235188634</v>
      </c>
      <c r="P277" s="15" t="n">
        <v>0.133677033954043</v>
      </c>
      <c r="Q277" s="13" t="n">
        <v>-0.0821735974090543</v>
      </c>
      <c r="R277" s="15" t="n">
        <v>0.091733870967742</v>
      </c>
      <c r="S277" s="32" t="n">
        <v>264339603870</v>
      </c>
      <c r="T277" s="15" t="n">
        <v>0.0565853658536586</v>
      </c>
      <c r="U277" s="32" t="n">
        <v>32964679063</v>
      </c>
      <c r="V277" s="14" t="n">
        <v>7.34076749748094</v>
      </c>
      <c r="W277" s="13" t="n">
        <v>0.086258776328987</v>
      </c>
      <c r="X277" s="15" t="n">
        <v>0.0138504155124655</v>
      </c>
      <c r="Y277" s="13" t="n">
        <v>0.000436900967813569</v>
      </c>
      <c r="Z277" s="13" t="n">
        <v>0.00331748919273123</v>
      </c>
      <c r="AA277" s="30" t="s">
        <v>96</v>
      </c>
      <c r="AB277" s="28" t="s">
        <v>93</v>
      </c>
      <c r="AC277" s="28" t="s">
        <v>101</v>
      </c>
      <c r="AD277" s="28" t="s">
        <v>110</v>
      </c>
      <c r="AE277" s="28" t="s">
        <v>101</v>
      </c>
      <c r="AF277" s="28" t="s">
        <v>119</v>
      </c>
      <c r="AG277" s="30" t="s">
        <v>122</v>
      </c>
    </row>
    <row r="278" customFormat="false" ht="15" hidden="false" customHeight="false" outlineLevel="0" collapsed="false">
      <c r="A278" s="10" t="n">
        <v>2024</v>
      </c>
      <c r="B278" s="28" t="s">
        <v>61</v>
      </c>
      <c r="C278" s="29" t="n">
        <v>45603</v>
      </c>
      <c r="D278" s="30" t="s">
        <v>128</v>
      </c>
      <c r="E278" s="28" t="s">
        <v>593</v>
      </c>
      <c r="F278" s="30" t="s">
        <v>594</v>
      </c>
      <c r="G278" s="31" t="n">
        <v>21221</v>
      </c>
      <c r="H278" s="31" t="n">
        <v>4</v>
      </c>
      <c r="I278" s="31" t="n">
        <v>84885</v>
      </c>
      <c r="J278" s="29" t="n">
        <v>45604</v>
      </c>
      <c r="K278" s="31" t="n">
        <v>20180</v>
      </c>
      <c r="L278" s="30" t="s">
        <v>32</v>
      </c>
      <c r="M278" s="10" t="n">
        <v>1</v>
      </c>
      <c r="N278" s="12" t="n">
        <v>-4336</v>
      </c>
      <c r="O278" s="13" t="n">
        <v>-0.0510778744840067</v>
      </c>
      <c r="P278" s="15" t="n">
        <v>-0.00335513543060695</v>
      </c>
      <c r="Q278" s="13" t="n">
        <v>-0.0504778240627296</v>
      </c>
      <c r="R278" s="15" t="n">
        <v>0.127659574468085</v>
      </c>
      <c r="S278" s="32" t="n">
        <v>106396864000</v>
      </c>
      <c r="T278" s="15" t="n">
        <v>0.0366748166259168</v>
      </c>
      <c r="U278" s="32" t="n">
        <v>3896680367.5</v>
      </c>
      <c r="V278" s="14" t="n">
        <v>24.6678513859668</v>
      </c>
      <c r="W278" s="13" t="n">
        <v>0.109947643979058</v>
      </c>
      <c r="X278" s="15" t="n">
        <v>0.0613207547169812</v>
      </c>
      <c r="Y278" s="13" t="n">
        <v>0.000436900967813569</v>
      </c>
      <c r="Z278" s="13" t="n">
        <v>0.00331748919273123</v>
      </c>
      <c r="AA278" s="30" t="s">
        <v>96</v>
      </c>
      <c r="AB278" s="28" t="s">
        <v>93</v>
      </c>
      <c r="AC278" s="28" t="s">
        <v>102</v>
      </c>
      <c r="AD278" s="28" t="s">
        <v>109</v>
      </c>
      <c r="AE278" s="28" t="s">
        <v>113</v>
      </c>
      <c r="AF278" s="28" t="s">
        <v>120</v>
      </c>
      <c r="AG278" s="30" t="s">
        <v>122</v>
      </c>
    </row>
    <row r="279" customFormat="false" ht="15" hidden="false" customHeight="false" outlineLevel="0" collapsed="false">
      <c r="A279" s="10" t="n">
        <v>2024</v>
      </c>
      <c r="B279" s="28" t="s">
        <v>61</v>
      </c>
      <c r="C279" s="29" t="n">
        <v>45604</v>
      </c>
      <c r="D279" s="30" t="s">
        <v>129</v>
      </c>
      <c r="E279" s="28" t="s">
        <v>229</v>
      </c>
      <c r="F279" s="30" t="s">
        <v>230</v>
      </c>
      <c r="G279" s="31" t="n">
        <v>34885</v>
      </c>
      <c r="H279" s="31" t="n">
        <v>2</v>
      </c>
      <c r="I279" s="31" t="n">
        <v>69770</v>
      </c>
      <c r="J279" s="29" t="n">
        <v>45607</v>
      </c>
      <c r="K279" s="31" t="n">
        <v>33167</v>
      </c>
      <c r="L279" s="30" t="s">
        <v>32</v>
      </c>
      <c r="M279" s="10" t="n">
        <v>1</v>
      </c>
      <c r="N279" s="12" t="n">
        <v>-3576</v>
      </c>
      <c r="O279" s="13" t="n">
        <v>-0.0512531367484741</v>
      </c>
      <c r="P279" s="15" t="n">
        <v>-0.0067321487694515</v>
      </c>
      <c r="Q279" s="13" t="n">
        <v>-0.0654969134165691</v>
      </c>
      <c r="R279" s="15" t="n">
        <v>0.0560606060606061</v>
      </c>
      <c r="S279" s="32" t="n">
        <v>30480890350</v>
      </c>
      <c r="T279" s="15" t="n">
        <v>0.0190058479532165</v>
      </c>
      <c r="U279" s="32" t="n">
        <v>22039034997.5</v>
      </c>
      <c r="V279" s="14" t="n">
        <v>1.29521417849406</v>
      </c>
      <c r="W279" s="13" t="n">
        <v>0.0434131736526946</v>
      </c>
      <c r="X279" s="15" t="n">
        <v>0.0071736011477761</v>
      </c>
      <c r="Y279" s="13" t="n">
        <v>-0.00135692088137474</v>
      </c>
      <c r="Z279" s="13" t="n">
        <v>0.00739077077990524</v>
      </c>
      <c r="AA279" s="30" t="s">
        <v>96</v>
      </c>
      <c r="AB279" s="28" t="s">
        <v>93</v>
      </c>
      <c r="AC279" s="28" t="s">
        <v>101</v>
      </c>
      <c r="AD279" s="28" t="s">
        <v>107</v>
      </c>
      <c r="AE279" s="28" t="s">
        <v>112</v>
      </c>
      <c r="AF279" s="28" t="s">
        <v>116</v>
      </c>
      <c r="AG279" s="30" t="s">
        <v>122</v>
      </c>
    </row>
    <row r="280" customFormat="false" ht="15" hidden="false" customHeight="false" outlineLevel="0" collapsed="false">
      <c r="A280" s="10" t="n">
        <v>2024</v>
      </c>
      <c r="B280" s="28" t="s">
        <v>61</v>
      </c>
      <c r="C280" s="29" t="n">
        <v>45604</v>
      </c>
      <c r="D280" s="30" t="s">
        <v>129</v>
      </c>
      <c r="E280" s="28" t="s">
        <v>595</v>
      </c>
      <c r="F280" s="30" t="s">
        <v>596</v>
      </c>
      <c r="G280" s="31" t="n">
        <v>10860</v>
      </c>
      <c r="H280" s="31" t="n">
        <v>9</v>
      </c>
      <c r="I280" s="31" t="n">
        <v>97741</v>
      </c>
      <c r="J280" s="29" t="n">
        <v>45608</v>
      </c>
      <c r="K280" s="31" t="n">
        <v>10190</v>
      </c>
      <c r="L280" s="30" t="s">
        <v>32</v>
      </c>
      <c r="M280" s="10" t="n">
        <v>2</v>
      </c>
      <c r="N280" s="12" t="n">
        <v>-6229</v>
      </c>
      <c r="O280" s="13" t="n">
        <v>-0.0637249465611994</v>
      </c>
      <c r="P280" s="15" t="n">
        <v>0.0521629146906311</v>
      </c>
      <c r="Q280" s="13" t="n">
        <v>-0.129030614618198</v>
      </c>
      <c r="R280" s="15" t="n">
        <v>0.156410256410257</v>
      </c>
      <c r="S280" s="32" t="n">
        <v>23563462395</v>
      </c>
      <c r="T280" s="15" t="n">
        <v>0.00445434298440994</v>
      </c>
      <c r="U280" s="32" t="n">
        <v>6154164586.9</v>
      </c>
      <c r="V280" s="14" t="n">
        <v>3.59706189010871</v>
      </c>
      <c r="W280" s="13" t="n">
        <v>0.121890547263682</v>
      </c>
      <c r="X280" s="15" t="n">
        <v>0.0643015521064301</v>
      </c>
      <c r="Y280" s="13" t="n">
        <v>-0.00135692088137474</v>
      </c>
      <c r="Z280" s="13" t="n">
        <v>0.00739077077990524</v>
      </c>
      <c r="AA280" s="30" t="s">
        <v>96</v>
      </c>
      <c r="AB280" s="28" t="s">
        <v>93</v>
      </c>
      <c r="AC280" s="28" t="s">
        <v>103</v>
      </c>
      <c r="AD280" s="28" t="s">
        <v>106</v>
      </c>
      <c r="AE280" s="28" t="s">
        <v>112</v>
      </c>
      <c r="AF280" s="28" t="s">
        <v>118</v>
      </c>
      <c r="AG280" s="30" t="s">
        <v>122</v>
      </c>
    </row>
    <row r="281" customFormat="false" ht="15" hidden="false" customHeight="false" outlineLevel="0" collapsed="false">
      <c r="A281" s="10" t="n">
        <v>2024</v>
      </c>
      <c r="B281" s="28" t="s">
        <v>61</v>
      </c>
      <c r="C281" s="29" t="n">
        <v>45608</v>
      </c>
      <c r="D281" s="30" t="s">
        <v>126</v>
      </c>
      <c r="E281" s="28" t="s">
        <v>525</v>
      </c>
      <c r="F281" s="30" t="s">
        <v>526</v>
      </c>
      <c r="G281" s="31" t="n">
        <v>20721</v>
      </c>
      <c r="H281" s="31" t="n">
        <v>4</v>
      </c>
      <c r="I281" s="31" t="n">
        <v>82883</v>
      </c>
      <c r="J281" s="29" t="n">
        <v>45609</v>
      </c>
      <c r="K281" s="31" t="n">
        <v>19720</v>
      </c>
      <c r="L281" s="30" t="s">
        <v>32</v>
      </c>
      <c r="M281" s="10" t="n">
        <v>1</v>
      </c>
      <c r="N281" s="12" t="n">
        <v>-4168</v>
      </c>
      <c r="O281" s="13" t="n">
        <v>-0.0502880024323503</v>
      </c>
      <c r="P281" s="15" t="n">
        <v>-0.0178903222381482</v>
      </c>
      <c r="Q281" s="13" t="n">
        <v>-0.0878686530860443</v>
      </c>
      <c r="R281" s="15" t="n">
        <v>0.131147540983607</v>
      </c>
      <c r="S281" s="32" t="n">
        <v>75308752800</v>
      </c>
      <c r="T281" s="15" t="n">
        <v>0.131147540983607</v>
      </c>
      <c r="U281" s="32" t="n">
        <v>5575792453</v>
      </c>
      <c r="V281" s="14" t="n">
        <v>11.1528337519614</v>
      </c>
      <c r="W281" s="13" t="n">
        <v>0.129296235679214</v>
      </c>
      <c r="X281" s="15" t="n">
        <v>0.0241545893719808</v>
      </c>
      <c r="Y281" s="13" t="n">
        <v>-0.0193904394744949</v>
      </c>
      <c r="Z281" s="13" t="n">
        <v>-0.0365985222439539</v>
      </c>
      <c r="AA281" s="30" t="s">
        <v>96</v>
      </c>
      <c r="AB281" s="28" t="s">
        <v>94</v>
      </c>
      <c r="AC281" s="28" t="s">
        <v>102</v>
      </c>
      <c r="AD281" s="28" t="s">
        <v>108</v>
      </c>
      <c r="AE281" s="28" t="s">
        <v>114</v>
      </c>
      <c r="AF281" s="28" t="s">
        <v>120</v>
      </c>
      <c r="AG281" s="30" t="s">
        <v>122</v>
      </c>
    </row>
    <row r="282" customFormat="false" ht="15" hidden="false" customHeight="false" outlineLevel="0" collapsed="false">
      <c r="A282" s="10" t="n">
        <v>2024</v>
      </c>
      <c r="B282" s="28" t="s">
        <v>61</v>
      </c>
      <c r="C282" s="29" t="n">
        <v>45608</v>
      </c>
      <c r="D282" s="30" t="s">
        <v>126</v>
      </c>
      <c r="E282" s="28" t="s">
        <v>597</v>
      </c>
      <c r="F282" s="30" t="s">
        <v>598</v>
      </c>
      <c r="G282" s="31" t="n">
        <v>30080</v>
      </c>
      <c r="H282" s="31" t="n">
        <v>3</v>
      </c>
      <c r="I282" s="31" t="n">
        <v>90240</v>
      </c>
      <c r="J282" s="29" t="n">
        <v>45609</v>
      </c>
      <c r="K282" s="31" t="n">
        <v>28621</v>
      </c>
      <c r="L282" s="30" t="s">
        <v>32</v>
      </c>
      <c r="M282" s="10" t="n">
        <v>1</v>
      </c>
      <c r="N282" s="12" t="n">
        <v>-4557</v>
      </c>
      <c r="O282" s="13" t="n">
        <v>-0.0504993721752459</v>
      </c>
      <c r="P282" s="15" t="n">
        <v>0.0272589307531073</v>
      </c>
      <c r="Q282" s="13" t="n">
        <v>-0.0575148645032171</v>
      </c>
      <c r="R282" s="15" t="n">
        <v>0.00838926174496635</v>
      </c>
      <c r="S282" s="32" t="n">
        <v>45537169000</v>
      </c>
      <c r="T282" s="15" t="n">
        <v>0.00838926174496635</v>
      </c>
      <c r="U282" s="32" t="n">
        <v>15162840527.5</v>
      </c>
      <c r="V282" s="14" t="n">
        <v>2.82398104773241</v>
      </c>
      <c r="W282" s="13" t="n">
        <v>0.00501672240802686</v>
      </c>
      <c r="X282" s="15" t="n">
        <v>0.0565723793677204</v>
      </c>
      <c r="Y282" s="13" t="n">
        <v>-0.0193904394744949</v>
      </c>
      <c r="Z282" s="13" t="n">
        <v>-0.0365985222439539</v>
      </c>
      <c r="AA282" s="30" t="s">
        <v>96</v>
      </c>
      <c r="AB282" s="28" t="s">
        <v>94</v>
      </c>
      <c r="AC282" s="28" t="s">
        <v>99</v>
      </c>
      <c r="AD282" s="28" t="s">
        <v>107</v>
      </c>
      <c r="AE282" s="28" t="s">
        <v>112</v>
      </c>
      <c r="AF282" s="28" t="s">
        <v>117</v>
      </c>
      <c r="AG282" s="30" t="s">
        <v>122</v>
      </c>
    </row>
    <row r="283" customFormat="false" ht="15" hidden="false" customHeight="false" outlineLevel="0" collapsed="false">
      <c r="A283" s="10" t="n">
        <v>2024</v>
      </c>
      <c r="B283" s="28" t="s">
        <v>61</v>
      </c>
      <c r="C283" s="29" t="n">
        <v>45608</v>
      </c>
      <c r="D283" s="30" t="s">
        <v>126</v>
      </c>
      <c r="E283" s="28" t="s">
        <v>599</v>
      </c>
      <c r="F283" s="30" t="s">
        <v>600</v>
      </c>
      <c r="G283" s="31" t="n">
        <v>8959</v>
      </c>
      <c r="H283" s="31" t="n">
        <v>11</v>
      </c>
      <c r="I283" s="31" t="n">
        <v>98548</v>
      </c>
      <c r="J283" s="29" t="n">
        <v>45609</v>
      </c>
      <c r="K283" s="31" t="n">
        <v>8521</v>
      </c>
      <c r="L283" s="30" t="s">
        <v>32</v>
      </c>
      <c r="M283" s="10" t="n">
        <v>1</v>
      </c>
      <c r="N283" s="12" t="n">
        <v>-5010</v>
      </c>
      <c r="O283" s="13" t="n">
        <v>-0.0508363936622037</v>
      </c>
      <c r="P283" s="15" t="n">
        <v>0.206614614435844</v>
      </c>
      <c r="Q283" s="13" t="n">
        <v>-0.054576708207993</v>
      </c>
      <c r="R283" s="15" t="n">
        <v>0.0147392290249433</v>
      </c>
      <c r="S283" s="32" t="n">
        <v>34852212900</v>
      </c>
      <c r="T283" s="15" t="n">
        <v>0.0147392290249433</v>
      </c>
      <c r="U283" s="32" t="n">
        <v>4044269598</v>
      </c>
      <c r="V283" s="14" t="n">
        <v>8.04272819791533</v>
      </c>
      <c r="W283" s="13" t="n">
        <v>-0.0986908358509567</v>
      </c>
      <c r="X283" s="15" t="n">
        <v>0.170949720670391</v>
      </c>
      <c r="Y283" s="13" t="n">
        <v>-0.0193904394744949</v>
      </c>
      <c r="Z283" s="13" t="n">
        <v>-0.0365985222439539</v>
      </c>
      <c r="AA283" s="30" t="s">
        <v>96</v>
      </c>
      <c r="AB283" s="28" t="s">
        <v>94</v>
      </c>
      <c r="AC283" s="28" t="s">
        <v>99</v>
      </c>
      <c r="AD283" s="28" t="s">
        <v>107</v>
      </c>
      <c r="AE283" s="28" t="s">
        <v>112</v>
      </c>
      <c r="AF283" s="28" t="s">
        <v>119</v>
      </c>
      <c r="AG283" s="30" t="s">
        <v>123</v>
      </c>
    </row>
    <row r="284" customFormat="false" ht="15" hidden="false" customHeight="false" outlineLevel="0" collapsed="false">
      <c r="A284" s="10" t="n">
        <v>2024</v>
      </c>
      <c r="B284" s="28" t="s">
        <v>61</v>
      </c>
      <c r="C284" s="29" t="n">
        <v>45608</v>
      </c>
      <c r="D284" s="30" t="s">
        <v>126</v>
      </c>
      <c r="E284" s="28" t="s">
        <v>601</v>
      </c>
      <c r="F284" s="30" t="s">
        <v>602</v>
      </c>
      <c r="G284" s="31" t="n">
        <v>28879</v>
      </c>
      <c r="H284" s="31" t="n">
        <v>3</v>
      </c>
      <c r="I284" s="31" t="n">
        <v>86637</v>
      </c>
      <c r="J284" s="29" t="n">
        <v>45609</v>
      </c>
      <c r="K284" s="31" t="n">
        <v>27472</v>
      </c>
      <c r="L284" s="30" t="s">
        <v>32</v>
      </c>
      <c r="M284" s="10" t="n">
        <v>1</v>
      </c>
      <c r="N284" s="12" t="n">
        <v>-4393</v>
      </c>
      <c r="O284" s="13" t="n">
        <v>-0.0507033071780904</v>
      </c>
      <c r="P284" s="15" t="n">
        <v>0.0215088204689591</v>
      </c>
      <c r="Q284" s="13" t="n">
        <v>-0.0546714983456751</v>
      </c>
      <c r="R284" s="15" t="n">
        <v>0.0230496453900708</v>
      </c>
      <c r="S284" s="32" t="n">
        <v>33213216300</v>
      </c>
      <c r="T284" s="15" t="n">
        <v>0.0230496453900708</v>
      </c>
      <c r="U284" s="32" t="n">
        <v>13337186945</v>
      </c>
      <c r="V284" s="14" t="n">
        <v>2.28555353308568</v>
      </c>
      <c r="W284" s="13" t="n">
        <v>0.0105078809106831</v>
      </c>
      <c r="X284" s="15" t="n">
        <v>0.0450606585788562</v>
      </c>
      <c r="Y284" s="13" t="n">
        <v>-0.0193904394744949</v>
      </c>
      <c r="Z284" s="13" t="n">
        <v>-0.0365985222439539</v>
      </c>
      <c r="AA284" s="30" t="s">
        <v>96</v>
      </c>
      <c r="AB284" s="28" t="s">
        <v>94</v>
      </c>
      <c r="AC284" s="28" t="s">
        <v>99</v>
      </c>
      <c r="AD284" s="28" t="s">
        <v>107</v>
      </c>
      <c r="AE284" s="28" t="s">
        <v>113</v>
      </c>
      <c r="AF284" s="28" t="s">
        <v>117</v>
      </c>
      <c r="AG284" s="30" t="s">
        <v>122</v>
      </c>
    </row>
    <row r="285" customFormat="false" ht="15" hidden="false" customHeight="false" outlineLevel="0" collapsed="false">
      <c r="A285" s="10" t="n">
        <v>2024</v>
      </c>
      <c r="B285" s="28" t="s">
        <v>61</v>
      </c>
      <c r="C285" s="29" t="n">
        <v>45608</v>
      </c>
      <c r="D285" s="30" t="s">
        <v>126</v>
      </c>
      <c r="E285" s="28" t="s">
        <v>603</v>
      </c>
      <c r="F285" s="30" t="s">
        <v>604</v>
      </c>
      <c r="G285" s="31" t="n">
        <v>19613</v>
      </c>
      <c r="H285" s="31" t="n">
        <v>5</v>
      </c>
      <c r="I285" s="31" t="n">
        <v>98066</v>
      </c>
      <c r="J285" s="29" t="n">
        <v>45614</v>
      </c>
      <c r="K285" s="31" t="n">
        <v>25500</v>
      </c>
      <c r="L285" s="30" t="s">
        <v>31</v>
      </c>
      <c r="M285" s="10" t="n">
        <v>4</v>
      </c>
      <c r="N285" s="12" t="n">
        <v>29170</v>
      </c>
      <c r="O285" s="13" t="n">
        <v>0.297450007647855</v>
      </c>
      <c r="P285" s="15" t="n">
        <v>0.496111543958434</v>
      </c>
      <c r="Q285" s="13" t="n">
        <v>-0.0356533418734373</v>
      </c>
      <c r="R285" s="15" t="n">
        <v>0.0410958904109589</v>
      </c>
      <c r="S285" s="32" t="n">
        <v>29602467400</v>
      </c>
      <c r="T285" s="15" t="n">
        <v>0.0245098039215685</v>
      </c>
      <c r="U285" s="32" t="n">
        <v>10138117360</v>
      </c>
      <c r="V285" s="14" t="n">
        <v>2.78163170117392</v>
      </c>
      <c r="W285" s="13" t="n">
        <v>0.0372208436724566</v>
      </c>
      <c r="X285" s="15" t="n">
        <v>0.028708133971292</v>
      </c>
      <c r="Y285" s="13" t="n">
        <v>-0.0193904394744949</v>
      </c>
      <c r="Z285" s="13" t="n">
        <v>-0.0365985222439539</v>
      </c>
      <c r="AA285" s="30" t="s">
        <v>96</v>
      </c>
      <c r="AB285" s="28" t="s">
        <v>94</v>
      </c>
      <c r="AC285" s="28" t="s">
        <v>100</v>
      </c>
      <c r="AD285" s="28" t="s">
        <v>106</v>
      </c>
      <c r="AE285" s="28" t="s">
        <v>113</v>
      </c>
      <c r="AF285" s="28" t="s">
        <v>117</v>
      </c>
      <c r="AG285" s="30" t="s">
        <v>122</v>
      </c>
    </row>
    <row r="286" customFormat="false" ht="15" hidden="false" customHeight="false" outlineLevel="0" collapsed="false">
      <c r="A286" s="10" t="n">
        <v>2024</v>
      </c>
      <c r="B286" s="28" t="s">
        <v>61</v>
      </c>
      <c r="C286" s="29" t="n">
        <v>45609</v>
      </c>
      <c r="D286" s="30" t="s">
        <v>127</v>
      </c>
      <c r="E286" s="28" t="s">
        <v>521</v>
      </c>
      <c r="F286" s="30" t="s">
        <v>522</v>
      </c>
      <c r="G286" s="31" t="n">
        <v>10260</v>
      </c>
      <c r="H286" s="31" t="n">
        <v>9</v>
      </c>
      <c r="I286" s="31" t="n">
        <v>92342</v>
      </c>
      <c r="J286" s="29" t="n">
        <v>45624</v>
      </c>
      <c r="K286" s="31" t="n">
        <v>9760</v>
      </c>
      <c r="L286" s="30" t="s">
        <v>32</v>
      </c>
      <c r="M286" s="10" t="n">
        <v>11</v>
      </c>
      <c r="N286" s="12" t="n">
        <v>-4685</v>
      </c>
      <c r="O286" s="13" t="n">
        <v>-0.050738674593699</v>
      </c>
      <c r="P286" s="15" t="n">
        <v>0.163714334446042</v>
      </c>
      <c r="Q286" s="13" t="n">
        <v>-0.0516800272897833</v>
      </c>
      <c r="R286" s="15" t="n">
        <v>0.0158572844400398</v>
      </c>
      <c r="S286" s="32" t="n">
        <v>25853124000</v>
      </c>
      <c r="T286" s="15" t="n">
        <v>0.0138476755687438</v>
      </c>
      <c r="U286" s="32" t="n">
        <v>12692227046</v>
      </c>
      <c r="V286" s="14" t="n">
        <v>1.90986821580986</v>
      </c>
      <c r="W286" s="13" t="n">
        <v>0.0301507537688441</v>
      </c>
      <c r="X286" s="15" t="n">
        <v>0.0185365853658537</v>
      </c>
      <c r="Y286" s="13" t="n">
        <v>-0.0263799208078726</v>
      </c>
      <c r="Z286" s="13" t="n">
        <v>-0.0571209006401381</v>
      </c>
      <c r="AA286" s="30" t="s">
        <v>96</v>
      </c>
      <c r="AB286" s="28" t="s">
        <v>94</v>
      </c>
      <c r="AC286" s="28" t="s">
        <v>99</v>
      </c>
      <c r="AD286" s="28" t="s">
        <v>106</v>
      </c>
      <c r="AE286" s="28" t="s">
        <v>112</v>
      </c>
      <c r="AF286" s="28" t="s">
        <v>116</v>
      </c>
      <c r="AG286" s="30" t="s">
        <v>122</v>
      </c>
    </row>
    <row r="287" customFormat="false" ht="15" hidden="false" customHeight="false" outlineLevel="0" collapsed="false">
      <c r="A287" s="10" t="n">
        <v>2024</v>
      </c>
      <c r="B287" s="28" t="s">
        <v>61</v>
      </c>
      <c r="C287" s="29" t="n">
        <v>45611</v>
      </c>
      <c r="D287" s="30" t="s">
        <v>129</v>
      </c>
      <c r="E287" s="28" t="s">
        <v>297</v>
      </c>
      <c r="F287" s="30" t="s">
        <v>298</v>
      </c>
      <c r="G287" s="31" t="n">
        <v>5405</v>
      </c>
      <c r="H287" s="31" t="n">
        <v>18</v>
      </c>
      <c r="I287" s="31" t="n">
        <v>97297</v>
      </c>
      <c r="J287" s="29" t="n">
        <v>45623</v>
      </c>
      <c r="K287" s="31" t="n">
        <v>6490</v>
      </c>
      <c r="L287" s="30" t="s">
        <v>31</v>
      </c>
      <c r="M287" s="10" t="n">
        <v>8</v>
      </c>
      <c r="N287" s="12" t="n">
        <v>19280</v>
      </c>
      <c r="O287" s="13" t="n">
        <v>0.198159930809931</v>
      </c>
      <c r="P287" s="15" t="n">
        <v>0.322751322751323</v>
      </c>
      <c r="Q287" s="13" t="n">
        <v>-0.0287490287490287</v>
      </c>
      <c r="R287" s="15" t="n">
        <v>0.0832497492477433</v>
      </c>
      <c r="S287" s="32" t="n">
        <v>44097490800</v>
      </c>
      <c r="T287" s="15" t="n">
        <v>0.005586592178771</v>
      </c>
      <c r="U287" s="32" t="n">
        <v>8914596467.25</v>
      </c>
      <c r="V287" s="14" t="n">
        <v>4.71019396942239</v>
      </c>
      <c r="W287" s="13" t="n">
        <v>0.0953346855983772</v>
      </c>
      <c r="X287" s="15" t="n">
        <v>0.0611111111111111</v>
      </c>
      <c r="Y287" s="13" t="n">
        <v>-0.000826835782145263</v>
      </c>
      <c r="Z287" s="13" t="n">
        <v>-0.0563379731761123</v>
      </c>
      <c r="AA287" s="30" t="s">
        <v>96</v>
      </c>
      <c r="AB287" s="28" t="s">
        <v>94</v>
      </c>
      <c r="AC287" s="28" t="s">
        <v>101</v>
      </c>
      <c r="AD287" s="28" t="s">
        <v>107</v>
      </c>
      <c r="AE287" s="28" t="s">
        <v>112</v>
      </c>
      <c r="AF287" s="28" t="s">
        <v>118</v>
      </c>
      <c r="AG287" s="30" t="s">
        <v>122</v>
      </c>
    </row>
    <row r="288" customFormat="false" ht="15" hidden="false" customHeight="false" outlineLevel="0" collapsed="false">
      <c r="A288" s="10" t="n">
        <v>2024</v>
      </c>
      <c r="B288" s="28" t="s">
        <v>61</v>
      </c>
      <c r="C288" s="29" t="n">
        <v>45614</v>
      </c>
      <c r="D288" s="30" t="s">
        <v>125</v>
      </c>
      <c r="E288" s="28" t="s">
        <v>469</v>
      </c>
      <c r="F288" s="28" t="s">
        <v>470</v>
      </c>
      <c r="G288" s="31" t="n">
        <v>78178</v>
      </c>
      <c r="H288" s="31" t="n">
        <v>1</v>
      </c>
      <c r="I288" s="31" t="n">
        <v>78178</v>
      </c>
      <c r="J288" s="29" t="n">
        <v>45615</v>
      </c>
      <c r="K288" s="31" t="n">
        <v>74426</v>
      </c>
      <c r="L288" s="30" t="s">
        <v>32</v>
      </c>
      <c r="M288" s="10" t="n">
        <v>1</v>
      </c>
      <c r="N288" s="12" t="n">
        <v>-3909</v>
      </c>
      <c r="O288" s="13" t="n">
        <v>-0.0500070536377836</v>
      </c>
      <c r="P288" s="15" t="n">
        <v>-0.021465090607216</v>
      </c>
      <c r="Q288" s="13" t="n">
        <v>-0.105887710241103</v>
      </c>
      <c r="R288" s="15" t="n">
        <v>0.253611556982343</v>
      </c>
      <c r="S288" s="32" t="n">
        <v>621005980100</v>
      </c>
      <c r="T288" s="15" t="n">
        <v>0.101551480959097</v>
      </c>
      <c r="U288" s="32" t="n">
        <v>53614637135</v>
      </c>
      <c r="V288" s="14" t="n">
        <v>9.59009952744335</v>
      </c>
      <c r="W288" s="13" t="n">
        <v>0.245614035087719</v>
      </c>
      <c r="X288" s="15" t="n">
        <v>0.0358514724711907</v>
      </c>
      <c r="Y288" s="13" t="n">
        <v>0.0216024097382555</v>
      </c>
      <c r="Z288" s="13" t="n">
        <v>-0.0247229090794181</v>
      </c>
      <c r="AA288" s="30" t="s">
        <v>96</v>
      </c>
      <c r="AB288" s="28" t="s">
        <v>94</v>
      </c>
      <c r="AC288" s="28" t="s">
        <v>104</v>
      </c>
      <c r="AD288" s="28" t="s">
        <v>110</v>
      </c>
      <c r="AE288" s="28" t="s">
        <v>114</v>
      </c>
      <c r="AF288" s="28" t="s">
        <v>119</v>
      </c>
      <c r="AG288" s="30" t="s">
        <v>122</v>
      </c>
    </row>
    <row r="289" customFormat="false" ht="15" hidden="false" customHeight="false" outlineLevel="0" collapsed="false">
      <c r="A289" s="10" t="n">
        <v>2024</v>
      </c>
      <c r="B289" s="28" t="s">
        <v>61</v>
      </c>
      <c r="C289" s="29" t="n">
        <v>45614</v>
      </c>
      <c r="D289" s="30" t="s">
        <v>125</v>
      </c>
      <c r="E289" s="28" t="s">
        <v>169</v>
      </c>
      <c r="F289" s="30" t="s">
        <v>170</v>
      </c>
      <c r="G289" s="31" t="n">
        <v>49249</v>
      </c>
      <c r="H289" s="31" t="n">
        <v>2</v>
      </c>
      <c r="I289" s="31" t="n">
        <v>98498</v>
      </c>
      <c r="J289" s="29" t="n">
        <v>45618</v>
      </c>
      <c r="K289" s="31" t="n">
        <v>59100</v>
      </c>
      <c r="L289" s="30" t="s">
        <v>31</v>
      </c>
      <c r="M289" s="10" t="n">
        <v>4</v>
      </c>
      <c r="N289" s="12" t="n">
        <v>19456</v>
      </c>
      <c r="O289" s="13" t="n">
        <v>0.19752945469165</v>
      </c>
      <c r="P289" s="15" t="n">
        <v>0.218293901220731</v>
      </c>
      <c r="Q289" s="13" t="n">
        <v>-0.0111514501758404</v>
      </c>
      <c r="R289" s="15" t="n">
        <v>0.175627240143369</v>
      </c>
      <c r="S289" s="32" t="n">
        <v>69967024800</v>
      </c>
      <c r="T289" s="15" t="n">
        <v>0.0102669404517455</v>
      </c>
      <c r="U289" s="32" t="n">
        <v>8048596015</v>
      </c>
      <c r="V289" s="14" t="n">
        <v>7.6534785640074</v>
      </c>
      <c r="W289" s="13" t="n">
        <v>0.125858123569794</v>
      </c>
      <c r="X289" s="15" t="n">
        <v>0.0670731707317074</v>
      </c>
      <c r="Y289" s="13" t="n">
        <v>0.0216024097382555</v>
      </c>
      <c r="Z289" s="13" t="n">
        <v>-0.0247229090794181</v>
      </c>
      <c r="AA289" s="30" t="s">
        <v>96</v>
      </c>
      <c r="AB289" s="28" t="s">
        <v>94</v>
      </c>
      <c r="AC289" s="28" t="s">
        <v>103</v>
      </c>
      <c r="AD289" s="28" t="s">
        <v>108</v>
      </c>
      <c r="AE289" s="28" t="s">
        <v>112</v>
      </c>
      <c r="AF289" s="28" t="s">
        <v>119</v>
      </c>
      <c r="AG289" s="30" t="s">
        <v>122</v>
      </c>
    </row>
    <row r="290" customFormat="false" ht="15" hidden="false" customHeight="false" outlineLevel="0" collapsed="false">
      <c r="A290" s="10" t="n">
        <v>2024</v>
      </c>
      <c r="B290" s="28" t="s">
        <v>61</v>
      </c>
      <c r="C290" s="29" t="n">
        <v>45614</v>
      </c>
      <c r="D290" s="30" t="s">
        <v>125</v>
      </c>
      <c r="E290" s="28" t="s">
        <v>249</v>
      </c>
      <c r="F290" s="30" t="s">
        <v>250</v>
      </c>
      <c r="G290" s="31" t="n">
        <v>42142</v>
      </c>
      <c r="H290" s="31" t="n">
        <v>2</v>
      </c>
      <c r="I290" s="31" t="n">
        <v>84284</v>
      </c>
      <c r="J290" s="29" t="n">
        <v>45628</v>
      </c>
      <c r="K290" s="31" t="n">
        <v>40110</v>
      </c>
      <c r="L290" s="30" t="s">
        <v>32</v>
      </c>
      <c r="M290" s="10" t="n">
        <v>10</v>
      </c>
      <c r="N290" s="12" t="n">
        <v>-4234</v>
      </c>
      <c r="O290" s="13" t="n">
        <v>-0.0502297114405785</v>
      </c>
      <c r="P290" s="15" t="n">
        <v>0.142562900282615</v>
      </c>
      <c r="Q290" s="13" t="n">
        <v>-0.0555762527258964</v>
      </c>
      <c r="R290" s="15" t="n">
        <v>0.0407911001236094</v>
      </c>
      <c r="S290" s="32" t="n">
        <v>43982459400</v>
      </c>
      <c r="T290" s="15" t="n">
        <v>0.00238095238095237</v>
      </c>
      <c r="U290" s="32" t="n">
        <v>36282705767.5</v>
      </c>
      <c r="V290" s="14" t="n">
        <v>1.16593426136231</v>
      </c>
      <c r="W290" s="13" t="n">
        <v>0.0485678704856787</v>
      </c>
      <c r="X290" s="15" t="n">
        <v>0.00831353919239897</v>
      </c>
      <c r="Y290" s="13" t="n">
        <v>0.0216024097382555</v>
      </c>
      <c r="Z290" s="13" t="n">
        <v>-0.0247229090794181</v>
      </c>
      <c r="AA290" s="30" t="s">
        <v>96</v>
      </c>
      <c r="AB290" s="28" t="s">
        <v>94</v>
      </c>
      <c r="AC290" s="28" t="s">
        <v>100</v>
      </c>
      <c r="AD290" s="28" t="s">
        <v>107</v>
      </c>
      <c r="AE290" s="28" t="s">
        <v>112</v>
      </c>
      <c r="AF290" s="28" t="s">
        <v>116</v>
      </c>
      <c r="AG290" s="30" t="s">
        <v>122</v>
      </c>
    </row>
    <row r="291" customFormat="false" ht="15" hidden="false" customHeight="false" outlineLevel="0" collapsed="false">
      <c r="A291" s="10" t="n">
        <v>2024</v>
      </c>
      <c r="B291" s="28" t="s">
        <v>61</v>
      </c>
      <c r="C291" s="29" t="n">
        <v>45614</v>
      </c>
      <c r="D291" s="30" t="s">
        <v>125</v>
      </c>
      <c r="E291" s="28" t="s">
        <v>193</v>
      </c>
      <c r="F291" s="30" t="s">
        <v>194</v>
      </c>
      <c r="G291" s="31" t="n">
        <v>11381</v>
      </c>
      <c r="H291" s="31" t="n">
        <v>8</v>
      </c>
      <c r="I291" s="31" t="n">
        <v>91051</v>
      </c>
      <c r="J291" s="29" t="n">
        <v>45622</v>
      </c>
      <c r="K291" s="31" t="n">
        <v>14100</v>
      </c>
      <c r="L291" s="30" t="s">
        <v>31</v>
      </c>
      <c r="M291" s="10" t="n">
        <v>6</v>
      </c>
      <c r="N291" s="12" t="n">
        <v>21515</v>
      </c>
      <c r="O291" s="13" t="n">
        <v>0.23630088420814</v>
      </c>
      <c r="P291" s="15" t="n">
        <v>0.333758589695265</v>
      </c>
      <c r="Q291" s="13" t="n">
        <v>0.00251551438886533</v>
      </c>
      <c r="R291" s="15" t="n">
        <v>0.116895874263261</v>
      </c>
      <c r="S291" s="32" t="n">
        <v>24836093610</v>
      </c>
      <c r="T291" s="15" t="n">
        <v>0.0243243243243243</v>
      </c>
      <c r="U291" s="32" t="n">
        <v>3181229783.5</v>
      </c>
      <c r="V291" s="14" t="n">
        <v>7.32514831112027</v>
      </c>
      <c r="W291" s="13" t="n">
        <v>0.114705882352941</v>
      </c>
      <c r="X291" s="15" t="n">
        <v>0.0360598065083553</v>
      </c>
      <c r="Y291" s="13" t="n">
        <v>0.0216024097382555</v>
      </c>
      <c r="Z291" s="13" t="n">
        <v>-0.0247229090794181</v>
      </c>
      <c r="AA291" s="30" t="s">
        <v>96</v>
      </c>
      <c r="AB291" s="28" t="s">
        <v>94</v>
      </c>
      <c r="AC291" s="28" t="s">
        <v>102</v>
      </c>
      <c r="AD291" s="28" t="s">
        <v>106</v>
      </c>
      <c r="AE291" s="28" t="s">
        <v>113</v>
      </c>
      <c r="AF291" s="28" t="s">
        <v>119</v>
      </c>
      <c r="AG291" s="30" t="s">
        <v>122</v>
      </c>
    </row>
    <row r="292" customFormat="false" ht="15" hidden="false" customHeight="false" outlineLevel="0" collapsed="false">
      <c r="A292" s="10" t="n">
        <v>2024</v>
      </c>
      <c r="B292" s="28" t="s">
        <v>61</v>
      </c>
      <c r="C292" s="29" t="n">
        <v>45614</v>
      </c>
      <c r="D292" s="30" t="s">
        <v>125</v>
      </c>
      <c r="E292" s="28" t="s">
        <v>605</v>
      </c>
      <c r="F292" s="30" t="s">
        <v>606</v>
      </c>
      <c r="G292" s="31" t="n">
        <v>5014</v>
      </c>
      <c r="H292" s="31" t="n">
        <v>19</v>
      </c>
      <c r="I292" s="31" t="n">
        <v>95274</v>
      </c>
      <c r="J292" s="29" t="n">
        <v>45615</v>
      </c>
      <c r="K292" s="31" t="n">
        <v>4770</v>
      </c>
      <c r="L292" s="30" t="s">
        <v>32</v>
      </c>
      <c r="M292" s="10" t="n">
        <v>1</v>
      </c>
      <c r="N292" s="12" t="n">
        <v>-4830</v>
      </c>
      <c r="O292" s="13" t="n">
        <v>-0.0507010126929556</v>
      </c>
      <c r="P292" s="15" t="n">
        <v>0.0397404014425291</v>
      </c>
      <c r="Q292" s="13" t="n">
        <v>-0.0541373520096923</v>
      </c>
      <c r="R292" s="15" t="n">
        <v>0.0386740331491713</v>
      </c>
      <c r="S292" s="32" t="n">
        <v>22018300560</v>
      </c>
      <c r="T292" s="15" t="n">
        <v>0.0386740331491713</v>
      </c>
      <c r="U292" s="32" t="n">
        <v>10127842848.5</v>
      </c>
      <c r="V292" s="14" t="n">
        <v>1.94029453511146</v>
      </c>
      <c r="W292" s="13" t="n">
        <v>0.0425138632162663</v>
      </c>
      <c r="X292" s="15" t="n">
        <v>0.0975177304964539</v>
      </c>
      <c r="Y292" s="13" t="n">
        <v>0.0216024097382555</v>
      </c>
      <c r="Z292" s="13" t="n">
        <v>-0.0247229090794181</v>
      </c>
      <c r="AA292" s="30" t="s">
        <v>96</v>
      </c>
      <c r="AB292" s="28" t="s">
        <v>94</v>
      </c>
      <c r="AC292" s="28" t="s">
        <v>100</v>
      </c>
      <c r="AD292" s="28" t="s">
        <v>106</v>
      </c>
      <c r="AE292" s="28" t="s">
        <v>113</v>
      </c>
      <c r="AF292" s="28" t="s">
        <v>116</v>
      </c>
      <c r="AG292" s="30" t="s">
        <v>122</v>
      </c>
    </row>
    <row r="293" customFormat="false" ht="15" hidden="false" customHeight="false" outlineLevel="0" collapsed="false">
      <c r="A293" s="10" t="n">
        <v>2024</v>
      </c>
      <c r="B293" s="28" t="s">
        <v>61</v>
      </c>
      <c r="C293" s="29" t="n">
        <v>45615</v>
      </c>
      <c r="D293" s="30" t="s">
        <v>126</v>
      </c>
      <c r="E293" s="28" t="s">
        <v>225</v>
      </c>
      <c r="F293" s="30" t="s">
        <v>226</v>
      </c>
      <c r="G293" s="31" t="n">
        <v>66466</v>
      </c>
      <c r="H293" s="31" t="n">
        <v>1</v>
      </c>
      <c r="I293" s="31" t="n">
        <v>66466</v>
      </c>
      <c r="J293" s="29" t="n">
        <v>45617</v>
      </c>
      <c r="K293" s="31" t="n">
        <v>63237</v>
      </c>
      <c r="L293" s="30" t="s">
        <v>32</v>
      </c>
      <c r="M293" s="10" t="n">
        <v>2</v>
      </c>
      <c r="N293" s="12" t="n">
        <v>-3363</v>
      </c>
      <c r="O293" s="13" t="n">
        <v>-0.0505967154080859</v>
      </c>
      <c r="P293" s="15" t="n">
        <v>0.0456411058820698</v>
      </c>
      <c r="Q293" s="13" t="n">
        <v>-0.0747204602626289</v>
      </c>
      <c r="R293" s="15" t="n">
        <v>0.0391236306729264</v>
      </c>
      <c r="S293" s="32" t="n">
        <v>127400219200</v>
      </c>
      <c r="T293" s="15" t="n">
        <v>0.00453857791225421</v>
      </c>
      <c r="U293" s="32" t="n">
        <v>113970573225</v>
      </c>
      <c r="V293" s="14" t="n">
        <v>1.06626664490799</v>
      </c>
      <c r="W293" s="13" t="n">
        <v>0.0375000000000001</v>
      </c>
      <c r="X293" s="15" t="n">
        <v>0.00150602409638556</v>
      </c>
      <c r="Y293" s="13" t="n">
        <v>0.00116643108538828</v>
      </c>
      <c r="Z293" s="13" t="n">
        <v>-0.00427782499587137</v>
      </c>
      <c r="AA293" s="30" t="s">
        <v>96</v>
      </c>
      <c r="AB293" s="28" t="s">
        <v>94</v>
      </c>
      <c r="AC293" s="28" t="s">
        <v>100</v>
      </c>
      <c r="AD293" s="28" t="s">
        <v>109</v>
      </c>
      <c r="AE293" s="28" t="s">
        <v>112</v>
      </c>
      <c r="AF293" s="28" t="s">
        <v>116</v>
      </c>
      <c r="AG293" s="30" t="s">
        <v>122</v>
      </c>
    </row>
    <row r="294" customFormat="false" ht="15" hidden="false" customHeight="false" outlineLevel="0" collapsed="false">
      <c r="A294" s="10" t="n">
        <v>2024</v>
      </c>
      <c r="B294" s="28" t="s">
        <v>61</v>
      </c>
      <c r="C294" s="29" t="n">
        <v>45615</v>
      </c>
      <c r="D294" s="30" t="s">
        <v>126</v>
      </c>
      <c r="E294" s="28" t="s">
        <v>607</v>
      </c>
      <c r="F294" s="30" t="s">
        <v>608</v>
      </c>
      <c r="G294" s="31" t="n">
        <v>2392</v>
      </c>
      <c r="H294" s="31" t="n">
        <v>41</v>
      </c>
      <c r="I294" s="31" t="n">
        <v>98088</v>
      </c>
      <c r="J294" s="29" t="n">
        <v>45617</v>
      </c>
      <c r="K294" s="31" t="n">
        <v>2273</v>
      </c>
      <c r="L294" s="30" t="s">
        <v>32</v>
      </c>
      <c r="M294" s="10" t="n">
        <v>2</v>
      </c>
      <c r="N294" s="12" t="n">
        <v>-5103</v>
      </c>
      <c r="O294" s="13" t="n">
        <v>-0.0520214815519211</v>
      </c>
      <c r="P294" s="15" t="n">
        <v>0.0136307207436914</v>
      </c>
      <c r="Q294" s="13" t="n">
        <v>-0.0574279277208147</v>
      </c>
      <c r="R294" s="15" t="n">
        <v>0.0279569892473119</v>
      </c>
      <c r="S294" s="32" t="n">
        <v>47251177130</v>
      </c>
      <c r="T294" s="15" t="n">
        <v>0.00631578947368428</v>
      </c>
      <c r="U294" s="32" t="n">
        <v>16659860455.5</v>
      </c>
      <c r="V294" s="14" t="n">
        <v>2.72621297505741</v>
      </c>
      <c r="W294" s="13" t="n">
        <v>0.0127118644067796</v>
      </c>
      <c r="X294" s="15" t="n">
        <v>0.0188284518828452</v>
      </c>
      <c r="Y294" s="13" t="n">
        <v>0.00116643108538828</v>
      </c>
      <c r="Z294" s="13" t="n">
        <v>-0.00427782499587137</v>
      </c>
      <c r="AA294" s="30" t="s">
        <v>96</v>
      </c>
      <c r="AB294" s="28" t="s">
        <v>94</v>
      </c>
      <c r="AC294" s="28" t="s">
        <v>99</v>
      </c>
      <c r="AD294" s="28" t="s">
        <v>107</v>
      </c>
      <c r="AE294" s="28" t="s">
        <v>112</v>
      </c>
      <c r="AF294" s="28" t="s">
        <v>117</v>
      </c>
      <c r="AG294" s="30" t="s">
        <v>122</v>
      </c>
    </row>
    <row r="295" customFormat="false" ht="15" hidden="false" customHeight="false" outlineLevel="0" collapsed="false">
      <c r="A295" s="10" t="n">
        <v>2024</v>
      </c>
      <c r="B295" s="28" t="s">
        <v>61</v>
      </c>
      <c r="C295" s="29" t="n">
        <v>45618</v>
      </c>
      <c r="D295" s="30" t="s">
        <v>129</v>
      </c>
      <c r="E295" s="28" t="s">
        <v>487</v>
      </c>
      <c r="F295" s="30" t="s">
        <v>488</v>
      </c>
      <c r="G295" s="31" t="n">
        <v>11672</v>
      </c>
      <c r="H295" s="31" t="n">
        <v>8</v>
      </c>
      <c r="I295" s="31" t="n">
        <v>93373</v>
      </c>
      <c r="J295" s="29" t="n">
        <v>45624</v>
      </c>
      <c r="K295" s="31" t="n">
        <v>11109</v>
      </c>
      <c r="L295" s="30" t="s">
        <v>32</v>
      </c>
      <c r="M295" s="10" t="n">
        <v>4</v>
      </c>
      <c r="N295" s="12" t="n">
        <v>-4690</v>
      </c>
      <c r="O295" s="13" t="n">
        <v>-0.0502236241460083</v>
      </c>
      <c r="P295" s="15" t="n">
        <v>0.138655512583472</v>
      </c>
      <c r="Q295" s="13" t="n">
        <v>-0.0686843173978678</v>
      </c>
      <c r="R295" s="15" t="n">
        <v>0.0648401826484018</v>
      </c>
      <c r="S295" s="32" t="n">
        <v>46854007640</v>
      </c>
      <c r="T295" s="15" t="n">
        <v>0.0532971996386631</v>
      </c>
      <c r="U295" s="32" t="n">
        <v>11200445805.5</v>
      </c>
      <c r="V295" s="14" t="n">
        <v>3.81688252759848</v>
      </c>
      <c r="W295" s="13" t="n">
        <v>0.0628988149498633</v>
      </c>
      <c r="X295" s="15" t="n">
        <v>0.0463121783876501</v>
      </c>
      <c r="Y295" s="13" t="n">
        <v>0.00830837327614353</v>
      </c>
      <c r="Z295" s="13" t="n">
        <v>0.0349130690234436</v>
      </c>
      <c r="AA295" s="30" t="s">
        <v>96</v>
      </c>
      <c r="AB295" s="28" t="s">
        <v>93</v>
      </c>
      <c r="AC295" s="28" t="s">
        <v>101</v>
      </c>
      <c r="AD295" s="28" t="s">
        <v>107</v>
      </c>
      <c r="AE295" s="28" t="s">
        <v>101</v>
      </c>
      <c r="AF295" s="28" t="s">
        <v>118</v>
      </c>
      <c r="AG295" s="30" t="s">
        <v>122</v>
      </c>
    </row>
    <row r="296" customFormat="false" ht="15" hidden="false" customHeight="false" outlineLevel="0" collapsed="false">
      <c r="A296" s="10" t="n">
        <v>2024</v>
      </c>
      <c r="B296" s="28" t="s">
        <v>61</v>
      </c>
      <c r="C296" s="29" t="n">
        <v>45618</v>
      </c>
      <c r="D296" s="30" t="s">
        <v>129</v>
      </c>
      <c r="E296" s="28" t="s">
        <v>609</v>
      </c>
      <c r="F296" s="28" t="s">
        <v>610</v>
      </c>
      <c r="G296" s="31" t="n">
        <v>93393</v>
      </c>
      <c r="H296" s="31" t="n">
        <v>1</v>
      </c>
      <c r="I296" s="31" t="n">
        <v>93393</v>
      </c>
      <c r="J296" s="29" t="n">
        <v>45628</v>
      </c>
      <c r="K296" s="31" t="n">
        <v>88911</v>
      </c>
      <c r="L296" s="30" t="s">
        <v>32</v>
      </c>
      <c r="M296" s="10" t="n">
        <v>6</v>
      </c>
      <c r="N296" s="12" t="n">
        <v>-4670</v>
      </c>
      <c r="O296" s="13" t="n">
        <v>-0.0500002189129198</v>
      </c>
      <c r="P296" s="15" t="n">
        <v>0.0321939582389745</v>
      </c>
      <c r="Q296" s="13" t="n">
        <v>-0.0609604757514725</v>
      </c>
      <c r="R296" s="15" t="n">
        <v>0.00755939524838012</v>
      </c>
      <c r="S296" s="32" t="n">
        <v>25516243800</v>
      </c>
      <c r="T296" s="15" t="n">
        <v>0.00322580645161286</v>
      </c>
      <c r="U296" s="32" t="n">
        <v>35312238680</v>
      </c>
      <c r="V296" s="14" t="n">
        <v>0.703673466447209</v>
      </c>
      <c r="W296" s="13" t="n">
        <v>-0.00107066381156318</v>
      </c>
      <c r="X296" s="15" t="n">
        <v>0.00643086816720251</v>
      </c>
      <c r="Y296" s="13" t="n">
        <v>0.00830837327614353</v>
      </c>
      <c r="Z296" s="13" t="n">
        <v>0.0349130690234436</v>
      </c>
      <c r="AA296" s="30" t="s">
        <v>96</v>
      </c>
      <c r="AB296" s="28" t="s">
        <v>93</v>
      </c>
      <c r="AC296" s="28" t="s">
        <v>99</v>
      </c>
      <c r="AD296" s="28" t="s">
        <v>106</v>
      </c>
      <c r="AE296" s="28" t="s">
        <v>112</v>
      </c>
      <c r="AF296" s="28" t="s">
        <v>116</v>
      </c>
      <c r="AG296" s="30" t="s">
        <v>123</v>
      </c>
    </row>
    <row r="297" customFormat="false" ht="15" hidden="false" customHeight="false" outlineLevel="0" collapsed="false">
      <c r="A297" s="10" t="n">
        <v>2024</v>
      </c>
      <c r="B297" s="28" t="s">
        <v>61</v>
      </c>
      <c r="C297" s="29" t="n">
        <v>45621</v>
      </c>
      <c r="D297" s="30" t="s">
        <v>125</v>
      </c>
      <c r="E297" s="28" t="s">
        <v>611</v>
      </c>
      <c r="F297" s="30" t="s">
        <v>612</v>
      </c>
      <c r="G297" s="31" t="n">
        <v>8609</v>
      </c>
      <c r="H297" s="31" t="n">
        <v>11</v>
      </c>
      <c r="I297" s="31" t="n">
        <v>94695</v>
      </c>
      <c r="J297" s="29" t="n">
        <v>45630</v>
      </c>
      <c r="K297" s="31" t="n">
        <v>8192</v>
      </c>
      <c r="L297" s="30" t="s">
        <v>32</v>
      </c>
      <c r="M297" s="10" t="n">
        <v>7</v>
      </c>
      <c r="N297" s="12" t="n">
        <v>-4775</v>
      </c>
      <c r="O297" s="13" t="n">
        <v>-0.0504222870153101</v>
      </c>
      <c r="P297" s="15" t="n">
        <v>0.0779917756661945</v>
      </c>
      <c r="Q297" s="13" t="n">
        <v>-0.0962525846246775</v>
      </c>
      <c r="R297" s="15" t="n">
        <v>0.170068027210884</v>
      </c>
      <c r="S297" s="32" t="n">
        <v>161882650400</v>
      </c>
      <c r="T297" s="15" t="n">
        <v>0.115434500648509</v>
      </c>
      <c r="U297" s="32" t="n">
        <v>10416351413.5</v>
      </c>
      <c r="V297" s="14" t="n">
        <v>13.2304789246993</v>
      </c>
      <c r="W297" s="13" t="n">
        <v>0.12565445026178</v>
      </c>
      <c r="X297" s="15" t="n">
        <v>0.0627906976744186</v>
      </c>
      <c r="Y297" s="13" t="n">
        <v>0.0132334362156372</v>
      </c>
      <c r="Z297" s="13" t="n">
        <v>0.0264350544942023</v>
      </c>
      <c r="AA297" s="30" t="s">
        <v>97</v>
      </c>
      <c r="AB297" s="28" t="s">
        <v>93</v>
      </c>
      <c r="AC297" s="28" t="s">
        <v>103</v>
      </c>
      <c r="AD297" s="28" t="s">
        <v>109</v>
      </c>
      <c r="AE297" s="28" t="s">
        <v>114</v>
      </c>
      <c r="AF297" s="28" t="s">
        <v>120</v>
      </c>
      <c r="AG297" s="30" t="s">
        <v>122</v>
      </c>
    </row>
    <row r="298" customFormat="false" ht="15" hidden="false" customHeight="false" outlineLevel="0" collapsed="false">
      <c r="A298" s="10" t="n">
        <v>2024</v>
      </c>
      <c r="B298" s="28" t="s">
        <v>61</v>
      </c>
      <c r="C298" s="29" t="n">
        <v>45622</v>
      </c>
      <c r="D298" s="30" t="s">
        <v>126</v>
      </c>
      <c r="E298" s="28" t="s">
        <v>309</v>
      </c>
      <c r="F298" s="28" t="s">
        <v>310</v>
      </c>
      <c r="G298" s="31" t="n">
        <v>7798</v>
      </c>
      <c r="H298" s="31" t="n">
        <v>12</v>
      </c>
      <c r="I298" s="31" t="n">
        <v>93573</v>
      </c>
      <c r="J298" s="29" t="n">
        <v>45628</v>
      </c>
      <c r="K298" s="31" t="n">
        <v>7423</v>
      </c>
      <c r="L298" s="30" t="s">
        <v>32</v>
      </c>
      <c r="M298" s="10" t="n">
        <v>4</v>
      </c>
      <c r="N298" s="12" t="n">
        <v>-4690</v>
      </c>
      <c r="O298" s="13" t="n">
        <v>-0.0501249302687043</v>
      </c>
      <c r="P298" s="15" t="n">
        <v>0.0131075599625024</v>
      </c>
      <c r="Q298" s="13" t="n">
        <v>-0.0510131716806941</v>
      </c>
      <c r="R298" s="15" t="n">
        <v>0.0428380187416333</v>
      </c>
      <c r="S298" s="32" t="n">
        <v>35733937450</v>
      </c>
      <c r="T298" s="15" t="n">
        <v>0.0428380187416333</v>
      </c>
      <c r="U298" s="32" t="n">
        <v>12377530047</v>
      </c>
      <c r="V298" s="14" t="n">
        <v>2.65491371199813</v>
      </c>
      <c r="W298" s="13" t="n">
        <v>0.0386666666666666</v>
      </c>
      <c r="X298" s="15" t="n">
        <v>0.0218228498074455</v>
      </c>
      <c r="Y298" s="13" t="n">
        <v>-0.00551622907739291</v>
      </c>
      <c r="Z298" s="13" t="n">
        <v>0.0195837294443659</v>
      </c>
      <c r="AA298" s="30" t="s">
        <v>97</v>
      </c>
      <c r="AB298" s="28" t="s">
        <v>93</v>
      </c>
      <c r="AC298" s="28" t="s">
        <v>100</v>
      </c>
      <c r="AD298" s="28" t="s">
        <v>107</v>
      </c>
      <c r="AE298" s="28" t="s">
        <v>113</v>
      </c>
      <c r="AF298" s="28" t="s">
        <v>117</v>
      </c>
      <c r="AG298" s="30" t="s">
        <v>122</v>
      </c>
    </row>
    <row r="299" customFormat="false" ht="15" hidden="false" customHeight="false" outlineLevel="0" collapsed="false">
      <c r="A299" s="10" t="n">
        <v>2024</v>
      </c>
      <c r="B299" s="28" t="s">
        <v>61</v>
      </c>
      <c r="C299" s="29" t="n">
        <v>45623</v>
      </c>
      <c r="D299" s="30" t="s">
        <v>127</v>
      </c>
      <c r="E299" s="28" t="s">
        <v>613</v>
      </c>
      <c r="F299" s="30" t="s">
        <v>614</v>
      </c>
      <c r="G299" s="31" t="n">
        <v>38388</v>
      </c>
      <c r="H299" s="31" t="n">
        <v>2</v>
      </c>
      <c r="I299" s="31" t="n">
        <v>76777</v>
      </c>
      <c r="J299" s="29" t="n">
        <v>45630</v>
      </c>
      <c r="K299" s="31" t="n">
        <v>46100</v>
      </c>
      <c r="L299" s="30" t="s">
        <v>31</v>
      </c>
      <c r="M299" s="10" t="n">
        <v>5</v>
      </c>
      <c r="N299" s="12" t="n">
        <v>15232</v>
      </c>
      <c r="O299" s="13" t="n">
        <v>0.198393438308758</v>
      </c>
      <c r="P299" s="15" t="n">
        <v>0.226934734105529</v>
      </c>
      <c r="Q299" s="13" t="n">
        <v>-0.0166287428347401</v>
      </c>
      <c r="R299" s="15" t="n">
        <v>0.0364864864864865</v>
      </c>
      <c r="S299" s="32" t="n">
        <v>86991107450</v>
      </c>
      <c r="T299" s="15" t="n">
        <v>0.0158940397350993</v>
      </c>
      <c r="U299" s="32" t="n">
        <v>42550320587.5</v>
      </c>
      <c r="V299" s="14" t="n">
        <v>1.8834161104257</v>
      </c>
      <c r="W299" s="13" t="n">
        <v>0.0336927223719676</v>
      </c>
      <c r="X299" s="15" t="n">
        <v>0.001303780964798</v>
      </c>
      <c r="Y299" s="13" t="n">
        <v>-0.00686409877953953</v>
      </c>
      <c r="Z299" s="13" t="n">
        <v>0.00836727376736812</v>
      </c>
      <c r="AA299" s="30" t="s">
        <v>96</v>
      </c>
      <c r="AB299" s="28" t="s">
        <v>93</v>
      </c>
      <c r="AC299" s="28" t="s">
        <v>100</v>
      </c>
      <c r="AD299" s="28" t="s">
        <v>108</v>
      </c>
      <c r="AE299" s="28" t="s">
        <v>112</v>
      </c>
      <c r="AF299" s="28" t="s">
        <v>116</v>
      </c>
      <c r="AG299" s="30" t="s">
        <v>122</v>
      </c>
    </row>
    <row r="300" customFormat="false" ht="15" hidden="false" customHeight="false" outlineLevel="0" collapsed="false">
      <c r="A300" s="10" t="n">
        <v>2024</v>
      </c>
      <c r="B300" s="28" t="s">
        <v>62</v>
      </c>
      <c r="C300" s="29" t="n">
        <v>45628</v>
      </c>
      <c r="D300" s="30" t="s">
        <v>125</v>
      </c>
      <c r="E300" s="28" t="s">
        <v>343</v>
      </c>
      <c r="F300" s="30" t="s">
        <v>344</v>
      </c>
      <c r="G300" s="31" t="n">
        <v>6066</v>
      </c>
      <c r="H300" s="31" t="n">
        <v>16</v>
      </c>
      <c r="I300" s="31" t="n">
        <v>97057</v>
      </c>
      <c r="J300" s="29" t="n">
        <v>45629</v>
      </c>
      <c r="K300" s="31" t="n">
        <v>5774</v>
      </c>
      <c r="L300" s="30" t="s">
        <v>32</v>
      </c>
      <c r="M300" s="10" t="n">
        <v>1</v>
      </c>
      <c r="N300" s="12" t="n">
        <v>-4864</v>
      </c>
      <c r="O300" s="13" t="n">
        <v>-0.0501164904402529</v>
      </c>
      <c r="P300" s="15" t="n">
        <v>-0.000999000999000965</v>
      </c>
      <c r="Q300" s="13" t="n">
        <v>-0.0603455949990602</v>
      </c>
      <c r="R300" s="15" t="n">
        <v>0.147727272727273</v>
      </c>
      <c r="S300" s="32" t="n">
        <v>99883428840</v>
      </c>
      <c r="T300" s="15" t="n">
        <v>0.12430426716141</v>
      </c>
      <c r="U300" s="32" t="n">
        <v>13616210879</v>
      </c>
      <c r="V300" s="14" t="n">
        <v>6.10052488660719</v>
      </c>
      <c r="W300" s="13" t="n">
        <v>0.086021505376344</v>
      </c>
      <c r="X300" s="15" t="n">
        <v>0.0231023102310231</v>
      </c>
      <c r="Y300" s="13" t="n">
        <v>-0.000582268894218418</v>
      </c>
      <c r="Z300" s="13" t="n">
        <v>-0.0315111626695708</v>
      </c>
      <c r="AA300" s="30" t="s">
        <v>96</v>
      </c>
      <c r="AB300" s="28" t="s">
        <v>94</v>
      </c>
      <c r="AC300" s="28" t="s">
        <v>102</v>
      </c>
      <c r="AD300" s="28" t="s">
        <v>108</v>
      </c>
      <c r="AE300" s="28" t="s">
        <v>114</v>
      </c>
      <c r="AF300" s="28" t="s">
        <v>119</v>
      </c>
      <c r="AG300" s="30" t="s">
        <v>122</v>
      </c>
    </row>
    <row r="301" customFormat="false" ht="15" hidden="false" customHeight="false" outlineLevel="0" collapsed="false">
      <c r="A301" s="10" t="n">
        <v>2024</v>
      </c>
      <c r="B301" s="28" t="s">
        <v>62</v>
      </c>
      <c r="C301" s="29" t="n">
        <v>45628</v>
      </c>
      <c r="D301" s="30" t="s">
        <v>125</v>
      </c>
      <c r="E301" s="28" t="s">
        <v>615</v>
      </c>
      <c r="F301" s="30" t="s">
        <v>616</v>
      </c>
      <c r="G301" s="31" t="n">
        <v>26827</v>
      </c>
      <c r="H301" s="31" t="n">
        <v>3</v>
      </c>
      <c r="I301" s="31" t="n">
        <v>80480</v>
      </c>
      <c r="J301" s="29" t="n">
        <v>45630</v>
      </c>
      <c r="K301" s="31" t="n">
        <v>32200</v>
      </c>
      <c r="L301" s="30" t="s">
        <v>31</v>
      </c>
      <c r="M301" s="10" t="n">
        <v>2</v>
      </c>
      <c r="N301" s="12" t="n">
        <v>15919</v>
      </c>
      <c r="O301" s="13" t="n">
        <v>0.197801675190481</v>
      </c>
      <c r="P301" s="15" t="n">
        <v>0.237568401747506</v>
      </c>
      <c r="Q301" s="13" t="n">
        <v>-0.045730389013971</v>
      </c>
      <c r="R301" s="15" t="n">
        <v>0.0828282828282829</v>
      </c>
      <c r="S301" s="32" t="n">
        <v>58451577200</v>
      </c>
      <c r="T301" s="15" t="n">
        <v>0.0530451866404715</v>
      </c>
      <c r="U301" s="32" t="n">
        <v>5969054670</v>
      </c>
      <c r="V301" s="14" t="n">
        <v>8.57720056244609</v>
      </c>
      <c r="W301" s="13" t="n">
        <v>0.0720000000000001</v>
      </c>
      <c r="X301" s="15" t="n">
        <v>0.0578358208955223</v>
      </c>
      <c r="Y301" s="13" t="n">
        <v>-0.000582268894218418</v>
      </c>
      <c r="Z301" s="13" t="n">
        <v>-0.0315111626695708</v>
      </c>
      <c r="AA301" s="30" t="s">
        <v>96</v>
      </c>
      <c r="AB301" s="28" t="s">
        <v>94</v>
      </c>
      <c r="AC301" s="28" t="s">
        <v>101</v>
      </c>
      <c r="AD301" s="28" t="s">
        <v>108</v>
      </c>
      <c r="AE301" s="28" t="s">
        <v>101</v>
      </c>
      <c r="AF301" s="28" t="s">
        <v>119</v>
      </c>
      <c r="AG301" s="30" t="s">
        <v>122</v>
      </c>
    </row>
    <row r="302" customFormat="false" ht="15" hidden="false" customHeight="false" outlineLevel="0" collapsed="false">
      <c r="A302" s="10" t="n">
        <v>2024</v>
      </c>
      <c r="B302" s="28" t="s">
        <v>62</v>
      </c>
      <c r="C302" s="29" t="n">
        <v>45628</v>
      </c>
      <c r="D302" s="30" t="s">
        <v>125</v>
      </c>
      <c r="E302" s="28" t="s">
        <v>617</v>
      </c>
      <c r="F302" s="30" t="s">
        <v>618</v>
      </c>
      <c r="G302" s="31" t="n">
        <v>14343</v>
      </c>
      <c r="H302" s="31" t="n">
        <v>6</v>
      </c>
      <c r="I302" s="31" t="n">
        <v>86058</v>
      </c>
      <c r="J302" s="29" t="n">
        <v>45630</v>
      </c>
      <c r="K302" s="31" t="n">
        <v>17220</v>
      </c>
      <c r="L302" s="30" t="s">
        <v>31</v>
      </c>
      <c r="M302" s="10" t="n">
        <v>2</v>
      </c>
      <c r="N302" s="12" t="n">
        <v>17047</v>
      </c>
      <c r="O302" s="13" t="n">
        <v>0.198091802139702</v>
      </c>
      <c r="P302" s="15" t="n">
        <v>0.26690756739222</v>
      </c>
      <c r="Q302" s="13" t="n">
        <v>0.00222878898161616</v>
      </c>
      <c r="R302" s="15" t="n">
        <v>0.0727902946273831</v>
      </c>
      <c r="S302" s="32" t="n">
        <v>39440965370</v>
      </c>
      <c r="T302" s="15" t="n">
        <v>0.00487012987012991</v>
      </c>
      <c r="U302" s="32" t="n">
        <v>6535612738.5</v>
      </c>
      <c r="V302" s="14" t="n">
        <v>5.30914346198824</v>
      </c>
      <c r="W302" s="13" t="n">
        <v>0.0316666666666667</v>
      </c>
      <c r="X302" s="15" t="n">
        <v>0.0807754442649433</v>
      </c>
      <c r="Y302" s="13" t="n">
        <v>-0.000582268894218418</v>
      </c>
      <c r="Z302" s="13" t="n">
        <v>-0.0315111626695708</v>
      </c>
      <c r="AA302" s="30" t="s">
        <v>96</v>
      </c>
      <c r="AB302" s="28" t="s">
        <v>94</v>
      </c>
      <c r="AC302" s="28" t="s">
        <v>101</v>
      </c>
      <c r="AD302" s="28" t="s">
        <v>107</v>
      </c>
      <c r="AE302" s="28" t="s">
        <v>112</v>
      </c>
      <c r="AF302" s="28" t="s">
        <v>119</v>
      </c>
      <c r="AG302" s="30" t="s">
        <v>122</v>
      </c>
    </row>
    <row r="303" customFormat="false" ht="15" hidden="false" customHeight="false" outlineLevel="0" collapsed="false">
      <c r="A303" s="10" t="n">
        <v>2024</v>
      </c>
      <c r="B303" s="28" t="s">
        <v>62</v>
      </c>
      <c r="C303" s="29" t="n">
        <v>45628</v>
      </c>
      <c r="D303" s="30" t="s">
        <v>125</v>
      </c>
      <c r="E303" s="28" t="s">
        <v>619</v>
      </c>
      <c r="F303" s="30" t="s">
        <v>620</v>
      </c>
      <c r="G303" s="31" t="n">
        <v>23373</v>
      </c>
      <c r="H303" s="31" t="n">
        <v>4</v>
      </c>
      <c r="I303" s="31" t="n">
        <v>93493</v>
      </c>
      <c r="J303" s="29" t="n">
        <v>45632</v>
      </c>
      <c r="K303" s="31" t="n">
        <v>22228</v>
      </c>
      <c r="L303" s="30" t="s">
        <v>32</v>
      </c>
      <c r="M303" s="10" t="n">
        <v>4</v>
      </c>
      <c r="N303" s="12" t="n">
        <v>-4770</v>
      </c>
      <c r="O303" s="13" t="n">
        <v>-0.0510175098990945</v>
      </c>
      <c r="P303" s="15" t="n">
        <v>0.0674550289111318</v>
      </c>
      <c r="Q303" s="13" t="n">
        <v>-0.0566179003009838</v>
      </c>
      <c r="R303" s="15" t="n">
        <v>0.0447427293064877</v>
      </c>
      <c r="S303" s="32" t="n">
        <v>38472557450</v>
      </c>
      <c r="T303" s="15" t="n">
        <v>0.0354767184035476</v>
      </c>
      <c r="U303" s="32" t="n">
        <v>12408151342.5</v>
      </c>
      <c r="V303" s="14" t="n">
        <v>2.86913181026065</v>
      </c>
      <c r="W303" s="13" t="n">
        <v>0.0354767184035476</v>
      </c>
      <c r="X303" s="15" t="n">
        <v>0.00642398286937906</v>
      </c>
      <c r="Y303" s="13" t="n">
        <v>-0.000582268894218418</v>
      </c>
      <c r="Z303" s="13" t="n">
        <v>-0.0315111626695708</v>
      </c>
      <c r="AA303" s="30" t="s">
        <v>96</v>
      </c>
      <c r="AB303" s="28" t="s">
        <v>94</v>
      </c>
      <c r="AC303" s="28" t="s">
        <v>100</v>
      </c>
      <c r="AD303" s="28" t="s">
        <v>107</v>
      </c>
      <c r="AE303" s="28" t="s">
        <v>113</v>
      </c>
      <c r="AF303" s="28" t="s">
        <v>117</v>
      </c>
      <c r="AG303" s="30" t="s">
        <v>122</v>
      </c>
    </row>
    <row r="304" customFormat="false" ht="15" hidden="false" customHeight="false" outlineLevel="0" collapsed="false">
      <c r="A304" s="10" t="n">
        <v>2024</v>
      </c>
      <c r="B304" s="28" t="s">
        <v>62</v>
      </c>
      <c r="C304" s="29" t="n">
        <v>45629</v>
      </c>
      <c r="D304" s="30" t="s">
        <v>126</v>
      </c>
      <c r="E304" s="28" t="s">
        <v>481</v>
      </c>
      <c r="F304" s="30" t="s">
        <v>482</v>
      </c>
      <c r="G304" s="31" t="n">
        <v>43393</v>
      </c>
      <c r="H304" s="31" t="n">
        <v>2</v>
      </c>
      <c r="I304" s="31" t="n">
        <v>86787</v>
      </c>
      <c r="J304" s="29" t="n">
        <v>45631</v>
      </c>
      <c r="K304" s="31" t="n">
        <v>41309</v>
      </c>
      <c r="L304" s="30" t="s">
        <v>32</v>
      </c>
      <c r="M304" s="10" t="n">
        <v>2</v>
      </c>
      <c r="N304" s="12" t="n">
        <v>-4344</v>
      </c>
      <c r="O304" s="13" t="n">
        <v>-0.0500482417236742</v>
      </c>
      <c r="P304" s="15" t="n">
        <v>0.043938760201736</v>
      </c>
      <c r="Q304" s="13" t="n">
        <v>-0.0470890124869363</v>
      </c>
      <c r="R304" s="15" t="n">
        <v>0.0810473815461346</v>
      </c>
      <c r="S304" s="32" t="n">
        <v>36598064100</v>
      </c>
      <c r="T304" s="15" t="n">
        <v>0.0743494423791822</v>
      </c>
      <c r="U304" s="32" t="n">
        <v>13445759215</v>
      </c>
      <c r="V304" s="14" t="n">
        <v>2.43381638487259</v>
      </c>
      <c r="W304" s="13" t="n">
        <v>0.0677339901477831</v>
      </c>
      <c r="X304" s="15" t="n">
        <v>0.0034602076124568</v>
      </c>
      <c r="Y304" s="13" t="n">
        <v>0.0185864215638343</v>
      </c>
      <c r="Z304" s="13" t="n">
        <v>-0.00803853417765721</v>
      </c>
      <c r="AA304" s="30" t="s">
        <v>97</v>
      </c>
      <c r="AB304" s="28" t="s">
        <v>94</v>
      </c>
      <c r="AC304" s="28" t="s">
        <v>101</v>
      </c>
      <c r="AD304" s="28" t="s">
        <v>107</v>
      </c>
      <c r="AE304" s="28" t="s">
        <v>101</v>
      </c>
      <c r="AF304" s="28" t="s">
        <v>117</v>
      </c>
      <c r="AG304" s="30" t="s">
        <v>122</v>
      </c>
    </row>
    <row r="305" customFormat="false" ht="15" hidden="false" customHeight="false" outlineLevel="0" collapsed="false">
      <c r="A305" s="10" t="n">
        <v>2024</v>
      </c>
      <c r="B305" s="28" t="s">
        <v>62</v>
      </c>
      <c r="C305" s="29" t="n">
        <v>45629</v>
      </c>
      <c r="D305" s="30" t="s">
        <v>126</v>
      </c>
      <c r="E305" s="28" t="s">
        <v>245</v>
      </c>
      <c r="F305" s="30" t="s">
        <v>246</v>
      </c>
      <c r="G305" s="31" t="n">
        <v>66867</v>
      </c>
      <c r="H305" s="31" t="n">
        <v>1</v>
      </c>
      <c r="I305" s="31" t="n">
        <v>66867</v>
      </c>
      <c r="J305" s="29" t="n">
        <v>45632</v>
      </c>
      <c r="K305" s="31" t="n">
        <v>63636</v>
      </c>
      <c r="L305" s="30" t="s">
        <v>32</v>
      </c>
      <c r="M305" s="10" t="n">
        <v>3</v>
      </c>
      <c r="N305" s="12" t="n">
        <v>-3365</v>
      </c>
      <c r="O305" s="13" t="n">
        <v>-0.0503182566684811</v>
      </c>
      <c r="P305" s="15" t="n">
        <v>-0.0114675743418257</v>
      </c>
      <c r="Q305" s="13" t="n">
        <v>-0.0668014620110426</v>
      </c>
      <c r="R305" s="15" t="n">
        <v>0.0670926517571886</v>
      </c>
      <c r="S305" s="32" t="n">
        <v>22694498400</v>
      </c>
      <c r="T305" s="15" t="n">
        <v>0.0340557275541795</v>
      </c>
      <c r="U305" s="32" t="n">
        <v>6424107915</v>
      </c>
      <c r="V305" s="14" t="n">
        <v>3.26932385396408</v>
      </c>
      <c r="W305" s="13" t="n">
        <v>0.0620031796502385</v>
      </c>
      <c r="X305" s="15" t="n">
        <v>0</v>
      </c>
      <c r="Y305" s="13" t="n">
        <v>0.0185864215638343</v>
      </c>
      <c r="Z305" s="13" t="n">
        <v>-0.00803853417765721</v>
      </c>
      <c r="AA305" s="30" t="s">
        <v>97</v>
      </c>
      <c r="AB305" s="28" t="s">
        <v>94</v>
      </c>
      <c r="AC305" s="28" t="s">
        <v>101</v>
      </c>
      <c r="AD305" s="28" t="s">
        <v>106</v>
      </c>
      <c r="AE305" s="28" t="s">
        <v>113</v>
      </c>
      <c r="AF305" s="28" t="s">
        <v>118</v>
      </c>
      <c r="AG305" s="30" t="s">
        <v>122</v>
      </c>
    </row>
    <row r="306" customFormat="false" ht="15" hidden="false" customHeight="false" outlineLevel="0" collapsed="false">
      <c r="A306" s="10" t="n">
        <v>2024</v>
      </c>
      <c r="B306" s="28" t="s">
        <v>62</v>
      </c>
      <c r="C306" s="29" t="n">
        <v>45630</v>
      </c>
      <c r="D306" s="30" t="s">
        <v>127</v>
      </c>
      <c r="E306" s="28" t="s">
        <v>457</v>
      </c>
      <c r="F306" s="30" t="s">
        <v>458</v>
      </c>
      <c r="G306" s="31" t="n">
        <v>18338</v>
      </c>
      <c r="H306" s="31" t="n">
        <v>5</v>
      </c>
      <c r="I306" s="31" t="n">
        <v>91692</v>
      </c>
      <c r="J306" s="29" t="n">
        <v>45638</v>
      </c>
      <c r="K306" s="31" t="n">
        <v>22050</v>
      </c>
      <c r="L306" s="30" t="s">
        <v>31</v>
      </c>
      <c r="M306" s="10" t="n">
        <v>6</v>
      </c>
      <c r="N306" s="12" t="n">
        <v>18330</v>
      </c>
      <c r="O306" s="13" t="n">
        <v>0.199905539438727</v>
      </c>
      <c r="P306" s="15" t="n">
        <v>0.281469622080976</v>
      </c>
      <c r="Q306" s="13" t="n">
        <v>-0.0364439054395386</v>
      </c>
      <c r="R306" s="15" t="n">
        <v>0.163913595933926</v>
      </c>
      <c r="S306" s="32" t="n">
        <v>59266500720</v>
      </c>
      <c r="T306" s="15" t="n">
        <v>0.110976349302608</v>
      </c>
      <c r="U306" s="32" t="n">
        <v>3735939609.5</v>
      </c>
      <c r="V306" s="14" t="n">
        <v>12.9074088297107</v>
      </c>
      <c r="W306" s="13" t="n">
        <v>0.0274817722938867</v>
      </c>
      <c r="X306" s="15" t="n">
        <v>0.0633187772925765</v>
      </c>
      <c r="Y306" s="13" t="n">
        <v>-0.014439422423103</v>
      </c>
      <c r="Z306" s="13" t="n">
        <v>-0.015604899602886</v>
      </c>
      <c r="AA306" s="30" t="s">
        <v>96</v>
      </c>
      <c r="AB306" s="28" t="s">
        <v>94</v>
      </c>
      <c r="AC306" s="28" t="s">
        <v>103</v>
      </c>
      <c r="AD306" s="28" t="s">
        <v>108</v>
      </c>
      <c r="AE306" s="28" t="s">
        <v>114</v>
      </c>
      <c r="AF306" s="28" t="s">
        <v>120</v>
      </c>
      <c r="AG306" s="30" t="s">
        <v>122</v>
      </c>
    </row>
    <row r="307" customFormat="false" ht="15" hidden="false" customHeight="false" outlineLevel="0" collapsed="false">
      <c r="A307" s="10" t="n">
        <v>2024</v>
      </c>
      <c r="B307" s="28" t="s">
        <v>62</v>
      </c>
      <c r="C307" s="29" t="n">
        <v>45631</v>
      </c>
      <c r="D307" s="30" t="s">
        <v>128</v>
      </c>
      <c r="E307" s="28" t="s">
        <v>403</v>
      </c>
      <c r="F307" s="30" t="s">
        <v>404</v>
      </c>
      <c r="G307" s="31" t="n">
        <v>53654</v>
      </c>
      <c r="H307" s="31" t="n">
        <v>1</v>
      </c>
      <c r="I307" s="31" t="n">
        <v>53654</v>
      </c>
      <c r="J307" s="29" t="n">
        <v>45632</v>
      </c>
      <c r="K307" s="31" t="n">
        <v>51049</v>
      </c>
      <c r="L307" s="30" t="s">
        <v>32</v>
      </c>
      <c r="M307" s="10" t="n">
        <v>1</v>
      </c>
      <c r="N307" s="12" t="n">
        <v>-2712</v>
      </c>
      <c r="O307" s="13" t="n">
        <v>-0.0505519367759105</v>
      </c>
      <c r="P307" s="15" t="n">
        <v>0.0250943086763984</v>
      </c>
      <c r="Q307" s="13" t="n">
        <v>-0.0550494281837564</v>
      </c>
      <c r="R307" s="15" t="n">
        <v>0.0489236790606653</v>
      </c>
      <c r="S307" s="32" t="n">
        <v>48438320000</v>
      </c>
      <c r="T307" s="15" t="n">
        <v>0.00941619585687392</v>
      </c>
      <c r="U307" s="32" t="n">
        <v>23355435785</v>
      </c>
      <c r="V307" s="14" t="n">
        <v>1.886551592656</v>
      </c>
      <c r="W307" s="13" t="n">
        <v>0.0229007633587786</v>
      </c>
      <c r="X307" s="15" t="n">
        <v>0.0242537313432836</v>
      </c>
      <c r="Y307" s="13" t="n">
        <v>-0.00898944805194812</v>
      </c>
      <c r="Z307" s="13" t="n">
        <v>-0.0250811484147613</v>
      </c>
      <c r="AA307" s="30" t="s">
        <v>96</v>
      </c>
      <c r="AB307" s="28" t="s">
        <v>94</v>
      </c>
      <c r="AC307" s="28" t="s">
        <v>100</v>
      </c>
      <c r="AD307" s="28" t="s">
        <v>107</v>
      </c>
      <c r="AE307" s="28" t="s">
        <v>112</v>
      </c>
      <c r="AF307" s="28" t="s">
        <v>116</v>
      </c>
      <c r="AG307" s="30" t="s">
        <v>122</v>
      </c>
    </row>
    <row r="308" customFormat="false" ht="15" hidden="false" customHeight="false" outlineLevel="0" collapsed="false">
      <c r="A308" s="10" t="n">
        <v>2024</v>
      </c>
      <c r="B308" s="28" t="s">
        <v>62</v>
      </c>
      <c r="C308" s="29" t="n">
        <v>45636</v>
      </c>
      <c r="D308" s="30" t="s">
        <v>126</v>
      </c>
      <c r="E308" s="28" t="s">
        <v>621</v>
      </c>
      <c r="F308" s="30" t="s">
        <v>622</v>
      </c>
      <c r="G308" s="31" t="n">
        <v>22723</v>
      </c>
      <c r="H308" s="31" t="n">
        <v>4</v>
      </c>
      <c r="I308" s="31" t="n">
        <v>90891</v>
      </c>
      <c r="J308" s="29" t="n">
        <v>45638</v>
      </c>
      <c r="K308" s="31" t="n">
        <v>21628</v>
      </c>
      <c r="L308" s="30" t="s">
        <v>32</v>
      </c>
      <c r="M308" s="10" t="n">
        <v>2</v>
      </c>
      <c r="N308" s="12" t="n">
        <v>-4560</v>
      </c>
      <c r="O308" s="13" t="n">
        <v>-0.0501671758857883</v>
      </c>
      <c r="P308" s="15" t="n">
        <v>-0.00980077191530926</v>
      </c>
      <c r="Q308" s="13" t="n">
        <v>-0.0472082983096198</v>
      </c>
      <c r="R308" s="15" t="n">
        <v>0.14070351758794</v>
      </c>
      <c r="S308" s="32" t="n">
        <v>29296234100</v>
      </c>
      <c r="T308" s="15" t="n">
        <v>0.0318181818181818</v>
      </c>
      <c r="U308" s="32" t="n">
        <v>22771876782.5</v>
      </c>
      <c r="V308" s="14" t="n">
        <v>1.20235038093796</v>
      </c>
      <c r="W308" s="13" t="n">
        <v>0.120987654320988</v>
      </c>
      <c r="X308" s="15" t="n">
        <v>0</v>
      </c>
      <c r="Y308" s="13" t="n">
        <v>0.0242567504596329</v>
      </c>
      <c r="Z308" s="13" t="n">
        <v>-0.0329026838926442</v>
      </c>
      <c r="AA308" s="30" t="s">
        <v>96</v>
      </c>
      <c r="AB308" s="28" t="s">
        <v>94</v>
      </c>
      <c r="AC308" s="28" t="s">
        <v>102</v>
      </c>
      <c r="AD308" s="28" t="s">
        <v>106</v>
      </c>
      <c r="AE308" s="28" t="s">
        <v>113</v>
      </c>
      <c r="AF308" s="28" t="s">
        <v>116</v>
      </c>
      <c r="AG308" s="30" t="s">
        <v>122</v>
      </c>
    </row>
    <row r="309" customFormat="false" ht="15" hidden="false" customHeight="false" outlineLevel="0" collapsed="false">
      <c r="A309" s="10" t="n">
        <v>2024</v>
      </c>
      <c r="B309" s="28" t="s">
        <v>62</v>
      </c>
      <c r="C309" s="29" t="n">
        <v>45637</v>
      </c>
      <c r="D309" s="30" t="s">
        <v>127</v>
      </c>
      <c r="E309" s="28" t="s">
        <v>623</v>
      </c>
      <c r="F309" s="28" t="s">
        <v>624</v>
      </c>
      <c r="G309" s="31" t="n">
        <v>57557</v>
      </c>
      <c r="H309" s="31" t="n">
        <v>1</v>
      </c>
      <c r="I309" s="31" t="n">
        <v>57557</v>
      </c>
      <c r="J309" s="29" t="n">
        <v>45638</v>
      </c>
      <c r="K309" s="31" t="n">
        <v>54745</v>
      </c>
      <c r="L309" s="30" t="s">
        <v>32</v>
      </c>
      <c r="M309" s="10" t="n">
        <v>1</v>
      </c>
      <c r="N309" s="12" t="n">
        <v>-2928</v>
      </c>
      <c r="O309" s="13" t="n">
        <v>-0.0508654261390783</v>
      </c>
      <c r="P309" s="15" t="n">
        <v>-0.00273639404074177</v>
      </c>
      <c r="Q309" s="13" t="n">
        <v>-0.0531207922512269</v>
      </c>
      <c r="R309" s="15" t="n">
        <v>0.163967611336032</v>
      </c>
      <c r="S309" s="32" t="n">
        <v>50961330000</v>
      </c>
      <c r="T309" s="15" t="n">
        <v>0.151151151151151</v>
      </c>
      <c r="U309" s="32" t="n">
        <v>5105455577.5</v>
      </c>
      <c r="V309" s="14" t="n">
        <v>8.29480355757379</v>
      </c>
      <c r="W309" s="13" t="n">
        <v>0.156941649899396</v>
      </c>
      <c r="X309" s="15" t="n">
        <v>0.017391304347826</v>
      </c>
      <c r="Y309" s="13" t="n">
        <v>0.0102033219733315</v>
      </c>
      <c r="Z309" s="13" t="n">
        <v>-0.00872159090909086</v>
      </c>
      <c r="AA309" s="30" t="s">
        <v>96</v>
      </c>
      <c r="AB309" s="28" t="s">
        <v>94</v>
      </c>
      <c r="AC309" s="28" t="s">
        <v>103</v>
      </c>
      <c r="AD309" s="28" t="s">
        <v>108</v>
      </c>
      <c r="AE309" s="28" t="s">
        <v>114</v>
      </c>
      <c r="AF309" s="28" t="s">
        <v>119</v>
      </c>
      <c r="AG309" s="30" t="s">
        <v>122</v>
      </c>
    </row>
    <row r="310" customFormat="false" ht="15" hidden="false" customHeight="false" outlineLevel="0" collapsed="false">
      <c r="A310" s="10" t="n">
        <v>2024</v>
      </c>
      <c r="B310" s="28" t="s">
        <v>62</v>
      </c>
      <c r="C310" s="29" t="n">
        <v>45637</v>
      </c>
      <c r="D310" s="30" t="s">
        <v>127</v>
      </c>
      <c r="E310" s="28" t="s">
        <v>575</v>
      </c>
      <c r="F310" s="30" t="s">
        <v>576</v>
      </c>
      <c r="G310" s="31" t="n">
        <v>18859</v>
      </c>
      <c r="H310" s="31" t="n">
        <v>5</v>
      </c>
      <c r="I310" s="31" t="n">
        <v>94296</v>
      </c>
      <c r="J310" s="29" t="n">
        <v>45638</v>
      </c>
      <c r="K310" s="31" t="n">
        <v>17952</v>
      </c>
      <c r="L310" s="30" t="s">
        <v>32</v>
      </c>
      <c r="M310" s="10" t="n">
        <v>1</v>
      </c>
      <c r="N310" s="12" t="n">
        <v>-4725</v>
      </c>
      <c r="O310" s="13" t="n">
        <v>-0.0501047547511049</v>
      </c>
      <c r="P310" s="15" t="n">
        <v>0.102212704422649</v>
      </c>
      <c r="Q310" s="13" t="n">
        <v>-0.0992432981383257</v>
      </c>
      <c r="R310" s="15" t="n">
        <v>0.18610747051114</v>
      </c>
      <c r="S310" s="32" t="n">
        <v>26026060590</v>
      </c>
      <c r="T310" s="15" t="n">
        <v>0.0722748815165875</v>
      </c>
      <c r="U310" s="32" t="n">
        <v>3157433816.3</v>
      </c>
      <c r="V310" s="14" t="n">
        <v>6.9396216427578</v>
      </c>
      <c r="W310" s="13" t="n">
        <v>0.096305269533616</v>
      </c>
      <c r="X310" s="15" t="n">
        <v>0.0767955801104974</v>
      </c>
      <c r="Y310" s="13" t="n">
        <v>0.0102033219733315</v>
      </c>
      <c r="Z310" s="13" t="n">
        <v>-0.00872159090909086</v>
      </c>
      <c r="AA310" s="30" t="s">
        <v>96</v>
      </c>
      <c r="AB310" s="28" t="s">
        <v>94</v>
      </c>
      <c r="AC310" s="28" t="s">
        <v>103</v>
      </c>
      <c r="AD310" s="28" t="s">
        <v>106</v>
      </c>
      <c r="AE310" s="28" t="s">
        <v>101</v>
      </c>
      <c r="AF310" s="28" t="s">
        <v>119</v>
      </c>
      <c r="AG310" s="30" t="s">
        <v>122</v>
      </c>
    </row>
    <row r="311" customFormat="false" ht="15" hidden="false" customHeight="false" outlineLevel="0" collapsed="false">
      <c r="A311" s="10" t="n">
        <v>2024</v>
      </c>
      <c r="B311" s="28" t="s">
        <v>62</v>
      </c>
      <c r="C311" s="29" t="n">
        <v>45638</v>
      </c>
      <c r="D311" s="30" t="s">
        <v>128</v>
      </c>
      <c r="E311" s="28" t="s">
        <v>213</v>
      </c>
      <c r="F311" s="30" t="s">
        <v>214</v>
      </c>
      <c r="G311" s="31" t="n">
        <v>35435</v>
      </c>
      <c r="H311" s="31" t="n">
        <v>2</v>
      </c>
      <c r="I311" s="31" t="n">
        <v>70871</v>
      </c>
      <c r="J311" s="29" t="n">
        <v>45639</v>
      </c>
      <c r="K311" s="31" t="n">
        <v>33716</v>
      </c>
      <c r="L311" s="30" t="s">
        <v>32</v>
      </c>
      <c r="M311" s="10" t="n">
        <v>1</v>
      </c>
      <c r="N311" s="12" t="n">
        <v>-3580</v>
      </c>
      <c r="O311" s="13" t="n">
        <v>-0.0505204399414146</v>
      </c>
      <c r="P311" s="15" t="n">
        <v>-0.00523205607951349</v>
      </c>
      <c r="Q311" s="13" t="n">
        <v>-0.0729609373677169</v>
      </c>
      <c r="R311" s="15" t="n">
        <v>0.156862745098039</v>
      </c>
      <c r="S311" s="32" t="n">
        <v>46142377800</v>
      </c>
      <c r="T311" s="15" t="n">
        <v>0.0535714285714286</v>
      </c>
      <c r="U311" s="32" t="n">
        <v>6701123050</v>
      </c>
      <c r="V311" s="14" t="n">
        <v>6.04351427459324</v>
      </c>
      <c r="W311" s="13" t="n">
        <v>0.0993788819875776</v>
      </c>
      <c r="X311" s="15" t="n">
        <v>0.0564971751412429</v>
      </c>
      <c r="Y311" s="13" t="n">
        <v>0.0162169243933494</v>
      </c>
      <c r="Z311" s="13" t="n">
        <v>0.0164915944877859</v>
      </c>
      <c r="AA311" s="30" t="s">
        <v>97</v>
      </c>
      <c r="AB311" s="28" t="s">
        <v>93</v>
      </c>
      <c r="AC311" s="28" t="s">
        <v>103</v>
      </c>
      <c r="AD311" s="28" t="s">
        <v>107</v>
      </c>
      <c r="AE311" s="28" t="s">
        <v>101</v>
      </c>
      <c r="AF311" s="28" t="s">
        <v>119</v>
      </c>
      <c r="AG311" s="30" t="s">
        <v>122</v>
      </c>
    </row>
    <row r="312" customFormat="false" ht="15" hidden="false" customHeight="false" outlineLevel="0" collapsed="false">
      <c r="A312" s="10" t="n">
        <v>2024</v>
      </c>
      <c r="B312" s="28" t="s">
        <v>62</v>
      </c>
      <c r="C312" s="29" t="n">
        <v>45638</v>
      </c>
      <c r="D312" s="30" t="s">
        <v>128</v>
      </c>
      <c r="E312" s="28" t="s">
        <v>597</v>
      </c>
      <c r="F312" s="30" t="s">
        <v>598</v>
      </c>
      <c r="G312" s="31" t="n">
        <v>30030</v>
      </c>
      <c r="H312" s="31" t="n">
        <v>3</v>
      </c>
      <c r="I312" s="31" t="n">
        <v>90090</v>
      </c>
      <c r="J312" s="29" t="n">
        <v>45643</v>
      </c>
      <c r="K312" s="31" t="n">
        <v>28571</v>
      </c>
      <c r="L312" s="30" t="s">
        <v>32</v>
      </c>
      <c r="M312" s="10" t="n">
        <v>3</v>
      </c>
      <c r="N312" s="12" t="n">
        <v>-4556</v>
      </c>
      <c r="O312" s="13" t="n">
        <v>-0.0505767142857143</v>
      </c>
      <c r="P312" s="15" t="n">
        <v>0.0223110223110223</v>
      </c>
      <c r="Q312" s="13" t="n">
        <v>-0.0476190476190475</v>
      </c>
      <c r="R312" s="15" t="n">
        <v>0.0507880910683012</v>
      </c>
      <c r="S312" s="32" t="n">
        <v>40022580000</v>
      </c>
      <c r="T312" s="15" t="n">
        <v>0.0309278350515463</v>
      </c>
      <c r="U312" s="32" t="n">
        <v>23449322720</v>
      </c>
      <c r="V312" s="14" t="n">
        <v>1.58135505806008</v>
      </c>
      <c r="W312" s="13" t="n">
        <v>0.0309278350515463</v>
      </c>
      <c r="X312" s="15" t="n">
        <v>0.01</v>
      </c>
      <c r="Y312" s="13" t="n">
        <v>0.0162169243933494</v>
      </c>
      <c r="Z312" s="13" t="n">
        <v>0.0164915944877859</v>
      </c>
      <c r="AA312" s="30" t="s">
        <v>97</v>
      </c>
      <c r="AB312" s="28" t="s">
        <v>93</v>
      </c>
      <c r="AC312" s="28" t="s">
        <v>101</v>
      </c>
      <c r="AD312" s="28" t="s">
        <v>107</v>
      </c>
      <c r="AE312" s="28" t="s">
        <v>113</v>
      </c>
      <c r="AF312" s="28" t="s">
        <v>116</v>
      </c>
      <c r="AG312" s="30" t="s">
        <v>122</v>
      </c>
    </row>
    <row r="313" customFormat="false" ht="15" hidden="false" customHeight="false" outlineLevel="0" collapsed="false">
      <c r="A313" s="10" t="n">
        <v>2024</v>
      </c>
      <c r="B313" s="28" t="s">
        <v>62</v>
      </c>
      <c r="C313" s="29" t="n">
        <v>45638</v>
      </c>
      <c r="D313" s="30" t="s">
        <v>128</v>
      </c>
      <c r="E313" s="28" t="s">
        <v>625</v>
      </c>
      <c r="F313" s="30" t="s">
        <v>626</v>
      </c>
      <c r="G313" s="31" t="n">
        <v>7728</v>
      </c>
      <c r="H313" s="31" t="n">
        <v>12</v>
      </c>
      <c r="I313" s="31" t="n">
        <v>92733</v>
      </c>
      <c r="J313" s="29" t="n">
        <v>45645</v>
      </c>
      <c r="K313" s="31" t="n">
        <v>9280</v>
      </c>
      <c r="L313" s="30" t="s">
        <v>31</v>
      </c>
      <c r="M313" s="10" t="n">
        <v>5</v>
      </c>
      <c r="N313" s="12" t="n">
        <v>18396</v>
      </c>
      <c r="O313" s="13" t="n">
        <v>0.198379967441885</v>
      </c>
      <c r="P313" s="15" t="n">
        <v>0.208635923661831</v>
      </c>
      <c r="Q313" s="13" t="n">
        <v>-0.02299772766094</v>
      </c>
      <c r="R313" s="15" t="n">
        <v>0.148809523809524</v>
      </c>
      <c r="S313" s="32" t="n">
        <v>25308815680</v>
      </c>
      <c r="T313" s="15" t="n">
        <v>0.113997113997114</v>
      </c>
      <c r="U313" s="32" t="n">
        <v>3214884589</v>
      </c>
      <c r="V313" s="14" t="n">
        <v>6.5667857464423</v>
      </c>
      <c r="W313" s="13" t="n">
        <v>0.143703703703704</v>
      </c>
      <c r="X313" s="15" t="n">
        <v>0.0362694300518134</v>
      </c>
      <c r="Y313" s="13" t="n">
        <v>0.0162169243933494</v>
      </c>
      <c r="Z313" s="13" t="n">
        <v>0.0164915944877859</v>
      </c>
      <c r="AA313" s="30" t="s">
        <v>97</v>
      </c>
      <c r="AB313" s="28" t="s">
        <v>93</v>
      </c>
      <c r="AC313" s="28" t="s">
        <v>102</v>
      </c>
      <c r="AD313" s="28" t="s">
        <v>106</v>
      </c>
      <c r="AE313" s="28" t="s">
        <v>114</v>
      </c>
      <c r="AF313" s="28" t="s">
        <v>119</v>
      </c>
      <c r="AG313" s="30" t="s">
        <v>122</v>
      </c>
    </row>
    <row r="314" customFormat="false" ht="15" hidden="false" customHeight="false" outlineLevel="0" collapsed="false">
      <c r="A314" s="10" t="n">
        <v>2024</v>
      </c>
      <c r="B314" s="28" t="s">
        <v>62</v>
      </c>
      <c r="C314" s="29" t="n">
        <v>45639</v>
      </c>
      <c r="D314" s="30" t="s">
        <v>129</v>
      </c>
      <c r="E314" s="28" t="s">
        <v>545</v>
      </c>
      <c r="F314" s="30" t="s">
        <v>546</v>
      </c>
      <c r="G314" s="31" t="n">
        <v>30130</v>
      </c>
      <c r="H314" s="31" t="n">
        <v>3</v>
      </c>
      <c r="I314" s="31" t="n">
        <v>90390</v>
      </c>
      <c r="J314" s="29" t="n">
        <v>45645</v>
      </c>
      <c r="K314" s="31" t="n">
        <v>28571</v>
      </c>
      <c r="L314" s="30" t="s">
        <v>32</v>
      </c>
      <c r="M314" s="10" t="n">
        <v>4</v>
      </c>
      <c r="N314" s="12" t="n">
        <v>-4857</v>
      </c>
      <c r="O314" s="13" t="n">
        <v>-0.0537314428096819</v>
      </c>
      <c r="P314" s="15" t="n">
        <v>0.080315033803406</v>
      </c>
      <c r="Q314" s="13" t="n">
        <v>-0.0574209843312832</v>
      </c>
      <c r="R314" s="15" t="n">
        <v>0.0598591549295775</v>
      </c>
      <c r="S314" s="32" t="n">
        <v>51495350900</v>
      </c>
      <c r="T314" s="15" t="n">
        <v>0.0579964850615113</v>
      </c>
      <c r="U314" s="32" t="n">
        <v>48083064275</v>
      </c>
      <c r="V314" s="14" t="n">
        <v>0.954314577535894</v>
      </c>
      <c r="W314" s="13" t="n">
        <v>0.0524475524475525</v>
      </c>
      <c r="X314" s="15" t="n">
        <v>0.00498338870431891</v>
      </c>
      <c r="Y314" s="13" t="n">
        <v>0.00497155657260739</v>
      </c>
      <c r="Z314" s="13" t="n">
        <v>0.0273046257248288</v>
      </c>
      <c r="AA314" s="30" t="s">
        <v>97</v>
      </c>
      <c r="AB314" s="28" t="s">
        <v>93</v>
      </c>
      <c r="AC314" s="28" t="s">
        <v>101</v>
      </c>
      <c r="AD314" s="28" t="s">
        <v>108</v>
      </c>
      <c r="AE314" s="28" t="s">
        <v>101</v>
      </c>
      <c r="AF314" s="28" t="s">
        <v>116</v>
      </c>
      <c r="AG314" s="30" t="s">
        <v>122</v>
      </c>
    </row>
    <row r="315" customFormat="false" ht="15" hidden="false" customHeight="false" outlineLevel="0" collapsed="false">
      <c r="A315" s="10" t="n">
        <v>2024</v>
      </c>
      <c r="B315" s="28" t="s">
        <v>62</v>
      </c>
      <c r="C315" s="29" t="n">
        <v>45639</v>
      </c>
      <c r="D315" s="30" t="s">
        <v>129</v>
      </c>
      <c r="E315" s="28" t="s">
        <v>301</v>
      </c>
      <c r="F315" s="28" t="s">
        <v>302</v>
      </c>
      <c r="G315" s="31" t="n">
        <v>31491</v>
      </c>
      <c r="H315" s="31" t="n">
        <v>3</v>
      </c>
      <c r="I315" s="31" t="n">
        <v>94474</v>
      </c>
      <c r="J315" s="29" t="n">
        <v>45646</v>
      </c>
      <c r="K315" s="31" t="n">
        <v>29970</v>
      </c>
      <c r="L315" s="30" t="s">
        <v>32</v>
      </c>
      <c r="M315" s="10" t="n">
        <v>5</v>
      </c>
      <c r="N315" s="12" t="n">
        <v>-4754</v>
      </c>
      <c r="O315" s="13" t="n">
        <v>-0.0503192046034067</v>
      </c>
      <c r="P315" s="15" t="n">
        <v>0.0320258254142554</v>
      </c>
      <c r="Q315" s="13" t="n">
        <v>-0.0530766118814433</v>
      </c>
      <c r="R315" s="15" t="n">
        <v>0.0148387096774194</v>
      </c>
      <c r="S315" s="32" t="n">
        <v>37786763300</v>
      </c>
      <c r="T315" s="15" t="n">
        <v>0.00768737988468926</v>
      </c>
      <c r="U315" s="32" t="n">
        <v>42061504110</v>
      </c>
      <c r="V315" s="14" t="n">
        <v>0.834763142764857</v>
      </c>
      <c r="W315" s="13" t="n">
        <v>0.0141843971631206</v>
      </c>
      <c r="X315" s="15" t="n">
        <v>0</v>
      </c>
      <c r="Y315" s="13" t="n">
        <v>0.00497155657260739</v>
      </c>
      <c r="Z315" s="13" t="n">
        <v>0.0273046257248288</v>
      </c>
      <c r="AA315" s="30" t="s">
        <v>97</v>
      </c>
      <c r="AB315" s="28" t="s">
        <v>93</v>
      </c>
      <c r="AC315" s="28" t="s">
        <v>99</v>
      </c>
      <c r="AD315" s="28" t="s">
        <v>107</v>
      </c>
      <c r="AE315" s="28" t="s">
        <v>112</v>
      </c>
      <c r="AF315" s="28" t="s">
        <v>116</v>
      </c>
      <c r="AG315" s="30" t="s">
        <v>122</v>
      </c>
    </row>
    <row r="316" customFormat="false" ht="15" hidden="false" customHeight="false" outlineLevel="0" collapsed="false">
      <c r="A316" s="10" t="n">
        <v>2024</v>
      </c>
      <c r="B316" s="28" t="s">
        <v>62</v>
      </c>
      <c r="C316" s="29" t="n">
        <v>45639</v>
      </c>
      <c r="D316" s="30" t="s">
        <v>129</v>
      </c>
      <c r="E316" s="28" t="s">
        <v>209</v>
      </c>
      <c r="F316" s="30" t="s">
        <v>210</v>
      </c>
      <c r="G316" s="31" t="n">
        <v>25776</v>
      </c>
      <c r="H316" s="31" t="n">
        <v>3</v>
      </c>
      <c r="I316" s="31" t="n">
        <v>77327</v>
      </c>
      <c r="J316" s="29"/>
      <c r="K316" s="31"/>
      <c r="L316" s="30" t="s">
        <v>33</v>
      </c>
      <c r="M316" s="10" t="n">
        <v>10</v>
      </c>
      <c r="N316" s="12" t="n">
        <v>167222</v>
      </c>
      <c r="O316" s="13" t="n">
        <v>2.16964588809249</v>
      </c>
      <c r="P316" s="15" t="n">
        <v>4.73795136901933</v>
      </c>
      <c r="Q316" s="13" t="n">
        <v>-0.231836125040008</v>
      </c>
      <c r="R316" s="15" t="n">
        <v>0.0218253968253968</v>
      </c>
      <c r="S316" s="32" t="n">
        <v>29738700750</v>
      </c>
      <c r="T316" s="15" t="n">
        <v>0.017786561264822</v>
      </c>
      <c r="U316" s="32" t="n">
        <v>19569781650</v>
      </c>
      <c r="V316" s="14" t="n">
        <v>1.34582223590301</v>
      </c>
      <c r="W316" s="13" t="n">
        <v>0.0218253968253968</v>
      </c>
      <c r="X316" s="15" t="n">
        <v>0.0349514563106796</v>
      </c>
      <c r="Y316" s="13" t="n">
        <v>0.00497155657260739</v>
      </c>
      <c r="Z316" s="13" t="n">
        <v>0.0273046257248288</v>
      </c>
      <c r="AA316" s="30" t="s">
        <v>97</v>
      </c>
      <c r="AB316" s="28" t="s">
        <v>93</v>
      </c>
      <c r="AC316" s="28" t="s">
        <v>99</v>
      </c>
      <c r="AD316" s="28" t="s">
        <v>106</v>
      </c>
      <c r="AE316" s="28" t="s">
        <v>112</v>
      </c>
      <c r="AF316" s="28" t="s">
        <v>116</v>
      </c>
      <c r="AG316" s="30" t="s">
        <v>122</v>
      </c>
    </row>
    <row r="317" customFormat="false" ht="15" hidden="false" customHeight="false" outlineLevel="0" collapsed="false">
      <c r="A317" s="10" t="n">
        <v>2024</v>
      </c>
      <c r="B317" s="28" t="s">
        <v>62</v>
      </c>
      <c r="C317" s="29" t="n">
        <v>45639</v>
      </c>
      <c r="D317" s="30" t="s">
        <v>129</v>
      </c>
      <c r="E317" s="28" t="s">
        <v>563</v>
      </c>
      <c r="F317" s="30" t="s">
        <v>564</v>
      </c>
      <c r="G317" s="31" t="n">
        <v>63163</v>
      </c>
      <c r="H317" s="31" t="n">
        <v>1</v>
      </c>
      <c r="I317" s="31" t="n">
        <v>63163</v>
      </c>
      <c r="J317" s="29" t="n">
        <v>45642</v>
      </c>
      <c r="K317" s="31" t="n">
        <v>60040</v>
      </c>
      <c r="L317" s="30" t="s">
        <v>32</v>
      </c>
      <c r="M317" s="10" t="n">
        <v>1</v>
      </c>
      <c r="N317" s="12" t="n">
        <v>-3250</v>
      </c>
      <c r="O317" s="13" t="n">
        <v>-0.0514501705901072</v>
      </c>
      <c r="P317" s="15" t="n">
        <v>-0.005748609552096</v>
      </c>
      <c r="Q317" s="13" t="n">
        <v>-0.0516614922320151</v>
      </c>
      <c r="R317" s="15" t="n">
        <v>0.120781527531084</v>
      </c>
      <c r="S317" s="32" t="n">
        <v>27264121800</v>
      </c>
      <c r="T317" s="15" t="n">
        <v>0.0344262295081967</v>
      </c>
      <c r="U317" s="32" t="n">
        <v>7318043517.5</v>
      </c>
      <c r="V317" s="14" t="n">
        <v>3.26050710598093</v>
      </c>
      <c r="W317" s="13" t="n">
        <v>0.10896309314587</v>
      </c>
      <c r="X317" s="15" t="n">
        <v>0</v>
      </c>
      <c r="Y317" s="13" t="n">
        <v>0.00497155657260739</v>
      </c>
      <c r="Z317" s="13" t="n">
        <v>0.0273046257248288</v>
      </c>
      <c r="AA317" s="30" t="s">
        <v>97</v>
      </c>
      <c r="AB317" s="28" t="s">
        <v>93</v>
      </c>
      <c r="AC317" s="28" t="s">
        <v>102</v>
      </c>
      <c r="AD317" s="28" t="s">
        <v>106</v>
      </c>
      <c r="AE317" s="28" t="s">
        <v>113</v>
      </c>
      <c r="AF317" s="28" t="s">
        <v>118</v>
      </c>
      <c r="AG317" s="30" t="s">
        <v>122</v>
      </c>
    </row>
    <row r="318" customFormat="false" ht="15" hidden="false" customHeight="false" outlineLevel="0" collapsed="false">
      <c r="A318" s="10" t="n">
        <v>2024</v>
      </c>
      <c r="B318" s="28" t="s">
        <v>62</v>
      </c>
      <c r="C318" s="29" t="n">
        <v>45639</v>
      </c>
      <c r="D318" s="30" t="s">
        <v>129</v>
      </c>
      <c r="E318" s="28" t="s">
        <v>627</v>
      </c>
      <c r="F318" s="30" t="s">
        <v>628</v>
      </c>
      <c r="G318" s="31" t="n">
        <v>12291</v>
      </c>
      <c r="H318" s="31" t="n">
        <v>8</v>
      </c>
      <c r="I318" s="31" t="n">
        <v>98325</v>
      </c>
      <c r="J318" s="29" t="n">
        <v>45644</v>
      </c>
      <c r="K318" s="31" t="n">
        <v>8824</v>
      </c>
      <c r="L318" s="30" t="s">
        <v>32</v>
      </c>
      <c r="M318" s="10" t="n">
        <v>3</v>
      </c>
      <c r="N318" s="12" t="n">
        <v>-27888</v>
      </c>
      <c r="O318" s="13" t="n">
        <v>-0.283627897902933</v>
      </c>
      <c r="P318" s="15" t="n">
        <v>0.0831786597803312</v>
      </c>
      <c r="Q318" s="13" t="n">
        <v>-0.281359309214462</v>
      </c>
      <c r="R318" s="15" t="n">
        <v>0.1976647206005</v>
      </c>
      <c r="S318" s="32" t="n">
        <v>21631774760</v>
      </c>
      <c r="T318" s="15" t="n">
        <v>0.128930817610063</v>
      </c>
      <c r="U318" s="32" t="n">
        <v>3001973875.5</v>
      </c>
      <c r="V318" s="14" t="n">
        <v>5.87865752420171</v>
      </c>
      <c r="W318" s="13" t="n">
        <v>0.186776859504132</v>
      </c>
      <c r="X318" s="15" t="n">
        <v>0.0445682451253482</v>
      </c>
      <c r="Y318" s="13" t="n">
        <v>0.00497155657260739</v>
      </c>
      <c r="Z318" s="13" t="n">
        <v>0.0273046257248288</v>
      </c>
      <c r="AA318" s="30" t="s">
        <v>97</v>
      </c>
      <c r="AB318" s="28" t="s">
        <v>93</v>
      </c>
      <c r="AC318" s="28" t="s">
        <v>103</v>
      </c>
      <c r="AD318" s="28" t="s">
        <v>106</v>
      </c>
      <c r="AE318" s="28" t="s">
        <v>114</v>
      </c>
      <c r="AF318" s="28" t="s">
        <v>119</v>
      </c>
      <c r="AG318" s="30" t="s">
        <v>122</v>
      </c>
    </row>
    <row r="319" customFormat="false" ht="15" hidden="false" customHeight="false" outlineLevel="0" collapsed="false">
      <c r="A319" s="10" t="n">
        <v>2024</v>
      </c>
      <c r="B319" s="28" t="s">
        <v>62</v>
      </c>
      <c r="C319" s="29" t="n">
        <v>45642</v>
      </c>
      <c r="D319" s="30" t="s">
        <v>125</v>
      </c>
      <c r="E319" s="28" t="s">
        <v>629</v>
      </c>
      <c r="F319" s="30" t="s">
        <v>630</v>
      </c>
      <c r="G319" s="31" t="n">
        <v>3213</v>
      </c>
      <c r="H319" s="31" t="n">
        <v>30</v>
      </c>
      <c r="I319" s="31" t="n">
        <v>96396</v>
      </c>
      <c r="J319" s="29" t="n">
        <v>45646</v>
      </c>
      <c r="K319" s="31" t="n">
        <v>3002</v>
      </c>
      <c r="L319" s="30" t="s">
        <v>32</v>
      </c>
      <c r="M319" s="10" t="n">
        <v>4</v>
      </c>
      <c r="N319" s="12" t="n">
        <v>-6527</v>
      </c>
      <c r="O319" s="13" t="n">
        <v>-0.0677051520908999</v>
      </c>
      <c r="P319" s="15" t="n">
        <v>0.182618005047912</v>
      </c>
      <c r="Q319" s="13" t="n">
        <v>-0.116148648858929</v>
      </c>
      <c r="R319" s="15" t="n">
        <v>0.266272189349113</v>
      </c>
      <c r="S319" s="32" t="n">
        <v>143797214400</v>
      </c>
      <c r="T319" s="15" t="n">
        <v>0.152603231597846</v>
      </c>
      <c r="U319" s="32" t="n">
        <v>3328212385.25</v>
      </c>
      <c r="V319" s="14" t="n">
        <v>34.5822341907</v>
      </c>
      <c r="W319" s="13" t="n">
        <v>0.191094619666048</v>
      </c>
      <c r="X319" s="15" t="n">
        <v>0.0264797507788162</v>
      </c>
      <c r="Y319" s="13" t="n">
        <v>-0.00220087714375061</v>
      </c>
      <c r="Z319" s="13" t="n">
        <v>0.0543891755416042</v>
      </c>
      <c r="AA319" s="30" t="s">
        <v>97</v>
      </c>
      <c r="AB319" s="28" t="s">
        <v>93</v>
      </c>
      <c r="AC319" s="28" t="s">
        <v>104</v>
      </c>
      <c r="AD319" s="28" t="s">
        <v>109</v>
      </c>
      <c r="AE319" s="28" t="s">
        <v>114</v>
      </c>
      <c r="AF319" s="28" t="s">
        <v>120</v>
      </c>
      <c r="AG319" s="30" t="s">
        <v>122</v>
      </c>
    </row>
    <row r="320" customFormat="false" ht="15" hidden="false" customHeight="false" outlineLevel="0" collapsed="false">
      <c r="A320" s="10" t="n">
        <v>2024</v>
      </c>
      <c r="B320" s="28" t="s">
        <v>62</v>
      </c>
      <c r="C320" s="29" t="n">
        <v>45642</v>
      </c>
      <c r="D320" s="30" t="s">
        <v>125</v>
      </c>
      <c r="E320" s="28" t="s">
        <v>227</v>
      </c>
      <c r="F320" s="30" t="s">
        <v>228</v>
      </c>
      <c r="G320" s="31" t="n">
        <v>12052</v>
      </c>
      <c r="H320" s="31" t="n">
        <v>8</v>
      </c>
      <c r="I320" s="31" t="n">
        <v>96416</v>
      </c>
      <c r="J320" s="29" t="n">
        <v>45645</v>
      </c>
      <c r="K320" s="31" t="n">
        <v>11419</v>
      </c>
      <c r="L320" s="30" t="s">
        <v>32</v>
      </c>
      <c r="M320" s="10" t="n">
        <v>3</v>
      </c>
      <c r="N320" s="12" t="n">
        <v>-5260</v>
      </c>
      <c r="O320" s="13" t="n">
        <v>-0.054558731758275</v>
      </c>
      <c r="P320" s="15" t="n">
        <v>0.0147659649320779</v>
      </c>
      <c r="Q320" s="13" t="n">
        <v>-0.0582507193802874</v>
      </c>
      <c r="R320" s="15" t="n">
        <v>0.0442324371205551</v>
      </c>
      <c r="S320" s="32" t="n">
        <v>59395800240</v>
      </c>
      <c r="T320" s="15" t="n">
        <v>0.00837520938023451</v>
      </c>
      <c r="U320" s="32" t="n">
        <v>16606316109.5</v>
      </c>
      <c r="V320" s="14" t="n">
        <v>3.36071386674962</v>
      </c>
      <c r="W320" s="13" t="n">
        <v>0.029059829059829</v>
      </c>
      <c r="X320" s="15" t="n">
        <v>0.0249169435215948</v>
      </c>
      <c r="Y320" s="13" t="n">
        <v>-0.00220087714375061</v>
      </c>
      <c r="Z320" s="13" t="n">
        <v>0.0543891755416042</v>
      </c>
      <c r="AA320" s="30" t="s">
        <v>97</v>
      </c>
      <c r="AB320" s="28" t="s">
        <v>93</v>
      </c>
      <c r="AC320" s="28" t="s">
        <v>100</v>
      </c>
      <c r="AD320" s="28" t="s">
        <v>108</v>
      </c>
      <c r="AE320" s="28" t="s">
        <v>112</v>
      </c>
      <c r="AF320" s="28" t="s">
        <v>118</v>
      </c>
      <c r="AG320" s="30" t="s">
        <v>122</v>
      </c>
    </row>
    <row r="321" customFormat="false" ht="15" hidden="false" customHeight="false" outlineLevel="0" collapsed="false">
      <c r="A321" s="10" t="n">
        <v>2024</v>
      </c>
      <c r="B321" s="28" t="s">
        <v>62</v>
      </c>
      <c r="C321" s="29" t="n">
        <v>45643</v>
      </c>
      <c r="D321" s="30" t="s">
        <v>126</v>
      </c>
      <c r="E321" s="28" t="s">
        <v>279</v>
      </c>
      <c r="F321" s="30" t="s">
        <v>280</v>
      </c>
      <c r="G321" s="31" t="n">
        <v>34885</v>
      </c>
      <c r="H321" s="31" t="n">
        <v>2</v>
      </c>
      <c r="I321" s="31" t="n">
        <v>69770</v>
      </c>
      <c r="J321" s="29" t="n">
        <v>45652</v>
      </c>
      <c r="K321" s="31" t="n">
        <v>33167</v>
      </c>
      <c r="L321" s="30" t="s">
        <v>32</v>
      </c>
      <c r="M321" s="10" t="n">
        <v>6</v>
      </c>
      <c r="N321" s="12" t="n">
        <v>-3576</v>
      </c>
      <c r="O321" s="13" t="n">
        <v>-0.0512531367484741</v>
      </c>
      <c r="P321" s="15" t="n">
        <v>0.160962423516226</v>
      </c>
      <c r="Q321" s="13" t="n">
        <v>-0.0540306178756681</v>
      </c>
      <c r="R321" s="15" t="n">
        <v>0.290740740740741</v>
      </c>
      <c r="S321" s="32" t="n">
        <v>161003410450</v>
      </c>
      <c r="T321" s="15" t="n">
        <v>0.224956063268893</v>
      </c>
      <c r="U321" s="32" t="n">
        <v>6448659195</v>
      </c>
      <c r="V321" s="14" t="n">
        <v>18.907278195698</v>
      </c>
      <c r="W321" s="13" t="n">
        <v>0.216404886561955</v>
      </c>
      <c r="X321" s="15" t="n">
        <v>0.0071736011477761</v>
      </c>
      <c r="Y321" s="13" t="n">
        <v>-0.0129210074850239</v>
      </c>
      <c r="Z321" s="13" t="n">
        <v>0.0161176918241075</v>
      </c>
      <c r="AA321" s="30" t="s">
        <v>96</v>
      </c>
      <c r="AB321" s="28" t="s">
        <v>93</v>
      </c>
      <c r="AC321" s="28" t="s">
        <v>104</v>
      </c>
      <c r="AD321" s="28" t="s">
        <v>109</v>
      </c>
      <c r="AE321" s="28" t="s">
        <v>114</v>
      </c>
      <c r="AF321" s="28" t="s">
        <v>120</v>
      </c>
      <c r="AG321" s="30" t="s">
        <v>122</v>
      </c>
    </row>
    <row r="322" customFormat="false" ht="15" hidden="false" customHeight="false" outlineLevel="0" collapsed="false">
      <c r="A322" s="10" t="n">
        <v>2024</v>
      </c>
      <c r="B322" s="28" t="s">
        <v>62</v>
      </c>
      <c r="C322" s="29" t="n">
        <v>45643</v>
      </c>
      <c r="D322" s="30" t="s">
        <v>126</v>
      </c>
      <c r="E322" s="28" t="s">
        <v>263</v>
      </c>
      <c r="F322" s="30" t="s">
        <v>264</v>
      </c>
      <c r="G322" s="31" t="n">
        <v>86787</v>
      </c>
      <c r="H322" s="31" t="n">
        <v>1</v>
      </c>
      <c r="I322" s="31" t="n">
        <v>86787</v>
      </c>
      <c r="J322" s="29" t="n">
        <v>45645</v>
      </c>
      <c r="K322" s="31" t="n">
        <v>82118</v>
      </c>
      <c r="L322" s="30" t="s">
        <v>32</v>
      </c>
      <c r="M322" s="10" t="n">
        <v>2</v>
      </c>
      <c r="N322" s="12" t="n">
        <v>-4842</v>
      </c>
      <c r="O322" s="13" t="n">
        <v>-0.0557925087023702</v>
      </c>
      <c r="P322" s="15" t="n">
        <v>0.0174370035961733</v>
      </c>
      <c r="Q322" s="13" t="n">
        <v>-0.055154764497325</v>
      </c>
      <c r="R322" s="15" t="n">
        <v>0.0346062052505967</v>
      </c>
      <c r="S322" s="32" t="n">
        <v>112413572700</v>
      </c>
      <c r="T322" s="15" t="n">
        <v>0.0296912114014252</v>
      </c>
      <c r="U322" s="32" t="n">
        <v>53695733970</v>
      </c>
      <c r="V322" s="14" t="n">
        <v>1.90703431814876</v>
      </c>
      <c r="W322" s="13" t="n">
        <v>0.0260355029585799</v>
      </c>
      <c r="X322" s="15" t="n">
        <v>0.0265282583621684</v>
      </c>
      <c r="Y322" s="13" t="n">
        <v>-0.0129210074850239</v>
      </c>
      <c r="Z322" s="13" t="n">
        <v>0.0161176918241075</v>
      </c>
      <c r="AA322" s="30" t="s">
        <v>96</v>
      </c>
      <c r="AB322" s="28" t="s">
        <v>93</v>
      </c>
      <c r="AC322" s="28" t="s">
        <v>100</v>
      </c>
      <c r="AD322" s="28" t="s">
        <v>109</v>
      </c>
      <c r="AE322" s="28" t="s">
        <v>113</v>
      </c>
      <c r="AF322" s="28" t="s">
        <v>116</v>
      </c>
      <c r="AG322" s="30" t="s">
        <v>122</v>
      </c>
    </row>
    <row r="323" customFormat="false" ht="15" hidden="false" customHeight="false" outlineLevel="0" collapsed="false">
      <c r="A323" s="10" t="n">
        <v>2024</v>
      </c>
      <c r="B323" s="28" t="s">
        <v>62</v>
      </c>
      <c r="C323" s="29" t="n">
        <v>45644</v>
      </c>
      <c r="D323" s="30" t="s">
        <v>127</v>
      </c>
      <c r="E323" s="28" t="s">
        <v>631</v>
      </c>
      <c r="F323" s="30" t="s">
        <v>632</v>
      </c>
      <c r="G323" s="31" t="n">
        <v>20020</v>
      </c>
      <c r="H323" s="31" t="n">
        <v>4</v>
      </c>
      <c r="I323" s="31" t="n">
        <v>80080</v>
      </c>
      <c r="J323" s="29" t="n">
        <v>45645</v>
      </c>
      <c r="K323" s="31" t="n">
        <v>18931</v>
      </c>
      <c r="L323" s="30" t="s">
        <v>32</v>
      </c>
      <c r="M323" s="10" t="n">
        <v>1</v>
      </c>
      <c r="N323" s="12" t="n">
        <v>-4515</v>
      </c>
      <c r="O323" s="13" t="n">
        <v>-0.0563870403346653</v>
      </c>
      <c r="P323" s="15" t="n">
        <v>0.00649350649350677</v>
      </c>
      <c r="Q323" s="13" t="n">
        <v>-0.0754245754245753</v>
      </c>
      <c r="R323" s="15" t="n">
        <v>0.120448179271709</v>
      </c>
      <c r="S323" s="32" t="n">
        <v>98357560000</v>
      </c>
      <c r="T323" s="15" t="n">
        <v>0.0822510822510822</v>
      </c>
      <c r="U323" s="32" t="n">
        <v>14838612177.5</v>
      </c>
      <c r="V323" s="14" t="n">
        <v>5.17573138487506</v>
      </c>
      <c r="W323" s="13" t="n">
        <v>0.112347052280311</v>
      </c>
      <c r="X323" s="15" t="n">
        <v>0.0674999999999999</v>
      </c>
      <c r="Y323" s="13" t="n">
        <v>0.0112422206031397</v>
      </c>
      <c r="Z323" s="13" t="n">
        <v>0.0171626728242666</v>
      </c>
      <c r="AA323" s="30" t="s">
        <v>97</v>
      </c>
      <c r="AB323" s="28" t="s">
        <v>93</v>
      </c>
      <c r="AC323" s="28" t="s">
        <v>102</v>
      </c>
      <c r="AD323" s="28" t="s">
        <v>108</v>
      </c>
      <c r="AE323" s="28" t="s">
        <v>101</v>
      </c>
      <c r="AF323" s="28" t="s">
        <v>119</v>
      </c>
      <c r="AG323" s="30" t="s">
        <v>122</v>
      </c>
    </row>
    <row r="324" customFormat="false" ht="15" hidden="false" customHeight="false" outlineLevel="0" collapsed="false">
      <c r="A324" s="10" t="n">
        <v>2024</v>
      </c>
      <c r="B324" s="28" t="s">
        <v>62</v>
      </c>
      <c r="C324" s="29" t="n">
        <v>45646</v>
      </c>
      <c r="D324" s="30" t="s">
        <v>129</v>
      </c>
      <c r="E324" s="28" t="s">
        <v>633</v>
      </c>
      <c r="F324" s="30" t="s">
        <v>634</v>
      </c>
      <c r="G324" s="31" t="n">
        <v>4595</v>
      </c>
      <c r="H324" s="31" t="n">
        <v>21</v>
      </c>
      <c r="I324" s="31" t="n">
        <v>96486</v>
      </c>
      <c r="J324" s="29" t="n">
        <v>45650</v>
      </c>
      <c r="K324" s="31" t="n">
        <v>4371</v>
      </c>
      <c r="L324" s="30" t="s">
        <v>32</v>
      </c>
      <c r="M324" s="10" t="n">
        <v>2</v>
      </c>
      <c r="N324" s="12" t="n">
        <v>-4897</v>
      </c>
      <c r="O324" s="13" t="n">
        <v>-0.0507503187988481</v>
      </c>
      <c r="P324" s="15" t="n">
        <v>0.0490598725892846</v>
      </c>
      <c r="Q324" s="13" t="n">
        <v>-0.0608520020284724</v>
      </c>
      <c r="R324" s="15" t="n">
        <v>0.0851063829787233</v>
      </c>
      <c r="S324" s="32" t="n">
        <v>152704558530</v>
      </c>
      <c r="T324" s="15" t="n">
        <v>0.0268456375838926</v>
      </c>
      <c r="U324" s="32" t="n">
        <v>16701943293.75</v>
      </c>
      <c r="V324" s="14" t="n">
        <v>8.37487892297979</v>
      </c>
      <c r="W324" s="13" t="n">
        <v>0.06993006993007</v>
      </c>
      <c r="X324" s="15" t="n">
        <v>0.14161220043573</v>
      </c>
      <c r="Y324" s="13" t="n">
        <v>-0.0130463519066639</v>
      </c>
      <c r="Z324" s="13" t="n">
        <v>-0.0362042285705122</v>
      </c>
      <c r="AA324" s="30" t="s">
        <v>96</v>
      </c>
      <c r="AB324" s="28" t="s">
        <v>94</v>
      </c>
      <c r="AC324" s="28" t="s">
        <v>101</v>
      </c>
      <c r="AD324" s="28" t="s">
        <v>109</v>
      </c>
      <c r="AE324" s="28" t="s">
        <v>113</v>
      </c>
      <c r="AF324" s="28" t="s">
        <v>119</v>
      </c>
      <c r="AG324" s="30" t="s">
        <v>122</v>
      </c>
    </row>
    <row r="325" customFormat="false" ht="15" hidden="false" customHeight="false" outlineLevel="0" collapsed="false">
      <c r="A325" s="10" t="n">
        <v>2024</v>
      </c>
      <c r="B325" s="28" t="s">
        <v>62</v>
      </c>
      <c r="C325" s="29" t="n">
        <v>45646</v>
      </c>
      <c r="D325" s="30" t="s">
        <v>129</v>
      </c>
      <c r="E325" s="28" t="s">
        <v>635</v>
      </c>
      <c r="F325" s="30" t="s">
        <v>636</v>
      </c>
      <c r="G325" s="31" t="n">
        <v>17437</v>
      </c>
      <c r="H325" s="31" t="n">
        <v>5</v>
      </c>
      <c r="I325" s="31" t="n">
        <v>87187</v>
      </c>
      <c r="J325" s="29" t="n">
        <v>45656</v>
      </c>
      <c r="K325" s="31" t="n">
        <v>20950</v>
      </c>
      <c r="L325" s="30" t="s">
        <v>31</v>
      </c>
      <c r="M325" s="10" t="n">
        <v>5</v>
      </c>
      <c r="N325" s="12" t="n">
        <v>17346</v>
      </c>
      <c r="O325" s="13" t="n">
        <v>0.198946397288131</v>
      </c>
      <c r="P325" s="15" t="n">
        <v>0.321869863775719</v>
      </c>
      <c r="Q325" s="13" t="n">
        <v>-0.0325403643428901</v>
      </c>
      <c r="R325" s="15" t="n">
        <v>0.144546649145861</v>
      </c>
      <c r="S325" s="32" t="n">
        <v>43283892080</v>
      </c>
      <c r="T325" s="15" t="n">
        <v>0.00403458213256491</v>
      </c>
      <c r="U325" s="32" t="n">
        <v>7027242691.5</v>
      </c>
      <c r="V325" s="14" t="n">
        <v>5.29303561511586</v>
      </c>
      <c r="W325" s="13" t="n">
        <v>0.123870967741935</v>
      </c>
      <c r="X325" s="15" t="n">
        <v>0.0407577497129736</v>
      </c>
      <c r="Y325" s="13" t="n">
        <v>-0.0130463519066639</v>
      </c>
      <c r="Z325" s="13" t="n">
        <v>-0.0362042285705122</v>
      </c>
      <c r="AA325" s="30" t="s">
        <v>96</v>
      </c>
      <c r="AB325" s="28" t="s">
        <v>94</v>
      </c>
      <c r="AC325" s="28" t="s">
        <v>102</v>
      </c>
      <c r="AD325" s="28" t="s">
        <v>107</v>
      </c>
      <c r="AE325" s="28" t="s">
        <v>112</v>
      </c>
      <c r="AF325" s="28" t="s">
        <v>119</v>
      </c>
      <c r="AG325" s="30" t="s">
        <v>122</v>
      </c>
    </row>
    <row r="326" customFormat="false" ht="15" hidden="false" customHeight="false" outlineLevel="0" collapsed="false">
      <c r="A326" s="10" t="n">
        <v>2024</v>
      </c>
      <c r="B326" s="28" t="s">
        <v>62</v>
      </c>
      <c r="C326" s="29" t="n">
        <v>45649</v>
      </c>
      <c r="D326" s="30" t="s">
        <v>125</v>
      </c>
      <c r="E326" s="28" t="s">
        <v>495</v>
      </c>
      <c r="F326" s="30" t="s">
        <v>496</v>
      </c>
      <c r="G326" s="31" t="n">
        <v>10741</v>
      </c>
      <c r="H326" s="31" t="n">
        <v>9</v>
      </c>
      <c r="I326" s="31" t="n">
        <v>96667</v>
      </c>
      <c r="J326" s="29" t="n">
        <v>45656</v>
      </c>
      <c r="K326" s="31" t="n">
        <v>10200</v>
      </c>
      <c r="L326" s="30" t="s">
        <v>32</v>
      </c>
      <c r="M326" s="10" t="n">
        <v>4</v>
      </c>
      <c r="N326" s="12" t="n">
        <v>-5062</v>
      </c>
      <c r="O326" s="13" t="n">
        <v>-0.0523652209859105</v>
      </c>
      <c r="P326" s="15" t="n">
        <v>0.0194837781044679</v>
      </c>
      <c r="Q326" s="13" t="n">
        <v>-0.0624473383094072</v>
      </c>
      <c r="R326" s="15" t="n">
        <v>0.148822269807281</v>
      </c>
      <c r="S326" s="32" t="n">
        <v>50227505550</v>
      </c>
      <c r="T326" s="15" t="n">
        <v>0.0219047619047619</v>
      </c>
      <c r="U326" s="32" t="n">
        <v>10696970661</v>
      </c>
      <c r="V326" s="14" t="n">
        <v>4.21272926793149</v>
      </c>
      <c r="W326" s="13" t="n">
        <v>0.137857900318134</v>
      </c>
      <c r="X326" s="15" t="n">
        <v>0.0242311276794036</v>
      </c>
      <c r="Y326" s="13" t="n">
        <v>0.0157477694819375</v>
      </c>
      <c r="Z326" s="13" t="n">
        <v>-0.0188672422729079</v>
      </c>
      <c r="AA326" s="30" t="s">
        <v>96</v>
      </c>
      <c r="AB326" s="28" t="s">
        <v>94</v>
      </c>
      <c r="AC326" s="28" t="s">
        <v>102</v>
      </c>
      <c r="AD326" s="28" t="s">
        <v>108</v>
      </c>
      <c r="AE326" s="28" t="s">
        <v>113</v>
      </c>
      <c r="AF326" s="28" t="s">
        <v>118</v>
      </c>
      <c r="AG326" s="30" t="s">
        <v>122</v>
      </c>
    </row>
    <row r="327" customFormat="false" ht="15" hidden="false" customHeight="false" outlineLevel="0" collapsed="false">
      <c r="A327" s="10" t="n">
        <v>2024</v>
      </c>
      <c r="B327" s="28" t="s">
        <v>62</v>
      </c>
      <c r="C327" s="29" t="n">
        <v>45650</v>
      </c>
      <c r="D327" s="30" t="s">
        <v>126</v>
      </c>
      <c r="E327" s="28" t="s">
        <v>215</v>
      </c>
      <c r="F327" s="30" t="s">
        <v>216</v>
      </c>
      <c r="G327" s="31" t="n">
        <v>26966</v>
      </c>
      <c r="H327" s="31" t="n">
        <v>3</v>
      </c>
      <c r="I327" s="31" t="n">
        <v>80897</v>
      </c>
      <c r="J327" s="29"/>
      <c r="K327" s="31"/>
      <c r="L327" s="30" t="s">
        <v>33</v>
      </c>
      <c r="M327" s="10" t="n">
        <v>3</v>
      </c>
      <c r="N327" s="12" t="n">
        <v>275006</v>
      </c>
      <c r="O327" s="13" t="n">
        <v>3.40929403843746</v>
      </c>
      <c r="P327" s="15" t="n">
        <v>5.0966185022634</v>
      </c>
      <c r="Q327" s="13" t="n">
        <v>-0.0965712987373636</v>
      </c>
      <c r="R327" s="15" t="n">
        <v>0.0512333965844403</v>
      </c>
      <c r="S327" s="32" t="n">
        <v>227491568400</v>
      </c>
      <c r="T327" s="15" t="n">
        <v>0.0355140186915888</v>
      </c>
      <c r="U327" s="32" t="n">
        <v>141549006750</v>
      </c>
      <c r="V327" s="14" t="n">
        <v>1.44342340919675</v>
      </c>
      <c r="W327" s="13" t="n">
        <v>-0.0280701754385966</v>
      </c>
      <c r="X327" s="15" t="n">
        <v>0.0613718411552346</v>
      </c>
      <c r="Y327" s="13" t="n">
        <v>-0.000610153111576195</v>
      </c>
      <c r="Z327" s="13" t="n">
        <v>-0.00663054937093222</v>
      </c>
      <c r="AA327" s="30" t="s">
        <v>96</v>
      </c>
      <c r="AB327" s="28" t="s">
        <v>94</v>
      </c>
      <c r="AC327" s="28" t="s">
        <v>101</v>
      </c>
      <c r="AD327" s="28" t="s">
        <v>110</v>
      </c>
      <c r="AE327" s="28" t="s">
        <v>113</v>
      </c>
      <c r="AF327" s="28" t="s">
        <v>116</v>
      </c>
      <c r="AG327" s="30" t="s">
        <v>123</v>
      </c>
    </row>
    <row r="328" customFormat="false" ht="15" hidden="false" customHeight="false" outlineLevel="0" collapsed="false">
      <c r="A328" s="10" t="n">
        <v>2024</v>
      </c>
      <c r="B328" s="28" t="s">
        <v>62</v>
      </c>
      <c r="C328" s="29" t="n">
        <v>45650</v>
      </c>
      <c r="D328" s="30" t="s">
        <v>126</v>
      </c>
      <c r="E328" s="28" t="s">
        <v>175</v>
      </c>
      <c r="F328" s="30" t="s">
        <v>176</v>
      </c>
      <c r="G328" s="31" t="n">
        <v>47447</v>
      </c>
      <c r="H328" s="31" t="n">
        <v>2</v>
      </c>
      <c r="I328" s="31" t="n">
        <v>94895</v>
      </c>
      <c r="J328" s="29" t="n">
        <v>45653</v>
      </c>
      <c r="K328" s="31" t="n">
        <v>45155</v>
      </c>
      <c r="L328" s="30" t="s">
        <v>32</v>
      </c>
      <c r="M328" s="10" t="n">
        <v>2</v>
      </c>
      <c r="N328" s="12" t="n">
        <v>-4776</v>
      </c>
      <c r="O328" s="13" t="n">
        <v>-0.0503245482365735</v>
      </c>
      <c r="P328" s="15" t="n">
        <v>0.0127003797889875</v>
      </c>
      <c r="Q328" s="13" t="n">
        <v>-0.0557965241509544</v>
      </c>
      <c r="R328" s="15" t="n">
        <v>0.0160771704180065</v>
      </c>
      <c r="S328" s="32" t="n">
        <v>62258478000</v>
      </c>
      <c r="T328" s="15" t="n">
        <v>0.0160771704180065</v>
      </c>
      <c r="U328" s="32" t="n">
        <v>13779954760</v>
      </c>
      <c r="V328" s="14" t="n">
        <v>4.06751895031769</v>
      </c>
      <c r="W328" s="13" t="n">
        <v>0.0106609808102345</v>
      </c>
      <c r="X328" s="15" t="n">
        <v>0.0928270042194093</v>
      </c>
      <c r="Y328" s="13" t="n">
        <v>-0.000610153111576195</v>
      </c>
      <c r="Z328" s="13" t="n">
        <v>-0.00663054937093222</v>
      </c>
      <c r="AA328" s="30" t="s">
        <v>96</v>
      </c>
      <c r="AB328" s="28" t="s">
        <v>94</v>
      </c>
      <c r="AC328" s="28" t="s">
        <v>99</v>
      </c>
      <c r="AD328" s="28" t="s">
        <v>108</v>
      </c>
      <c r="AE328" s="28" t="s">
        <v>112</v>
      </c>
      <c r="AF328" s="28" t="s">
        <v>118</v>
      </c>
      <c r="AG328" s="30" t="s">
        <v>122</v>
      </c>
    </row>
    <row r="329" customFormat="false" ht="15" hidden="false" customHeight="false" outlineLevel="0" collapsed="false">
      <c r="A329" s="10" t="n">
        <v>2024</v>
      </c>
      <c r="B329" s="28" t="s">
        <v>62</v>
      </c>
      <c r="C329" s="29" t="n">
        <v>45652</v>
      </c>
      <c r="D329" s="30" t="s">
        <v>128</v>
      </c>
      <c r="E329" s="28" t="s">
        <v>589</v>
      </c>
      <c r="F329" s="30" t="s">
        <v>590</v>
      </c>
      <c r="G329" s="31" t="n">
        <v>37788</v>
      </c>
      <c r="H329" s="31" t="n">
        <v>2</v>
      </c>
      <c r="I329" s="31" t="n">
        <v>75575</v>
      </c>
      <c r="J329" s="29"/>
      <c r="K329" s="31"/>
      <c r="L329" s="30" t="s">
        <v>33</v>
      </c>
      <c r="M329" s="10" t="n">
        <v>2</v>
      </c>
      <c r="N329" s="12" t="n">
        <v>83263</v>
      </c>
      <c r="O329" s="13" t="n">
        <v>1.10650276875443</v>
      </c>
      <c r="P329" s="15" t="n">
        <v>3.09656568596966</v>
      </c>
      <c r="Q329" s="13" t="n">
        <v>-0.0393712248016882</v>
      </c>
      <c r="R329" s="15" t="n">
        <v>0.0486111111111112</v>
      </c>
      <c r="S329" s="32" t="n">
        <v>295903790250</v>
      </c>
      <c r="T329" s="15" t="n">
        <v>0.0370879120879122</v>
      </c>
      <c r="U329" s="32" t="n">
        <v>132920881732.5</v>
      </c>
      <c r="V329" s="14" t="n">
        <v>1.98872147740449</v>
      </c>
      <c r="W329" s="13" t="n">
        <v>0.0370879120879122</v>
      </c>
      <c r="X329" s="15" t="n">
        <v>0.0132450331125829</v>
      </c>
      <c r="Y329" s="13" t="n">
        <v>-0.00444577385147427</v>
      </c>
      <c r="Z329" s="13" t="n">
        <v>-0.0220412730485463</v>
      </c>
      <c r="AA329" s="30" t="s">
        <v>96</v>
      </c>
      <c r="AB329" s="28" t="s">
        <v>94</v>
      </c>
      <c r="AC329" s="28" t="s">
        <v>100</v>
      </c>
      <c r="AD329" s="28" t="s">
        <v>110</v>
      </c>
      <c r="AE329" s="28" t="s">
        <v>113</v>
      </c>
      <c r="AF329" s="28" t="s">
        <v>116</v>
      </c>
      <c r="AG329" s="30" t="s">
        <v>122</v>
      </c>
    </row>
    <row r="330" customFormat="false" ht="15" hidden="false" customHeight="false" outlineLevel="0" collapsed="false">
      <c r="A330" s="10" t="n">
        <v>2024</v>
      </c>
      <c r="B330" s="28" t="s">
        <v>62</v>
      </c>
      <c r="C330" s="29" t="n">
        <v>45652</v>
      </c>
      <c r="D330" s="30" t="s">
        <v>128</v>
      </c>
      <c r="E330" s="28" t="s">
        <v>599</v>
      </c>
      <c r="F330" s="30" t="s">
        <v>600</v>
      </c>
      <c r="G330" s="31" t="n">
        <v>12773</v>
      </c>
      <c r="H330" s="31" t="n">
        <v>7</v>
      </c>
      <c r="I330" s="31" t="n">
        <v>89409</v>
      </c>
      <c r="J330" s="29" t="n">
        <v>45653</v>
      </c>
      <c r="K330" s="31" t="n">
        <v>12158</v>
      </c>
      <c r="L330" s="30" t="s">
        <v>32</v>
      </c>
      <c r="M330" s="10" t="n">
        <v>1</v>
      </c>
      <c r="N330" s="12" t="n">
        <v>-4484</v>
      </c>
      <c r="O330" s="13" t="n">
        <v>-0.0501499818754914</v>
      </c>
      <c r="P330" s="15" t="n">
        <v>0.015442238012771</v>
      </c>
      <c r="Q330" s="13" t="n">
        <v>-0.0636322924724178</v>
      </c>
      <c r="R330" s="15" t="n">
        <v>0.180388529139685</v>
      </c>
      <c r="S330" s="32" t="n">
        <v>135018230160</v>
      </c>
      <c r="T330" s="15" t="n">
        <v>0.114410480349345</v>
      </c>
      <c r="U330" s="32" t="n">
        <v>10136220671.5</v>
      </c>
      <c r="V330" s="14" t="n">
        <v>10.966779766416</v>
      </c>
      <c r="W330" s="13" t="n">
        <v>0.14336917562724</v>
      </c>
      <c r="X330" s="15" t="n">
        <v>0.0501567398119123</v>
      </c>
      <c r="Y330" s="13" t="n">
        <v>-0.00444577385147427</v>
      </c>
      <c r="Z330" s="13" t="n">
        <v>-0.0220412730485463</v>
      </c>
      <c r="AA330" s="30" t="s">
        <v>96</v>
      </c>
      <c r="AB330" s="28" t="s">
        <v>94</v>
      </c>
      <c r="AC330" s="28" t="s">
        <v>103</v>
      </c>
      <c r="AD330" s="28" t="s">
        <v>109</v>
      </c>
      <c r="AE330" s="28" t="s">
        <v>114</v>
      </c>
      <c r="AF330" s="28" t="s">
        <v>120</v>
      </c>
      <c r="AG330" s="30" t="s">
        <v>122</v>
      </c>
    </row>
    <row r="331" customFormat="false" ht="15" hidden="false" customHeight="false" outlineLevel="0" collapsed="false">
      <c r="A331" s="10" t="n">
        <v>2024</v>
      </c>
      <c r="B331" s="28" t="s">
        <v>62</v>
      </c>
      <c r="C331" s="29" t="n">
        <v>45652</v>
      </c>
      <c r="D331" s="30" t="s">
        <v>128</v>
      </c>
      <c r="E331" s="28" t="s">
        <v>637</v>
      </c>
      <c r="F331" s="28" t="s">
        <v>638</v>
      </c>
      <c r="G331" s="31" t="n">
        <v>10485</v>
      </c>
      <c r="H331" s="31" t="n">
        <v>9</v>
      </c>
      <c r="I331" s="31" t="n">
        <v>94364</v>
      </c>
      <c r="J331" s="29"/>
      <c r="K331" s="31"/>
      <c r="L331" s="30" t="s">
        <v>33</v>
      </c>
      <c r="M331" s="10" t="n">
        <v>2</v>
      </c>
      <c r="N331" s="12" t="n">
        <v>-76535</v>
      </c>
      <c r="O331" s="13" t="n">
        <v>-0.810489499271056</v>
      </c>
      <c r="P331" s="15" t="n">
        <v>0.237930180737807</v>
      </c>
      <c r="Q331" s="13" t="n">
        <v>-0.872006496236415</v>
      </c>
      <c r="R331" s="15" t="n">
        <v>0.0734883720930231</v>
      </c>
      <c r="S331" s="32" t="n">
        <v>29443271400</v>
      </c>
      <c r="T331" s="15" t="n">
        <v>0.0266903914590748</v>
      </c>
      <c r="U331" s="32" t="n">
        <v>7620944746.5</v>
      </c>
      <c r="V331" s="14" t="n">
        <v>3.52420613472459</v>
      </c>
      <c r="W331" s="13" t="n">
        <v>0.079513564078578</v>
      </c>
      <c r="X331" s="15" t="n">
        <v>0.0259965337954939</v>
      </c>
      <c r="Y331" s="13" t="n">
        <v>-0.00444577385147427</v>
      </c>
      <c r="Z331" s="13" t="n">
        <v>-0.0220412730485463</v>
      </c>
      <c r="AA331" s="30" t="s">
        <v>96</v>
      </c>
      <c r="AB331" s="28" t="s">
        <v>94</v>
      </c>
      <c r="AC331" s="28" t="s">
        <v>101</v>
      </c>
      <c r="AD331" s="28" t="s">
        <v>106</v>
      </c>
      <c r="AE331" s="28" t="s">
        <v>113</v>
      </c>
      <c r="AF331" s="28" t="s">
        <v>118</v>
      </c>
      <c r="AG331" s="30" t="s">
        <v>122</v>
      </c>
    </row>
    <row r="332" customFormat="false" ht="15" hidden="false" customHeight="false" outlineLevel="0" collapsed="false">
      <c r="A332" s="10" t="n">
        <v>2024</v>
      </c>
      <c r="B332" s="28" t="s">
        <v>62</v>
      </c>
      <c r="C332" s="29" t="n">
        <v>45653</v>
      </c>
      <c r="D332" s="30" t="s">
        <v>129</v>
      </c>
      <c r="E332" s="28" t="s">
        <v>639</v>
      </c>
      <c r="F332" s="30" t="s">
        <v>640</v>
      </c>
      <c r="G332" s="31" t="n">
        <v>9019</v>
      </c>
      <c r="H332" s="31" t="n">
        <v>11</v>
      </c>
      <c r="I332" s="31" t="n">
        <v>99209</v>
      </c>
      <c r="J332" s="29"/>
      <c r="K332" s="31"/>
      <c r="L332" s="30" t="s">
        <v>33</v>
      </c>
      <c r="M332" s="10" t="n">
        <v>1</v>
      </c>
      <c r="N332" s="12" t="n">
        <v>470420</v>
      </c>
      <c r="O332" s="13" t="n">
        <v>4.75451185884038</v>
      </c>
      <c r="P332" s="15" t="n">
        <v>7.52643471955348</v>
      </c>
      <c r="Q332" s="13" t="n">
        <v>-0.100788223984672</v>
      </c>
      <c r="R332" s="15" t="n">
        <v>0.185526315789474</v>
      </c>
      <c r="S332" s="32" t="n">
        <v>222806460970</v>
      </c>
      <c r="T332" s="15" t="n">
        <v>0.105521472392638</v>
      </c>
      <c r="U332" s="32" t="n">
        <v>10302195551.5</v>
      </c>
      <c r="V332" s="14" t="n">
        <v>18.2933467160643</v>
      </c>
      <c r="W332" s="13" t="n">
        <v>0.214285714285714</v>
      </c>
      <c r="X332" s="15" t="n">
        <v>0.0699223085460599</v>
      </c>
      <c r="Y332" s="13" t="n">
        <v>-0.0102483053254147</v>
      </c>
      <c r="Z332" s="13" t="n">
        <v>-0.0127918289934439</v>
      </c>
      <c r="AA332" s="30" t="s">
        <v>96</v>
      </c>
      <c r="AB332" s="28" t="s">
        <v>94</v>
      </c>
      <c r="AC332" s="28" t="s">
        <v>103</v>
      </c>
      <c r="AD332" s="28" t="s">
        <v>110</v>
      </c>
      <c r="AE332" s="28" t="s">
        <v>114</v>
      </c>
      <c r="AF332" s="28" t="s">
        <v>120</v>
      </c>
      <c r="AG332" s="30" t="s">
        <v>122</v>
      </c>
    </row>
    <row r="333" customFormat="false" ht="15" hidden="false" customHeight="false" outlineLevel="0" collapsed="false">
      <c r="A333" s="10" t="n">
        <v>2024</v>
      </c>
      <c r="B333" s="28" t="s">
        <v>62</v>
      </c>
      <c r="C333" s="29" t="n">
        <v>45653</v>
      </c>
      <c r="D333" s="30" t="s">
        <v>129</v>
      </c>
      <c r="E333" s="28" t="s">
        <v>641</v>
      </c>
      <c r="F333" s="30" t="s">
        <v>642</v>
      </c>
      <c r="G333" s="31" t="n">
        <v>7888</v>
      </c>
      <c r="H333" s="31" t="n">
        <v>12</v>
      </c>
      <c r="I333" s="31" t="n">
        <v>94662</v>
      </c>
      <c r="J333" s="29"/>
      <c r="K333" s="31"/>
      <c r="L333" s="30" t="s">
        <v>33</v>
      </c>
      <c r="M333" s="10" t="n">
        <v>1</v>
      </c>
      <c r="N333" s="12" t="n">
        <v>181315</v>
      </c>
      <c r="O333" s="13" t="n">
        <v>1.92197728599569</v>
      </c>
      <c r="P333" s="15" t="n">
        <v>8.88194497809883</v>
      </c>
      <c r="Q333" s="13" t="n">
        <v>-0.0358199492814876</v>
      </c>
      <c r="R333" s="15" t="n">
        <v>0.0271604938271606</v>
      </c>
      <c r="S333" s="32" t="n">
        <v>90765018240</v>
      </c>
      <c r="T333" s="15" t="n">
        <v>0.0271604938271606</v>
      </c>
      <c r="U333" s="32" t="n">
        <v>26290819143</v>
      </c>
      <c r="V333" s="14" t="n">
        <v>3.16365261349061</v>
      </c>
      <c r="W333" s="13" t="n">
        <v>0.0271604938271606</v>
      </c>
      <c r="X333" s="15" t="n">
        <v>0.0132211538461537</v>
      </c>
      <c r="Y333" s="13" t="n">
        <v>-0.0102483053254147</v>
      </c>
      <c r="Z333" s="13" t="n">
        <v>-0.0127918289934439</v>
      </c>
      <c r="AA333" s="30" t="s">
        <v>96</v>
      </c>
      <c r="AB333" s="28" t="s">
        <v>94</v>
      </c>
      <c r="AC333" s="28" t="s">
        <v>99</v>
      </c>
      <c r="AD333" s="28" t="s">
        <v>108</v>
      </c>
      <c r="AE333" s="28" t="s">
        <v>113</v>
      </c>
      <c r="AF333" s="28" t="s">
        <v>118</v>
      </c>
      <c r="AG333" s="30" t="s">
        <v>122</v>
      </c>
    </row>
    <row r="334" customFormat="false" ht="15" hidden="false" customHeight="false" outlineLevel="0" collapsed="false">
      <c r="A334" s="10" t="n">
        <v>2024</v>
      </c>
      <c r="B334" s="28" t="s">
        <v>62</v>
      </c>
      <c r="C334" s="29" t="n">
        <v>45653</v>
      </c>
      <c r="D334" s="30" t="s">
        <v>129</v>
      </c>
      <c r="E334" s="28" t="s">
        <v>435</v>
      </c>
      <c r="F334" s="30" t="s">
        <v>436</v>
      </c>
      <c r="G334" s="31" t="n">
        <v>13834</v>
      </c>
      <c r="H334" s="31" t="n">
        <v>7</v>
      </c>
      <c r="I334" s="31" t="n">
        <v>96837</v>
      </c>
      <c r="J334" s="29"/>
      <c r="K334" s="31"/>
      <c r="L334" s="30" t="s">
        <v>33</v>
      </c>
      <c r="M334" s="10" t="n">
        <v>1</v>
      </c>
      <c r="N334" s="12" t="n">
        <v>159833</v>
      </c>
      <c r="O334" s="13" t="n">
        <v>1.65653304727111</v>
      </c>
      <c r="P334" s="15" t="n">
        <v>2.01435178425048</v>
      </c>
      <c r="Q334" s="13" t="n">
        <v>-0.214244510916001</v>
      </c>
      <c r="R334" s="15" t="n">
        <v>0.14026402640264</v>
      </c>
      <c r="S334" s="32" t="n">
        <v>34322453700</v>
      </c>
      <c r="T334" s="15" t="n">
        <v>0.128163265306122</v>
      </c>
      <c r="U334" s="32" t="n">
        <v>3840771691</v>
      </c>
      <c r="V334" s="14" t="n">
        <v>7.34170801461699</v>
      </c>
      <c r="W334" s="13" t="n">
        <v>0.154553049289891</v>
      </c>
      <c r="X334" s="15" t="n">
        <v>0.0412445730824891</v>
      </c>
      <c r="Y334" s="13" t="n">
        <v>-0.0102483053254147</v>
      </c>
      <c r="Z334" s="13" t="n">
        <v>-0.0127918289934439</v>
      </c>
      <c r="AA334" s="30" t="s">
        <v>96</v>
      </c>
      <c r="AB334" s="28" t="s">
        <v>94</v>
      </c>
      <c r="AC334" s="28" t="s">
        <v>102</v>
      </c>
      <c r="AD334" s="28" t="s">
        <v>107</v>
      </c>
      <c r="AE334" s="28" t="s">
        <v>114</v>
      </c>
      <c r="AF334" s="28" t="s">
        <v>119</v>
      </c>
      <c r="AG334" s="30" t="s">
        <v>122</v>
      </c>
    </row>
    <row r="335" customFormat="false" ht="15" hidden="false" customHeight="false" outlineLevel="0" collapsed="false">
      <c r="A335" s="10" t="n">
        <v>2024</v>
      </c>
      <c r="B335" s="28" t="s">
        <v>62</v>
      </c>
      <c r="C335" s="29" t="n">
        <v>45656</v>
      </c>
      <c r="D335" s="30" t="s">
        <v>125</v>
      </c>
      <c r="E335" s="28" t="s">
        <v>565</v>
      </c>
      <c r="F335" s="30" t="s">
        <v>566</v>
      </c>
      <c r="G335" s="31" t="n">
        <v>38689</v>
      </c>
      <c r="H335" s="31" t="n">
        <v>2</v>
      </c>
      <c r="I335" s="31" t="n">
        <v>77377</v>
      </c>
      <c r="J335" s="29"/>
      <c r="K335" s="31"/>
      <c r="L335" s="30" t="s">
        <v>33</v>
      </c>
      <c r="M335" s="10" t="n">
        <v>0</v>
      </c>
      <c r="N335" s="12" t="n">
        <v>15606</v>
      </c>
      <c r="O335" s="13" t="n">
        <v>0.204487621046483</v>
      </c>
      <c r="P335" s="15" t="n">
        <v>0.886858290480542</v>
      </c>
      <c r="Q335" s="13" t="n">
        <v>-0.379663027787219</v>
      </c>
      <c r="R335" s="15" t="n">
        <v>0.152011922503726</v>
      </c>
      <c r="S335" s="32" t="n">
        <v>83423976550</v>
      </c>
      <c r="T335" s="15" t="n">
        <v>0.0361930294906165</v>
      </c>
      <c r="U335" s="32" t="n">
        <v>15176120042.5</v>
      </c>
      <c r="V335" s="14" t="n">
        <v>4.89640952909834</v>
      </c>
      <c r="W335" s="13" t="n">
        <v>0.146884272997033</v>
      </c>
      <c r="X335" s="15" t="n">
        <v>0.00776196636481252</v>
      </c>
      <c r="Y335" s="13" t="n">
        <v>-0.00219563617310603</v>
      </c>
      <c r="Z335" s="13" t="n">
        <v>-0.00193831499698449</v>
      </c>
      <c r="AA335" s="30" t="s">
        <v>96</v>
      </c>
      <c r="AB335" s="28" t="s">
        <v>94</v>
      </c>
      <c r="AC335" s="28" t="s">
        <v>103</v>
      </c>
      <c r="AD335" s="28" t="s">
        <v>108</v>
      </c>
      <c r="AE335" s="28" t="s">
        <v>113</v>
      </c>
      <c r="AF335" s="28" t="s">
        <v>118</v>
      </c>
      <c r="AG335" s="30" t="s">
        <v>122</v>
      </c>
    </row>
    <row r="336" customFormat="false" ht="15" hidden="false" customHeight="false" outlineLevel="0" collapsed="false">
      <c r="A336" s="10" t="n">
        <v>2025</v>
      </c>
      <c r="B336" s="28" t="s">
        <v>63</v>
      </c>
      <c r="C336" s="29" t="n">
        <v>45659</v>
      </c>
      <c r="D336" s="30" t="s">
        <v>128</v>
      </c>
      <c r="E336" s="28" t="s">
        <v>311</v>
      </c>
      <c r="F336" s="30" t="s">
        <v>312</v>
      </c>
      <c r="G336" s="31" t="n">
        <v>67067</v>
      </c>
      <c r="H336" s="31" t="n">
        <v>1</v>
      </c>
      <c r="I336" s="31" t="n">
        <v>67067</v>
      </c>
      <c r="J336" s="29" t="n">
        <v>45660</v>
      </c>
      <c r="K336" s="31" t="n">
        <v>63836</v>
      </c>
      <c r="L336" s="30" t="s">
        <v>32</v>
      </c>
      <c r="M336" s="10" t="n">
        <v>1</v>
      </c>
      <c r="N336" s="12" t="n">
        <v>-3346</v>
      </c>
      <c r="O336" s="13" t="n">
        <v>-0.0498947263930097</v>
      </c>
      <c r="P336" s="15" t="n">
        <v>-0.0144184174034918</v>
      </c>
      <c r="Q336" s="13" t="n">
        <v>-0.0889707307617753</v>
      </c>
      <c r="R336" s="15" t="n">
        <v>0.281070745697897</v>
      </c>
      <c r="S336" s="32" t="n">
        <v>279491237000</v>
      </c>
      <c r="T336" s="15" t="n">
        <v>0.0276073619631903</v>
      </c>
      <c r="U336" s="32" t="n">
        <v>25982407480</v>
      </c>
      <c r="V336" s="14" t="n">
        <v>8.67682374799733</v>
      </c>
      <c r="W336" s="13" t="n">
        <v>0.183745583038869</v>
      </c>
      <c r="X336" s="15" t="n">
        <v>0.0119402985074626</v>
      </c>
      <c r="Y336" s="13" t="n">
        <v>-0.0002292153749337</v>
      </c>
      <c r="Z336" s="13" t="n">
        <v>-0.0176371104131433</v>
      </c>
      <c r="AA336" s="30" t="s">
        <v>96</v>
      </c>
      <c r="AB336" s="28" t="s">
        <v>94</v>
      </c>
      <c r="AC336" s="28" t="s">
        <v>104</v>
      </c>
      <c r="AD336" s="28" t="s">
        <v>110</v>
      </c>
      <c r="AE336" s="28" t="s">
        <v>113</v>
      </c>
      <c r="AF336" s="28" t="s">
        <v>119</v>
      </c>
      <c r="AG336" s="30" t="s">
        <v>122</v>
      </c>
    </row>
    <row r="337" customFormat="false" ht="15" hidden="false" customHeight="false" outlineLevel="0" collapsed="false">
      <c r="A337" s="10" t="n">
        <v>2025</v>
      </c>
      <c r="B337" s="28" t="s">
        <v>63</v>
      </c>
      <c r="C337" s="29" t="n">
        <v>45659</v>
      </c>
      <c r="D337" s="30" t="s">
        <v>128</v>
      </c>
      <c r="E337" s="28" t="s">
        <v>295</v>
      </c>
      <c r="F337" s="30" t="s">
        <v>296</v>
      </c>
      <c r="G337" s="31" t="n">
        <v>23924</v>
      </c>
      <c r="H337" s="31" t="n">
        <v>4</v>
      </c>
      <c r="I337" s="31" t="n">
        <v>95696</v>
      </c>
      <c r="J337" s="29" t="n">
        <v>45700</v>
      </c>
      <c r="K337" s="31" t="n">
        <v>28750</v>
      </c>
      <c r="L337" s="30" t="s">
        <v>31</v>
      </c>
      <c r="M337" s="10" t="n">
        <v>25</v>
      </c>
      <c r="N337" s="12" t="n">
        <v>19100</v>
      </c>
      <c r="O337" s="13" t="n">
        <v>0.19959429336354</v>
      </c>
      <c r="P337" s="15" t="n">
        <v>0.373103883564135</v>
      </c>
      <c r="Q337" s="13" t="n">
        <v>-0.0302584444843859</v>
      </c>
      <c r="R337" s="15" t="n">
        <v>0.0575221238938053</v>
      </c>
      <c r="S337" s="32" t="n">
        <v>88898224900</v>
      </c>
      <c r="T337" s="15" t="n">
        <v>0.0301724137931034</v>
      </c>
      <c r="U337" s="32" t="n">
        <v>64156386139</v>
      </c>
      <c r="V337" s="14" t="n">
        <v>1.26441611995761</v>
      </c>
      <c r="W337" s="13" t="n">
        <v>0.0598669623059867</v>
      </c>
      <c r="X337" s="15" t="n">
        <v>0.002092050209205</v>
      </c>
      <c r="Y337" s="13" t="n">
        <v>-0.0002292153749337</v>
      </c>
      <c r="Z337" s="13" t="n">
        <v>-0.0176371104131433</v>
      </c>
      <c r="AA337" s="30" t="s">
        <v>96</v>
      </c>
      <c r="AB337" s="28" t="s">
        <v>94</v>
      </c>
      <c r="AC337" s="28" t="s">
        <v>101</v>
      </c>
      <c r="AD337" s="28" t="s">
        <v>108</v>
      </c>
      <c r="AE337" s="28" t="s">
        <v>113</v>
      </c>
      <c r="AF337" s="28" t="s">
        <v>116</v>
      </c>
      <c r="AG337" s="30" t="s">
        <v>122</v>
      </c>
    </row>
    <row r="338" customFormat="false" ht="15" hidden="false" customHeight="false" outlineLevel="0" collapsed="false">
      <c r="A338" s="10" t="n">
        <v>2025</v>
      </c>
      <c r="B338" s="28" t="s">
        <v>63</v>
      </c>
      <c r="C338" s="29" t="n">
        <v>45659</v>
      </c>
      <c r="D338" s="30" t="s">
        <v>128</v>
      </c>
      <c r="E338" s="28" t="s">
        <v>335</v>
      </c>
      <c r="F338" s="30" t="s">
        <v>336</v>
      </c>
      <c r="G338" s="31" t="n">
        <v>1748</v>
      </c>
      <c r="H338" s="31" t="n">
        <v>56</v>
      </c>
      <c r="I338" s="31" t="n">
        <v>97874</v>
      </c>
      <c r="J338" s="29" t="n">
        <v>45665</v>
      </c>
      <c r="K338" s="31" t="n">
        <v>1663</v>
      </c>
      <c r="L338" s="30" t="s">
        <v>32</v>
      </c>
      <c r="M338" s="10" t="n">
        <v>4</v>
      </c>
      <c r="N338" s="12" t="n">
        <v>-4895</v>
      </c>
      <c r="O338" s="13" t="n">
        <v>-0.0500173736057755</v>
      </c>
      <c r="P338" s="15" t="n">
        <v>0.00815564733090524</v>
      </c>
      <c r="Q338" s="13" t="n">
        <v>-0.0496330702516269</v>
      </c>
      <c r="R338" s="15" t="n">
        <v>0.171812080536913</v>
      </c>
      <c r="S338" s="32" t="n">
        <v>80483942502</v>
      </c>
      <c r="T338" s="15" t="n">
        <v>0.125725338491296</v>
      </c>
      <c r="U338" s="32" t="n">
        <v>3662575789.1</v>
      </c>
      <c r="V338" s="14" t="n">
        <v>18.1512858808447</v>
      </c>
      <c r="W338" s="13" t="n">
        <v>0.102272727272727</v>
      </c>
      <c r="X338" s="15" t="n">
        <v>0.0423825887743414</v>
      </c>
      <c r="Y338" s="13" t="n">
        <v>-0.0002292153749337</v>
      </c>
      <c r="Z338" s="13" t="n">
        <v>-0.0176371104131433</v>
      </c>
      <c r="AA338" s="30" t="s">
        <v>96</v>
      </c>
      <c r="AB338" s="28" t="s">
        <v>94</v>
      </c>
      <c r="AC338" s="28" t="s">
        <v>103</v>
      </c>
      <c r="AD338" s="28" t="s">
        <v>108</v>
      </c>
      <c r="AE338" s="28" t="s">
        <v>114</v>
      </c>
      <c r="AF338" s="28" t="s">
        <v>120</v>
      </c>
      <c r="AG338" s="30" t="s">
        <v>122</v>
      </c>
    </row>
    <row r="339" customFormat="false" ht="15" hidden="false" customHeight="false" outlineLevel="0" collapsed="false">
      <c r="A339" s="10" t="n">
        <v>2025</v>
      </c>
      <c r="B339" s="28" t="s">
        <v>63</v>
      </c>
      <c r="C339" s="29" t="n">
        <v>45659</v>
      </c>
      <c r="D339" s="30" t="s">
        <v>128</v>
      </c>
      <c r="E339" s="28" t="s">
        <v>643</v>
      </c>
      <c r="F339" s="30" t="s">
        <v>644</v>
      </c>
      <c r="G339" s="31" t="n">
        <v>11081</v>
      </c>
      <c r="H339" s="31" t="n">
        <v>8</v>
      </c>
      <c r="I339" s="31" t="n">
        <v>88649</v>
      </c>
      <c r="J339" s="29" t="n">
        <v>45666</v>
      </c>
      <c r="K339" s="31" t="n">
        <v>10549</v>
      </c>
      <c r="L339" s="30" t="s">
        <v>32</v>
      </c>
      <c r="M339" s="10" t="n">
        <v>5</v>
      </c>
      <c r="N339" s="12" t="n">
        <v>-4406</v>
      </c>
      <c r="O339" s="13" t="n">
        <v>-0.0496972527472526</v>
      </c>
      <c r="P339" s="15" t="n">
        <v>0.0748059528547336</v>
      </c>
      <c r="Q339" s="13" t="n">
        <v>-0.0894381138283575</v>
      </c>
      <c r="R339" s="15" t="n">
        <v>0.0675024108003857</v>
      </c>
      <c r="S339" s="32" t="n">
        <v>63085129290</v>
      </c>
      <c r="T339" s="15" t="n">
        <v>0.010036496350365</v>
      </c>
      <c r="U339" s="32" t="n">
        <v>15605466220.5</v>
      </c>
      <c r="V339" s="14" t="n">
        <v>3.56379323003065</v>
      </c>
      <c r="W339" s="13" t="n">
        <v>0.0895669291338583</v>
      </c>
      <c r="X339" s="15" t="n">
        <v>0.0243902439024391</v>
      </c>
      <c r="Y339" s="13" t="n">
        <v>-0.0002292153749337</v>
      </c>
      <c r="Z339" s="13" t="n">
        <v>-0.0176371104131433</v>
      </c>
      <c r="AA339" s="30" t="s">
        <v>96</v>
      </c>
      <c r="AB339" s="28" t="s">
        <v>94</v>
      </c>
      <c r="AC339" s="28" t="s">
        <v>101</v>
      </c>
      <c r="AD339" s="28" t="s">
        <v>108</v>
      </c>
      <c r="AE339" s="28" t="s">
        <v>112</v>
      </c>
      <c r="AF339" s="28" t="s">
        <v>118</v>
      </c>
      <c r="AG339" s="30" t="s">
        <v>122</v>
      </c>
    </row>
    <row r="340" customFormat="false" ht="15" hidden="false" customHeight="false" outlineLevel="0" collapsed="false">
      <c r="A340" s="10" t="n">
        <v>2025</v>
      </c>
      <c r="B340" s="28" t="s">
        <v>63</v>
      </c>
      <c r="C340" s="29" t="n">
        <v>45659</v>
      </c>
      <c r="D340" s="30" t="s">
        <v>128</v>
      </c>
      <c r="E340" s="28" t="s">
        <v>645</v>
      </c>
      <c r="F340" s="30" t="s">
        <v>646</v>
      </c>
      <c r="G340" s="31" t="n">
        <v>27427</v>
      </c>
      <c r="H340" s="31" t="n">
        <v>3</v>
      </c>
      <c r="I340" s="31" t="n">
        <v>82282</v>
      </c>
      <c r="J340" s="29" t="n">
        <v>45665</v>
      </c>
      <c r="K340" s="31" t="n">
        <v>26074</v>
      </c>
      <c r="L340" s="30" t="s">
        <v>32</v>
      </c>
      <c r="M340" s="10" t="n">
        <v>4</v>
      </c>
      <c r="N340" s="12" t="n">
        <v>-4202</v>
      </c>
      <c r="O340" s="13" t="n">
        <v>-0.0510670367953214</v>
      </c>
      <c r="P340" s="15" t="n">
        <v>0.0737437744737015</v>
      </c>
      <c r="Q340" s="13" t="n">
        <v>-0.0866797436140501</v>
      </c>
      <c r="R340" s="15" t="n">
        <v>0.118367346938776</v>
      </c>
      <c r="S340" s="32" t="n">
        <v>56024451200</v>
      </c>
      <c r="T340" s="15" t="n">
        <v>0.0538461538461539</v>
      </c>
      <c r="U340" s="32" t="n">
        <v>22939202236.5</v>
      </c>
      <c r="V340" s="14" t="n">
        <v>2.05499792458766</v>
      </c>
      <c r="W340" s="13" t="n">
        <v>0.113821138211382</v>
      </c>
      <c r="X340" s="15" t="n">
        <v>0.0164233576642336</v>
      </c>
      <c r="Y340" s="13" t="n">
        <v>-0.0002292153749337</v>
      </c>
      <c r="Z340" s="13" t="n">
        <v>-0.0176371104131433</v>
      </c>
      <c r="AA340" s="30" t="s">
        <v>96</v>
      </c>
      <c r="AB340" s="28" t="s">
        <v>94</v>
      </c>
      <c r="AC340" s="28" t="s">
        <v>102</v>
      </c>
      <c r="AD340" s="28" t="s">
        <v>108</v>
      </c>
      <c r="AE340" s="28" t="s">
        <v>101</v>
      </c>
      <c r="AF340" s="28" t="s">
        <v>117</v>
      </c>
      <c r="AG340" s="30" t="s">
        <v>122</v>
      </c>
    </row>
    <row r="341" customFormat="false" ht="15" hidden="false" customHeight="false" outlineLevel="0" collapsed="false">
      <c r="A341" s="10" t="n">
        <v>2025</v>
      </c>
      <c r="B341" s="28" t="s">
        <v>63</v>
      </c>
      <c r="C341" s="29" t="n">
        <v>45659</v>
      </c>
      <c r="D341" s="30" t="s">
        <v>128</v>
      </c>
      <c r="E341" s="28" t="s">
        <v>647</v>
      </c>
      <c r="F341" s="30" t="s">
        <v>648</v>
      </c>
      <c r="G341" s="31" t="n">
        <v>26877</v>
      </c>
      <c r="H341" s="31" t="n">
        <v>3</v>
      </c>
      <c r="I341" s="31" t="n">
        <v>80631</v>
      </c>
      <c r="J341" s="29" t="n">
        <v>45660</v>
      </c>
      <c r="K341" s="31" t="n">
        <v>25574</v>
      </c>
      <c r="L341" s="30" t="s">
        <v>32</v>
      </c>
      <c r="M341" s="10" t="n">
        <v>1</v>
      </c>
      <c r="N341" s="12" t="n">
        <v>-4046</v>
      </c>
      <c r="O341" s="13" t="n">
        <v>-0.050179961100352</v>
      </c>
      <c r="P341" s="15" t="n">
        <v>-0.00844034922247205</v>
      </c>
      <c r="Q341" s="13" t="n">
        <v>-0.0698314720661089</v>
      </c>
      <c r="R341" s="15" t="n">
        <v>0.164859002169197</v>
      </c>
      <c r="S341" s="32" t="n">
        <v>52712698650</v>
      </c>
      <c r="T341" s="15" t="n">
        <v>0.116424116424116</v>
      </c>
      <c r="U341" s="32" t="n">
        <v>3826250580</v>
      </c>
      <c r="V341" s="14" t="n">
        <v>11.6114251849819</v>
      </c>
      <c r="W341" s="13" t="n">
        <v>0.0740000000000001</v>
      </c>
      <c r="X341" s="15" t="n">
        <v>0.00372439478584741</v>
      </c>
      <c r="Y341" s="13" t="n">
        <v>-0.0002292153749337</v>
      </c>
      <c r="Z341" s="13" t="n">
        <v>-0.0176371104131433</v>
      </c>
      <c r="AA341" s="30" t="s">
        <v>96</v>
      </c>
      <c r="AB341" s="28" t="s">
        <v>94</v>
      </c>
      <c r="AC341" s="28" t="s">
        <v>103</v>
      </c>
      <c r="AD341" s="28" t="s">
        <v>108</v>
      </c>
      <c r="AE341" s="28" t="s">
        <v>114</v>
      </c>
      <c r="AF341" s="28" t="s">
        <v>120</v>
      </c>
      <c r="AG341" s="30" t="s">
        <v>122</v>
      </c>
    </row>
    <row r="342" customFormat="false" ht="15" hidden="false" customHeight="false" outlineLevel="0" collapsed="false">
      <c r="A342" s="10" t="n">
        <v>2025</v>
      </c>
      <c r="B342" s="28" t="s">
        <v>63</v>
      </c>
      <c r="C342" s="29" t="n">
        <v>45659</v>
      </c>
      <c r="D342" s="30" t="s">
        <v>128</v>
      </c>
      <c r="E342" s="28" t="s">
        <v>649</v>
      </c>
      <c r="F342" s="30" t="s">
        <v>650</v>
      </c>
      <c r="G342" s="31" t="n">
        <v>2813</v>
      </c>
      <c r="H342" s="31" t="n">
        <v>35</v>
      </c>
      <c r="I342" s="31" t="n">
        <v>98448</v>
      </c>
      <c r="J342" s="29" t="n">
        <v>45660</v>
      </c>
      <c r="K342" s="31" t="n">
        <v>2677</v>
      </c>
      <c r="L342" s="30" t="s">
        <v>32</v>
      </c>
      <c r="M342" s="10" t="n">
        <v>1</v>
      </c>
      <c r="N342" s="12" t="n">
        <v>-4912</v>
      </c>
      <c r="O342" s="13" t="n">
        <v>-0.0498894342312489</v>
      </c>
      <c r="P342" s="15" t="n">
        <v>-0.0152196557890506</v>
      </c>
      <c r="Q342" s="13" t="n">
        <v>-0.0703246931004936</v>
      </c>
      <c r="R342" s="15" t="n">
        <v>0.101960784313726</v>
      </c>
      <c r="S342" s="32" t="n">
        <v>31801228030</v>
      </c>
      <c r="T342" s="15" t="n">
        <v>0.09765625</v>
      </c>
      <c r="U342" s="32" t="n">
        <v>3369065575</v>
      </c>
      <c r="V342" s="14" t="n">
        <v>8.36068203034063</v>
      </c>
      <c r="W342" s="13" t="n">
        <v>0.0426716141001855</v>
      </c>
      <c r="X342" s="15" t="n">
        <v>0.0444839857651245</v>
      </c>
      <c r="Y342" s="13" t="n">
        <v>-0.0002292153749337</v>
      </c>
      <c r="Z342" s="13" t="n">
        <v>-0.0176371104131433</v>
      </c>
      <c r="AA342" s="30" t="s">
        <v>96</v>
      </c>
      <c r="AB342" s="28" t="s">
        <v>94</v>
      </c>
      <c r="AC342" s="28" t="s">
        <v>102</v>
      </c>
      <c r="AD342" s="28" t="s">
        <v>107</v>
      </c>
      <c r="AE342" s="28" t="s">
        <v>101</v>
      </c>
      <c r="AF342" s="28" t="s">
        <v>119</v>
      </c>
      <c r="AG342" s="30" t="s">
        <v>122</v>
      </c>
    </row>
    <row r="343" customFormat="false" ht="15" hidden="false" customHeight="false" outlineLevel="0" collapsed="false">
      <c r="A343" s="10" t="n">
        <v>2025</v>
      </c>
      <c r="B343" s="28" t="s">
        <v>63</v>
      </c>
      <c r="C343" s="29" t="n">
        <v>45659</v>
      </c>
      <c r="D343" s="30" t="s">
        <v>128</v>
      </c>
      <c r="E343" s="28" t="s">
        <v>651</v>
      </c>
      <c r="F343" s="30" t="s">
        <v>652</v>
      </c>
      <c r="G343" s="31" t="n">
        <v>3408</v>
      </c>
      <c r="H343" s="31" t="n">
        <v>29</v>
      </c>
      <c r="I343" s="31" t="n">
        <v>98833</v>
      </c>
      <c r="J343" s="29" t="n">
        <v>45671</v>
      </c>
      <c r="K343" s="31" t="n">
        <v>4090</v>
      </c>
      <c r="L343" s="30" t="s">
        <v>31</v>
      </c>
      <c r="M343" s="10" t="n">
        <v>8</v>
      </c>
      <c r="N343" s="12" t="n">
        <v>19567</v>
      </c>
      <c r="O343" s="13" t="n">
        <v>0.197978432644076</v>
      </c>
      <c r="P343" s="15" t="n">
        <v>0.391373484396741</v>
      </c>
      <c r="Q343" s="13" t="n">
        <v>-0.0139059906501765</v>
      </c>
      <c r="R343" s="15" t="n">
        <v>0.105714285714286</v>
      </c>
      <c r="S343" s="32" t="n">
        <v>25640042580</v>
      </c>
      <c r="T343" s="15" t="n">
        <v>0.0794979079497908</v>
      </c>
      <c r="U343" s="32" t="n">
        <v>6597153993.25</v>
      </c>
      <c r="V343" s="14" t="n">
        <v>3.39287690011052</v>
      </c>
      <c r="W343" s="13" t="n">
        <v>0.0947666195190948</v>
      </c>
      <c r="X343" s="15" t="n">
        <v>0.0981912144702841</v>
      </c>
      <c r="Y343" s="13" t="n">
        <v>-0.0002292153749337</v>
      </c>
      <c r="Z343" s="13" t="n">
        <v>-0.0176371104131433</v>
      </c>
      <c r="AA343" s="30" t="s">
        <v>96</v>
      </c>
      <c r="AB343" s="28" t="s">
        <v>94</v>
      </c>
      <c r="AC343" s="28" t="s">
        <v>102</v>
      </c>
      <c r="AD343" s="28" t="s">
        <v>106</v>
      </c>
      <c r="AE343" s="28" t="s">
        <v>101</v>
      </c>
      <c r="AF343" s="28" t="s">
        <v>118</v>
      </c>
      <c r="AG343" s="30" t="s">
        <v>122</v>
      </c>
    </row>
    <row r="344" customFormat="false" ht="15" hidden="false" customHeight="false" outlineLevel="0" collapsed="false">
      <c r="A344" s="10" t="n">
        <v>2025</v>
      </c>
      <c r="B344" s="28" t="s">
        <v>63</v>
      </c>
      <c r="C344" s="29" t="n">
        <v>45660</v>
      </c>
      <c r="D344" s="30" t="s">
        <v>129</v>
      </c>
      <c r="E344" s="28" t="s">
        <v>653</v>
      </c>
      <c r="F344" s="30" t="s">
        <v>654</v>
      </c>
      <c r="G344" s="31" t="n">
        <v>16882</v>
      </c>
      <c r="H344" s="31" t="n">
        <v>5</v>
      </c>
      <c r="I344" s="31" t="n">
        <v>84410</v>
      </c>
      <c r="J344" s="29" t="n">
        <v>45694</v>
      </c>
      <c r="K344" s="31" t="n">
        <v>20300</v>
      </c>
      <c r="L344" s="30" t="s">
        <v>31</v>
      </c>
      <c r="M344" s="10" t="n">
        <v>20</v>
      </c>
      <c r="N344" s="12" t="n">
        <v>16910</v>
      </c>
      <c r="O344" s="13" t="n">
        <v>0.200326230307388</v>
      </c>
      <c r="P344" s="15" t="n">
        <v>0.28786202611706</v>
      </c>
      <c r="Q344" s="13" t="n">
        <v>-0.0406685037557519</v>
      </c>
      <c r="R344" s="15" t="n">
        <v>0.107120743034056</v>
      </c>
      <c r="S344" s="32" t="n">
        <v>123645724920</v>
      </c>
      <c r="T344" s="15" t="n">
        <v>0.0211307824100515</v>
      </c>
      <c r="U344" s="32" t="n">
        <v>20159905504.5</v>
      </c>
      <c r="V344" s="14" t="n">
        <v>5.59885770594486</v>
      </c>
      <c r="W344" s="13" t="n">
        <v>0.0856102003642987</v>
      </c>
      <c r="X344" s="15" t="n">
        <v>0.0262863534675615</v>
      </c>
      <c r="Y344" s="13" t="n">
        <v>0.0179162463421345</v>
      </c>
      <c r="Z344" s="13" t="n">
        <v>0.000573648238900049</v>
      </c>
      <c r="AA344" s="30" t="s">
        <v>97</v>
      </c>
      <c r="AB344" s="28" t="s">
        <v>93</v>
      </c>
      <c r="AC344" s="28" t="s">
        <v>102</v>
      </c>
      <c r="AD344" s="28" t="s">
        <v>109</v>
      </c>
      <c r="AE344" s="28" t="s">
        <v>113</v>
      </c>
      <c r="AF344" s="28" t="s">
        <v>119</v>
      </c>
      <c r="AG344" s="30" t="s">
        <v>122</v>
      </c>
    </row>
    <row r="345" customFormat="false" ht="15" hidden="false" customHeight="false" outlineLevel="0" collapsed="false">
      <c r="A345" s="10" t="n">
        <v>2025</v>
      </c>
      <c r="B345" s="28" t="s">
        <v>63</v>
      </c>
      <c r="C345" s="29" t="n">
        <v>45660</v>
      </c>
      <c r="D345" s="30" t="s">
        <v>129</v>
      </c>
      <c r="E345" s="28" t="s">
        <v>469</v>
      </c>
      <c r="F345" s="28" t="s">
        <v>470</v>
      </c>
      <c r="G345" s="31" t="n">
        <v>75776</v>
      </c>
      <c r="H345" s="31" t="n">
        <v>1</v>
      </c>
      <c r="I345" s="31" t="n">
        <v>75776</v>
      </c>
      <c r="J345" s="29" t="n">
        <v>45715</v>
      </c>
      <c r="K345" s="31" t="n">
        <v>91000</v>
      </c>
      <c r="L345" s="30" t="s">
        <v>31</v>
      </c>
      <c r="M345" s="10" t="n">
        <v>35</v>
      </c>
      <c r="N345" s="12" t="n">
        <v>15063</v>
      </c>
      <c r="O345" s="13" t="n">
        <v>0.198781187702654</v>
      </c>
      <c r="P345" s="15" t="n">
        <v>0.28801185604356</v>
      </c>
      <c r="Q345" s="13" t="n">
        <v>-0.035310792246063</v>
      </c>
      <c r="R345" s="15" t="n">
        <v>0.0313351498637602</v>
      </c>
      <c r="S345" s="32" t="n">
        <v>74350193300</v>
      </c>
      <c r="T345" s="15" t="n">
        <v>0.0215924426450742</v>
      </c>
      <c r="U345" s="32" t="n">
        <v>58839237310</v>
      </c>
      <c r="V345" s="14" t="n">
        <v>1.18822166828467</v>
      </c>
      <c r="W345" s="13" t="n">
        <v>0.0313351498637602</v>
      </c>
      <c r="X345" s="15" t="n">
        <v>0.0145310435931307</v>
      </c>
      <c r="Y345" s="13" t="n">
        <v>0.0179162463421345</v>
      </c>
      <c r="Z345" s="13" t="n">
        <v>0.000573648238900049</v>
      </c>
      <c r="AA345" s="30" t="s">
        <v>97</v>
      </c>
      <c r="AB345" s="28" t="s">
        <v>93</v>
      </c>
      <c r="AC345" s="28" t="s">
        <v>100</v>
      </c>
      <c r="AD345" s="28" t="s">
        <v>108</v>
      </c>
      <c r="AE345" s="28" t="s">
        <v>113</v>
      </c>
      <c r="AF345" s="28" t="s">
        <v>116</v>
      </c>
      <c r="AG345" s="30" t="s">
        <v>122</v>
      </c>
    </row>
    <row r="346" customFormat="false" ht="15" hidden="false" customHeight="false" outlineLevel="0" collapsed="false">
      <c r="A346" s="10" t="n">
        <v>2025</v>
      </c>
      <c r="B346" s="28" t="s">
        <v>63</v>
      </c>
      <c r="C346" s="29" t="n">
        <v>45660</v>
      </c>
      <c r="D346" s="30" t="s">
        <v>129</v>
      </c>
      <c r="E346" s="28" t="s">
        <v>655</v>
      </c>
      <c r="F346" s="30" t="s">
        <v>656</v>
      </c>
      <c r="G346" s="31" t="n">
        <v>42242</v>
      </c>
      <c r="H346" s="31" t="n">
        <v>2</v>
      </c>
      <c r="I346" s="31" t="n">
        <v>84484</v>
      </c>
      <c r="J346" s="29" t="n">
        <v>45667</v>
      </c>
      <c r="K346" s="31" t="n">
        <v>50700</v>
      </c>
      <c r="L346" s="30" t="s">
        <v>31</v>
      </c>
      <c r="M346" s="10" t="n">
        <v>5</v>
      </c>
      <c r="N346" s="12" t="n">
        <v>16736</v>
      </c>
      <c r="O346" s="13" t="n">
        <v>0.198091213762541</v>
      </c>
      <c r="P346" s="15" t="n">
        <v>0.209690783150499</v>
      </c>
      <c r="Q346" s="13" t="n">
        <v>0.0214903579832491</v>
      </c>
      <c r="R346" s="15" t="n">
        <v>0.10761154855643</v>
      </c>
      <c r="S346" s="32" t="n">
        <v>62039359400</v>
      </c>
      <c r="T346" s="15" t="n">
        <v>0.0670037926675096</v>
      </c>
      <c r="U346" s="32" t="n">
        <v>42367193492.5</v>
      </c>
      <c r="V346" s="14" t="n">
        <v>1.23088648656976</v>
      </c>
      <c r="W346" s="13" t="n">
        <v>0.117880794701987</v>
      </c>
      <c r="X346" s="15" t="n">
        <v>0.0165876777251184</v>
      </c>
      <c r="Y346" s="13" t="n">
        <v>0.0179162463421345</v>
      </c>
      <c r="Z346" s="13" t="n">
        <v>0.000573648238900049</v>
      </c>
      <c r="AA346" s="30" t="s">
        <v>97</v>
      </c>
      <c r="AB346" s="28" t="s">
        <v>93</v>
      </c>
      <c r="AC346" s="28" t="s">
        <v>102</v>
      </c>
      <c r="AD346" s="28" t="s">
        <v>108</v>
      </c>
      <c r="AE346" s="28" t="s">
        <v>101</v>
      </c>
      <c r="AF346" s="28" t="s">
        <v>116</v>
      </c>
      <c r="AG346" s="30" t="s">
        <v>122</v>
      </c>
    </row>
    <row r="347" customFormat="false" ht="15" hidden="false" customHeight="false" outlineLevel="0" collapsed="false">
      <c r="A347" s="10" t="n">
        <v>2025</v>
      </c>
      <c r="B347" s="28" t="s">
        <v>63</v>
      </c>
      <c r="C347" s="29" t="n">
        <v>45660</v>
      </c>
      <c r="D347" s="30" t="s">
        <v>129</v>
      </c>
      <c r="E347" s="28" t="s">
        <v>555</v>
      </c>
      <c r="F347" s="30" t="s">
        <v>556</v>
      </c>
      <c r="G347" s="31" t="n">
        <v>13539</v>
      </c>
      <c r="H347" s="31" t="n">
        <v>7</v>
      </c>
      <c r="I347" s="31" t="n">
        <v>94770</v>
      </c>
      <c r="J347" s="29" t="n">
        <v>45663</v>
      </c>
      <c r="K347" s="31" t="n">
        <v>16250</v>
      </c>
      <c r="L347" s="30" t="s">
        <v>31</v>
      </c>
      <c r="M347" s="10" t="n">
        <v>1</v>
      </c>
      <c r="N347" s="12" t="n">
        <v>18778</v>
      </c>
      <c r="O347" s="13" t="n">
        <v>0.198148005137192</v>
      </c>
      <c r="P347" s="15" t="n">
        <v>0.298147324025328</v>
      </c>
      <c r="Q347" s="13" t="n">
        <v>0.0174668215333651</v>
      </c>
      <c r="R347" s="15" t="n">
        <v>0.0285171102661597</v>
      </c>
      <c r="S347" s="32" t="n">
        <v>45644107785</v>
      </c>
      <c r="T347" s="15" t="n">
        <v>0.0131086142322097</v>
      </c>
      <c r="U347" s="32" t="n">
        <v>4054030136.5</v>
      </c>
      <c r="V347" s="14" t="n">
        <v>10.4899638529676</v>
      </c>
      <c r="W347" s="13" t="n">
        <v>-0.0287253141831239</v>
      </c>
      <c r="X347" s="15" t="n">
        <v>0.129390018484288</v>
      </c>
      <c r="Y347" s="13" t="n">
        <v>0.0179162463421345</v>
      </c>
      <c r="Z347" s="13" t="n">
        <v>0.000573648238900049</v>
      </c>
      <c r="AA347" s="30" t="s">
        <v>97</v>
      </c>
      <c r="AB347" s="28" t="s">
        <v>93</v>
      </c>
      <c r="AC347" s="28" t="s">
        <v>99</v>
      </c>
      <c r="AD347" s="28" t="s">
        <v>107</v>
      </c>
      <c r="AE347" s="28" t="s">
        <v>112</v>
      </c>
      <c r="AF347" s="28" t="s">
        <v>120</v>
      </c>
      <c r="AG347" s="30" t="s">
        <v>123</v>
      </c>
    </row>
    <row r="348" customFormat="false" ht="15" hidden="false" customHeight="false" outlineLevel="0" collapsed="false">
      <c r="A348" s="10" t="n">
        <v>2025</v>
      </c>
      <c r="B348" s="28" t="s">
        <v>63</v>
      </c>
      <c r="C348" s="29" t="n">
        <v>45660</v>
      </c>
      <c r="D348" s="30" t="s">
        <v>129</v>
      </c>
      <c r="E348" s="28" t="s">
        <v>431</v>
      </c>
      <c r="F348" s="28" t="s">
        <v>432</v>
      </c>
      <c r="G348" s="31" t="n">
        <v>28078</v>
      </c>
      <c r="H348" s="31" t="n">
        <v>3</v>
      </c>
      <c r="I348" s="31" t="n">
        <v>84234</v>
      </c>
      <c r="J348" s="29" t="n">
        <v>45681</v>
      </c>
      <c r="K348" s="31" t="n">
        <v>33700</v>
      </c>
      <c r="L348" s="30" t="s">
        <v>31</v>
      </c>
      <c r="M348" s="10" t="n">
        <v>15</v>
      </c>
      <c r="N348" s="12" t="n">
        <v>16686</v>
      </c>
      <c r="O348" s="13" t="n">
        <v>0.198095426587673</v>
      </c>
      <c r="P348" s="15" t="n">
        <v>0.218033303594801</v>
      </c>
      <c r="Q348" s="13" t="n">
        <v>-0.0152450045498173</v>
      </c>
      <c r="R348" s="15" t="n">
        <v>0.0604914933837428</v>
      </c>
      <c r="S348" s="32" t="n">
        <v>33844148250</v>
      </c>
      <c r="T348" s="15" t="n">
        <v>0.0053763440860215</v>
      </c>
      <c r="U348" s="32" t="n">
        <v>16103725857.5</v>
      </c>
      <c r="V348" s="14" t="n">
        <v>1.99010427980497</v>
      </c>
      <c r="W348" s="13" t="n">
        <v>0.0604914933837428</v>
      </c>
      <c r="X348" s="15" t="n">
        <v>0</v>
      </c>
      <c r="Y348" s="13" t="n">
        <v>0.0179162463421345</v>
      </c>
      <c r="Z348" s="13" t="n">
        <v>0.000573648238900049</v>
      </c>
      <c r="AA348" s="30" t="s">
        <v>97</v>
      </c>
      <c r="AB348" s="28" t="s">
        <v>93</v>
      </c>
      <c r="AC348" s="28" t="s">
        <v>101</v>
      </c>
      <c r="AD348" s="28" t="s">
        <v>107</v>
      </c>
      <c r="AE348" s="28" t="s">
        <v>112</v>
      </c>
      <c r="AF348" s="28" t="s">
        <v>116</v>
      </c>
      <c r="AG348" s="30" t="s">
        <v>122</v>
      </c>
    </row>
    <row r="349" customFormat="false" ht="15" hidden="false" customHeight="false" outlineLevel="0" collapsed="false">
      <c r="A349" s="10" t="n">
        <v>2025</v>
      </c>
      <c r="B349" s="28" t="s">
        <v>63</v>
      </c>
      <c r="C349" s="29" t="n">
        <v>45663</v>
      </c>
      <c r="D349" s="30" t="s">
        <v>125</v>
      </c>
      <c r="E349" s="28" t="s">
        <v>657</v>
      </c>
      <c r="F349" s="30" t="s">
        <v>658</v>
      </c>
      <c r="G349" s="31" t="n">
        <v>27878</v>
      </c>
      <c r="H349" s="31" t="n">
        <v>3</v>
      </c>
      <c r="I349" s="31" t="n">
        <v>83634</v>
      </c>
      <c r="J349" s="29" t="n">
        <v>45664</v>
      </c>
      <c r="K349" s="31" t="n">
        <v>26523</v>
      </c>
      <c r="L349" s="30" t="s">
        <v>32</v>
      </c>
      <c r="M349" s="10" t="n">
        <v>1</v>
      </c>
      <c r="N349" s="12" t="n">
        <v>-4207</v>
      </c>
      <c r="O349" s="13" t="n">
        <v>-0.0503032109721516</v>
      </c>
      <c r="P349" s="15" t="n">
        <v>-0.0117602325860853</v>
      </c>
      <c r="Q349" s="13" t="n">
        <v>-0.0637728519236598</v>
      </c>
      <c r="R349" s="15" t="n">
        <v>0.160416666666667</v>
      </c>
      <c r="S349" s="32" t="n">
        <v>228801424350</v>
      </c>
      <c r="T349" s="15" t="n">
        <v>0.150826446280992</v>
      </c>
      <c r="U349" s="32" t="n">
        <v>8865841672.5</v>
      </c>
      <c r="V349" s="14" t="n">
        <v>21.8035688836152</v>
      </c>
      <c r="W349" s="13" t="n">
        <v>0.136734693877551</v>
      </c>
      <c r="X349" s="15" t="n">
        <v>0.0538599640933573</v>
      </c>
      <c r="Y349" s="13" t="n">
        <v>0.0191324859127244</v>
      </c>
      <c r="Z349" s="13" t="n">
        <v>0.0242707857445661</v>
      </c>
      <c r="AA349" s="30" t="s">
        <v>97</v>
      </c>
      <c r="AB349" s="28" t="s">
        <v>93</v>
      </c>
      <c r="AC349" s="28" t="s">
        <v>103</v>
      </c>
      <c r="AD349" s="28" t="s">
        <v>110</v>
      </c>
      <c r="AE349" s="28" t="s">
        <v>114</v>
      </c>
      <c r="AF349" s="28" t="s">
        <v>120</v>
      </c>
      <c r="AG349" s="30" t="s">
        <v>122</v>
      </c>
    </row>
    <row r="350" customFormat="false" ht="15" hidden="false" customHeight="false" outlineLevel="0" collapsed="false">
      <c r="A350" s="10" t="n">
        <v>2025</v>
      </c>
      <c r="B350" s="28" t="s">
        <v>63</v>
      </c>
      <c r="C350" s="29" t="n">
        <v>45664</v>
      </c>
      <c r="D350" s="30" t="s">
        <v>126</v>
      </c>
      <c r="E350" s="28" t="s">
        <v>591</v>
      </c>
      <c r="F350" s="30" t="s">
        <v>592</v>
      </c>
      <c r="G350" s="31" t="n">
        <v>11842</v>
      </c>
      <c r="H350" s="31" t="n">
        <v>8</v>
      </c>
      <c r="I350" s="31" t="n">
        <v>94735</v>
      </c>
      <c r="J350" s="29" t="n">
        <v>45707</v>
      </c>
      <c r="K350" s="31" t="n">
        <v>14220</v>
      </c>
      <c r="L350" s="30" t="s">
        <v>31</v>
      </c>
      <c r="M350" s="10" t="n">
        <v>27</v>
      </c>
      <c r="N350" s="12" t="n">
        <v>18823</v>
      </c>
      <c r="O350" s="13" t="n">
        <v>0.198696546521948</v>
      </c>
      <c r="P350" s="15" t="n">
        <v>0.28527431993197</v>
      </c>
      <c r="Q350" s="13" t="n">
        <v>-0.0161993543227692</v>
      </c>
      <c r="R350" s="15" t="n">
        <v>0.0359019264448337</v>
      </c>
      <c r="S350" s="32" t="n">
        <v>103034804600</v>
      </c>
      <c r="T350" s="15" t="n">
        <v>0.0198275862068966</v>
      </c>
      <c r="U350" s="32" t="n">
        <v>55144109192.5</v>
      </c>
      <c r="V350" s="14" t="n">
        <v>1.75133287826854</v>
      </c>
      <c r="W350" s="13" t="n">
        <v>0.0251299826689775</v>
      </c>
      <c r="X350" s="15" t="n">
        <v>0</v>
      </c>
      <c r="Y350" s="13" t="n">
        <v>0.00139031760318886</v>
      </c>
      <c r="Z350" s="13" t="n">
        <v>0.0363153232949514</v>
      </c>
      <c r="AA350" s="30" t="s">
        <v>97</v>
      </c>
      <c r="AB350" s="28" t="s">
        <v>93</v>
      </c>
      <c r="AC350" s="28" t="s">
        <v>100</v>
      </c>
      <c r="AD350" s="28" t="s">
        <v>109</v>
      </c>
      <c r="AE350" s="28" t="s">
        <v>112</v>
      </c>
      <c r="AF350" s="28" t="s">
        <v>116</v>
      </c>
      <c r="AG350" s="30" t="s">
        <v>122</v>
      </c>
    </row>
    <row r="351" customFormat="false" ht="15" hidden="false" customHeight="false" outlineLevel="0" collapsed="false">
      <c r="A351" s="10" t="n">
        <v>2025</v>
      </c>
      <c r="B351" s="28" t="s">
        <v>63</v>
      </c>
      <c r="C351" s="29" t="n">
        <v>45665</v>
      </c>
      <c r="D351" s="30" t="s">
        <v>127</v>
      </c>
      <c r="E351" s="28" t="s">
        <v>327</v>
      </c>
      <c r="F351" s="30" t="s">
        <v>328</v>
      </c>
      <c r="G351" s="31" t="n">
        <v>57357</v>
      </c>
      <c r="H351" s="31" t="n">
        <v>1</v>
      </c>
      <c r="I351" s="31" t="n">
        <v>57357</v>
      </c>
      <c r="J351" s="29" t="n">
        <v>45670</v>
      </c>
      <c r="K351" s="31" t="n">
        <v>54545</v>
      </c>
      <c r="L351" s="30" t="s">
        <v>32</v>
      </c>
      <c r="M351" s="10" t="n">
        <v>3</v>
      </c>
      <c r="N351" s="12" t="n">
        <v>-2911</v>
      </c>
      <c r="O351" s="13" t="n">
        <v>-0.0507433841028082</v>
      </c>
      <c r="P351" s="15" t="n">
        <v>0.00597482796435678</v>
      </c>
      <c r="Q351" s="13" t="n">
        <v>-0.056789632705863</v>
      </c>
      <c r="R351" s="15" t="n">
        <v>0.0342960288808665</v>
      </c>
      <c r="S351" s="32" t="n">
        <v>1523810586900</v>
      </c>
      <c r="T351" s="15" t="n">
        <v>0.0213903743315509</v>
      </c>
      <c r="U351" s="32" t="n">
        <v>981608563575</v>
      </c>
      <c r="V351" s="14" t="n">
        <v>1.47176745988762</v>
      </c>
      <c r="W351" s="13" t="n">
        <v>0.0456204379562044</v>
      </c>
      <c r="X351" s="15" t="n">
        <v>0.00349040139616053</v>
      </c>
      <c r="Y351" s="13" t="n">
        <v>0.0116167087998076</v>
      </c>
      <c r="Z351" s="13" t="n">
        <v>0.0506607654126503</v>
      </c>
      <c r="AA351" s="30" t="s">
        <v>97</v>
      </c>
      <c r="AB351" s="28" t="s">
        <v>93</v>
      </c>
      <c r="AC351" s="28" t="s">
        <v>100</v>
      </c>
      <c r="AD351" s="28" t="s">
        <v>110</v>
      </c>
      <c r="AE351" s="28" t="s">
        <v>113</v>
      </c>
      <c r="AF351" s="28" t="s">
        <v>116</v>
      </c>
      <c r="AG351" s="30" t="s">
        <v>122</v>
      </c>
    </row>
    <row r="352" customFormat="false" ht="15" hidden="false" customHeight="false" outlineLevel="0" collapsed="false">
      <c r="A352" s="10" t="n">
        <v>2025</v>
      </c>
      <c r="B352" s="28" t="s">
        <v>63</v>
      </c>
      <c r="C352" s="29" t="n">
        <v>45666</v>
      </c>
      <c r="D352" s="30" t="s">
        <v>128</v>
      </c>
      <c r="E352" s="28" t="s">
        <v>447</v>
      </c>
      <c r="F352" s="30" t="s">
        <v>448</v>
      </c>
      <c r="G352" s="31" t="n">
        <v>23273</v>
      </c>
      <c r="H352" s="31" t="n">
        <v>4</v>
      </c>
      <c r="I352" s="31" t="n">
        <v>93093</v>
      </c>
      <c r="J352" s="29" t="n">
        <v>45667</v>
      </c>
      <c r="K352" s="31" t="n">
        <v>22128</v>
      </c>
      <c r="L352" s="30" t="s">
        <v>32</v>
      </c>
      <c r="M352" s="10" t="n">
        <v>1</v>
      </c>
      <c r="N352" s="12" t="n">
        <v>-4742</v>
      </c>
      <c r="O352" s="13" t="n">
        <v>-0.0509340955818374</v>
      </c>
      <c r="P352" s="15" t="n">
        <v>0.0290784484332873</v>
      </c>
      <c r="Q352" s="13" t="n">
        <v>-0.0611538998635771</v>
      </c>
      <c r="R352" s="15" t="n">
        <v>0.0616438356164384</v>
      </c>
      <c r="S352" s="32" t="n">
        <v>76355115750</v>
      </c>
      <c r="T352" s="15" t="n">
        <v>0.0592255125284737</v>
      </c>
      <c r="U352" s="32" t="n">
        <v>16909085376.5</v>
      </c>
      <c r="V352" s="14" t="n">
        <v>3.94935940736237</v>
      </c>
      <c r="W352" s="13" t="n">
        <v>0.0175054704595186</v>
      </c>
      <c r="X352" s="15" t="n">
        <v>0.0344086021505377</v>
      </c>
      <c r="Y352" s="13" t="n">
        <v>0.000337161103508343</v>
      </c>
      <c r="Z352" s="13" t="n">
        <v>0.0512559713873628</v>
      </c>
      <c r="AA352" s="30" t="s">
        <v>97</v>
      </c>
      <c r="AB352" s="28" t="s">
        <v>93</v>
      </c>
      <c r="AC352" s="28" t="s">
        <v>101</v>
      </c>
      <c r="AD352" s="28" t="s">
        <v>108</v>
      </c>
      <c r="AE352" s="28" t="s">
        <v>101</v>
      </c>
      <c r="AF352" s="28" t="s">
        <v>118</v>
      </c>
      <c r="AG352" s="30" t="s">
        <v>122</v>
      </c>
    </row>
    <row r="353" customFormat="false" ht="15" hidden="false" customHeight="false" outlineLevel="0" collapsed="false">
      <c r="A353" s="10" t="n">
        <v>2025</v>
      </c>
      <c r="B353" s="28" t="s">
        <v>63</v>
      </c>
      <c r="C353" s="29" t="n">
        <v>45666</v>
      </c>
      <c r="D353" s="30" t="s">
        <v>128</v>
      </c>
      <c r="E353" s="28" t="s">
        <v>659</v>
      </c>
      <c r="F353" s="30" t="s">
        <v>660</v>
      </c>
      <c r="G353" s="31" t="n">
        <v>28679</v>
      </c>
      <c r="H353" s="31" t="n">
        <v>3</v>
      </c>
      <c r="I353" s="31" t="n">
        <v>86036</v>
      </c>
      <c r="J353" s="29" t="n">
        <v>45670</v>
      </c>
      <c r="K353" s="31" t="n">
        <v>27273</v>
      </c>
      <c r="L353" s="30" t="s">
        <v>32</v>
      </c>
      <c r="M353" s="10" t="n">
        <v>2</v>
      </c>
      <c r="N353" s="12" t="n">
        <v>-4366</v>
      </c>
      <c r="O353" s="13" t="n">
        <v>-0.050743384102808</v>
      </c>
      <c r="P353" s="15" t="n">
        <v>0.0443308872628245</v>
      </c>
      <c r="Q353" s="13" t="n">
        <v>-0.0498158037425053</v>
      </c>
      <c r="R353" s="15" t="n">
        <v>0.106177606177606</v>
      </c>
      <c r="S353" s="32" t="n">
        <v>48616843950</v>
      </c>
      <c r="T353" s="15" t="n">
        <v>0.0455622905921116</v>
      </c>
      <c r="U353" s="32" t="n">
        <v>9127908647.5</v>
      </c>
      <c r="V353" s="14" t="n">
        <v>4.54171703047924</v>
      </c>
      <c r="W353" s="13" t="n">
        <v>0.0914285714285714</v>
      </c>
      <c r="X353" s="15" t="n">
        <v>0.0593368237347296</v>
      </c>
      <c r="Y353" s="13" t="n">
        <v>0.000337161103508343</v>
      </c>
      <c r="Z353" s="13" t="n">
        <v>0.0512559713873628</v>
      </c>
      <c r="AA353" s="30" t="s">
        <v>97</v>
      </c>
      <c r="AB353" s="28" t="s">
        <v>93</v>
      </c>
      <c r="AC353" s="28" t="s">
        <v>102</v>
      </c>
      <c r="AD353" s="28" t="s">
        <v>107</v>
      </c>
      <c r="AE353" s="28" t="s">
        <v>113</v>
      </c>
      <c r="AF353" s="28" t="s">
        <v>118</v>
      </c>
      <c r="AG353" s="30" t="s">
        <v>122</v>
      </c>
    </row>
    <row r="354" customFormat="false" ht="15" hidden="false" customHeight="false" outlineLevel="0" collapsed="false">
      <c r="A354" s="10" t="n">
        <v>2025</v>
      </c>
      <c r="B354" s="28" t="s">
        <v>63</v>
      </c>
      <c r="C354" s="29" t="n">
        <v>45667</v>
      </c>
      <c r="D354" s="30" t="s">
        <v>129</v>
      </c>
      <c r="E354" s="28" t="s">
        <v>399</v>
      </c>
      <c r="F354" s="28" t="s">
        <v>400</v>
      </c>
      <c r="G354" s="31" t="n">
        <v>87888</v>
      </c>
      <c r="H354" s="31" t="n">
        <v>1</v>
      </c>
      <c r="I354" s="31" t="n">
        <v>87888</v>
      </c>
      <c r="J354" s="29" t="n">
        <v>45694</v>
      </c>
      <c r="K354" s="31" t="n">
        <v>83616</v>
      </c>
      <c r="L354" s="30" t="s">
        <v>32</v>
      </c>
      <c r="M354" s="10" t="n">
        <v>15</v>
      </c>
      <c r="N354" s="12" t="n">
        <v>-4423</v>
      </c>
      <c r="O354" s="13" t="n">
        <v>-0.0503215470747929</v>
      </c>
      <c r="P354" s="15" t="n">
        <v>0.061580788232269</v>
      </c>
      <c r="Q354" s="13" t="n">
        <v>-0.0544762754329952</v>
      </c>
      <c r="R354" s="15" t="n">
        <v>0.0126874279123415</v>
      </c>
      <c r="S354" s="32" t="n">
        <v>109355778000</v>
      </c>
      <c r="T354" s="15" t="n">
        <v>0.00688073394495414</v>
      </c>
      <c r="U354" s="32" t="n">
        <v>108611682300</v>
      </c>
      <c r="V354" s="14" t="n">
        <v>0.978899135962418</v>
      </c>
      <c r="W354" s="13" t="n">
        <v>0.0197444831591174</v>
      </c>
      <c r="X354" s="15" t="n">
        <v>0.00683371298405477</v>
      </c>
      <c r="Y354" s="13" t="n">
        <v>-0.00242674174233704</v>
      </c>
      <c r="Z354" s="13" t="n">
        <v>0.0302466911282926</v>
      </c>
      <c r="AA354" s="30" t="s">
        <v>97</v>
      </c>
      <c r="AB354" s="28" t="s">
        <v>93</v>
      </c>
      <c r="AC354" s="28" t="s">
        <v>99</v>
      </c>
      <c r="AD354" s="28" t="s">
        <v>109</v>
      </c>
      <c r="AE354" s="28" t="s">
        <v>112</v>
      </c>
      <c r="AF354" s="28" t="s">
        <v>116</v>
      </c>
      <c r="AG354" s="30" t="s">
        <v>122</v>
      </c>
    </row>
    <row r="355" customFormat="false" ht="15" hidden="false" customHeight="false" outlineLevel="0" collapsed="false">
      <c r="A355" s="10" t="n">
        <v>2025</v>
      </c>
      <c r="B355" s="28" t="s">
        <v>63</v>
      </c>
      <c r="C355" s="29" t="n">
        <v>45667</v>
      </c>
      <c r="D355" s="30" t="s">
        <v>129</v>
      </c>
      <c r="E355" s="28" t="s">
        <v>607</v>
      </c>
      <c r="F355" s="30" t="s">
        <v>608</v>
      </c>
      <c r="G355" s="31" t="n">
        <v>1838</v>
      </c>
      <c r="H355" s="31" t="n">
        <v>54</v>
      </c>
      <c r="I355" s="31" t="n">
        <v>99243</v>
      </c>
      <c r="J355" s="29" t="n">
        <v>45679</v>
      </c>
      <c r="K355" s="31" t="n">
        <v>2210</v>
      </c>
      <c r="L355" s="30" t="s">
        <v>31</v>
      </c>
      <c r="M355" s="10" t="n">
        <v>8</v>
      </c>
      <c r="N355" s="12" t="n">
        <v>19885</v>
      </c>
      <c r="O355" s="13" t="n">
        <v>0.200367075517076</v>
      </c>
      <c r="P355" s="15" t="n">
        <v>0.237868884927709</v>
      </c>
      <c r="Q355" s="13" t="n">
        <v>-0.000454882807823909</v>
      </c>
      <c r="R355" s="15" t="n">
        <v>0.047347404449515</v>
      </c>
      <c r="S355" s="32" t="n">
        <v>26168581440</v>
      </c>
      <c r="T355" s="15" t="n">
        <v>0.017174515235457</v>
      </c>
      <c r="U355" s="32" t="n">
        <v>5615796140.05</v>
      </c>
      <c r="V355" s="14" t="n">
        <v>4.39441098347462</v>
      </c>
      <c r="W355" s="13" t="n">
        <v>-0.0477178423236515</v>
      </c>
      <c r="X355" s="15" t="n">
        <v>0.0974945533769063</v>
      </c>
      <c r="Y355" s="13" t="n">
        <v>-0.00242674174233704</v>
      </c>
      <c r="Z355" s="13" t="n">
        <v>0.0302466911282926</v>
      </c>
      <c r="AA355" s="30" t="s">
        <v>97</v>
      </c>
      <c r="AB355" s="28" t="s">
        <v>93</v>
      </c>
      <c r="AC355" s="28" t="s">
        <v>100</v>
      </c>
      <c r="AD355" s="28" t="s">
        <v>106</v>
      </c>
      <c r="AE355" s="28" t="s">
        <v>112</v>
      </c>
      <c r="AF355" s="28" t="s">
        <v>118</v>
      </c>
      <c r="AG355" s="30" t="s">
        <v>123</v>
      </c>
    </row>
    <row r="356" customFormat="false" ht="15" hidden="false" customHeight="false" outlineLevel="0" collapsed="false">
      <c r="A356" s="10" t="n">
        <v>2025</v>
      </c>
      <c r="B356" s="28" t="s">
        <v>63</v>
      </c>
      <c r="C356" s="29" t="n">
        <v>45671</v>
      </c>
      <c r="D356" s="30" t="s">
        <v>126</v>
      </c>
      <c r="E356" s="28" t="s">
        <v>661</v>
      </c>
      <c r="F356" s="30" t="s">
        <v>662</v>
      </c>
      <c r="G356" s="31" t="n">
        <v>95095</v>
      </c>
      <c r="H356" s="31" t="n">
        <v>1</v>
      </c>
      <c r="I356" s="31" t="n">
        <v>95095</v>
      </c>
      <c r="J356" s="29" t="n">
        <v>45707</v>
      </c>
      <c r="K356" s="31" t="n">
        <v>114200</v>
      </c>
      <c r="L356" s="30" t="s">
        <v>31</v>
      </c>
      <c r="M356" s="10" t="n">
        <v>22</v>
      </c>
      <c r="N356" s="12" t="n">
        <v>18902</v>
      </c>
      <c r="O356" s="13" t="n">
        <v>0.198772866607077</v>
      </c>
      <c r="P356" s="15" t="n">
        <v>0.207213838792786</v>
      </c>
      <c r="Q356" s="13" t="n">
        <v>-0.0220306009779693</v>
      </c>
      <c r="R356" s="15" t="n">
        <v>0.197982345523329</v>
      </c>
      <c r="S356" s="32" t="n">
        <v>110989735000</v>
      </c>
      <c r="T356" s="15" t="n">
        <v>0.137724550898204</v>
      </c>
      <c r="U356" s="32" t="n">
        <v>11289466045</v>
      </c>
      <c r="V356" s="14" t="n">
        <v>8.14382406245643</v>
      </c>
      <c r="W356" s="13" t="n">
        <v>0.183063511830635</v>
      </c>
      <c r="X356" s="15" t="n">
        <v>0.0305263157894737</v>
      </c>
      <c r="Y356" s="13" t="n">
        <v>0.00314915085396628</v>
      </c>
      <c r="Z356" s="13" t="n">
        <v>0.00212672043657958</v>
      </c>
      <c r="AA356" s="30" t="s">
        <v>97</v>
      </c>
      <c r="AB356" s="28" t="s">
        <v>93</v>
      </c>
      <c r="AC356" s="28" t="s">
        <v>103</v>
      </c>
      <c r="AD356" s="28" t="s">
        <v>109</v>
      </c>
      <c r="AE356" s="28" t="s">
        <v>114</v>
      </c>
      <c r="AF356" s="28" t="s">
        <v>119</v>
      </c>
      <c r="AG356" s="30" t="s">
        <v>122</v>
      </c>
    </row>
    <row r="357" customFormat="false" ht="15" hidden="false" customHeight="false" outlineLevel="0" collapsed="false">
      <c r="A357" s="10" t="n">
        <v>2025</v>
      </c>
      <c r="B357" s="28" t="s">
        <v>63</v>
      </c>
      <c r="C357" s="29" t="n">
        <v>45671</v>
      </c>
      <c r="D357" s="30" t="s">
        <v>126</v>
      </c>
      <c r="E357" s="28" t="s">
        <v>663</v>
      </c>
      <c r="F357" s="30" t="s">
        <v>664</v>
      </c>
      <c r="G357" s="31" t="n">
        <v>12723</v>
      </c>
      <c r="H357" s="31" t="n">
        <v>7</v>
      </c>
      <c r="I357" s="31" t="n">
        <v>89059</v>
      </c>
      <c r="J357" s="29" t="n">
        <v>45677</v>
      </c>
      <c r="K357" s="31" t="n">
        <v>12108</v>
      </c>
      <c r="L357" s="30" t="s">
        <v>32</v>
      </c>
      <c r="M357" s="10" t="n">
        <v>4</v>
      </c>
      <c r="N357" s="12" t="n">
        <v>-4457</v>
      </c>
      <c r="O357" s="13" t="n">
        <v>-0.0500456591795304</v>
      </c>
      <c r="P357" s="15" t="n">
        <v>0.0893905465109242</v>
      </c>
      <c r="Q357" s="13" t="n">
        <v>-0.0544467334396523</v>
      </c>
      <c r="R357" s="15" t="n">
        <v>0.100432900432901</v>
      </c>
      <c r="S357" s="32" t="n">
        <v>106748455670</v>
      </c>
      <c r="T357" s="15" t="n">
        <v>0.0233494363929148</v>
      </c>
      <c r="U357" s="32" t="n">
        <v>12265629202.5</v>
      </c>
      <c r="V357" s="14" t="n">
        <v>7.97262277301239</v>
      </c>
      <c r="W357" s="13" t="n">
        <v>0.0835464620630861</v>
      </c>
      <c r="X357" s="15" t="n">
        <v>0.126671911880409</v>
      </c>
      <c r="Y357" s="13" t="n">
        <v>0.00314915085396628</v>
      </c>
      <c r="Z357" s="13" t="n">
        <v>0.00212672043657958</v>
      </c>
      <c r="AA357" s="30" t="s">
        <v>97</v>
      </c>
      <c r="AB357" s="28" t="s">
        <v>93</v>
      </c>
      <c r="AC357" s="28" t="s">
        <v>102</v>
      </c>
      <c r="AD357" s="28" t="s">
        <v>109</v>
      </c>
      <c r="AE357" s="28" t="s">
        <v>113</v>
      </c>
      <c r="AF357" s="28" t="s">
        <v>119</v>
      </c>
      <c r="AG357" s="30" t="s">
        <v>122</v>
      </c>
    </row>
    <row r="358" customFormat="false" ht="15" hidden="false" customHeight="false" outlineLevel="0" collapsed="false">
      <c r="A358" s="10" t="n">
        <v>2025</v>
      </c>
      <c r="B358" s="28" t="s">
        <v>63</v>
      </c>
      <c r="C358" s="29" t="n">
        <v>45671</v>
      </c>
      <c r="D358" s="30" t="s">
        <v>126</v>
      </c>
      <c r="E358" s="28" t="s">
        <v>485</v>
      </c>
      <c r="F358" s="28" t="s">
        <v>486</v>
      </c>
      <c r="G358" s="31" t="n">
        <v>75876</v>
      </c>
      <c r="H358" s="31" t="n">
        <v>1</v>
      </c>
      <c r="I358" s="31" t="n">
        <v>75876</v>
      </c>
      <c r="J358" s="29" t="n">
        <v>45727</v>
      </c>
      <c r="K358" s="31" t="n">
        <v>71528</v>
      </c>
      <c r="L358" s="30" t="s">
        <v>32</v>
      </c>
      <c r="M358" s="10" t="n">
        <v>35</v>
      </c>
      <c r="N358" s="12" t="n">
        <v>-4477</v>
      </c>
      <c r="O358" s="13" t="n">
        <v>-0.0590017269010672</v>
      </c>
      <c r="P358" s="15" t="n">
        <v>0.151882418373184</v>
      </c>
      <c r="Q358" s="13" t="n">
        <v>-0.0761217674146433</v>
      </c>
      <c r="R358" s="15" t="n">
        <v>0.0706214689265536</v>
      </c>
      <c r="S358" s="32" t="n">
        <v>87830521200</v>
      </c>
      <c r="T358" s="15" t="n">
        <v>0.0201884253028264</v>
      </c>
      <c r="U358" s="32" t="n">
        <v>38362251185</v>
      </c>
      <c r="V358" s="14" t="n">
        <v>2.13960895134946</v>
      </c>
      <c r="W358" s="13" t="n">
        <v>0.0721357850070721</v>
      </c>
      <c r="X358" s="15" t="n">
        <v>0</v>
      </c>
      <c r="Y358" s="13" t="n">
        <v>0.00314915085396628</v>
      </c>
      <c r="Z358" s="13" t="n">
        <v>0.00212672043657958</v>
      </c>
      <c r="AA358" s="30" t="s">
        <v>97</v>
      </c>
      <c r="AB358" s="28" t="s">
        <v>93</v>
      </c>
      <c r="AC358" s="28" t="s">
        <v>101</v>
      </c>
      <c r="AD358" s="28" t="s">
        <v>108</v>
      </c>
      <c r="AE358" s="28" t="s">
        <v>113</v>
      </c>
      <c r="AF358" s="28" t="s">
        <v>117</v>
      </c>
      <c r="AG358" s="30" t="s">
        <v>122</v>
      </c>
    </row>
    <row r="359" customFormat="false" ht="15" hidden="false" customHeight="false" outlineLevel="0" collapsed="false">
      <c r="A359" s="10" t="n">
        <v>2025</v>
      </c>
      <c r="B359" s="28" t="s">
        <v>63</v>
      </c>
      <c r="C359" s="29" t="n">
        <v>45677</v>
      </c>
      <c r="D359" s="30" t="s">
        <v>125</v>
      </c>
      <c r="E359" s="28" t="s">
        <v>611</v>
      </c>
      <c r="F359" s="30" t="s">
        <v>612</v>
      </c>
      <c r="G359" s="31" t="n">
        <v>9930</v>
      </c>
      <c r="H359" s="31" t="n">
        <v>10</v>
      </c>
      <c r="I359" s="31" t="n">
        <v>99299</v>
      </c>
      <c r="J359" s="29" t="n">
        <v>45680</v>
      </c>
      <c r="K359" s="31" t="n">
        <v>9451</v>
      </c>
      <c r="L359" s="30" t="s">
        <v>32</v>
      </c>
      <c r="M359" s="10" t="n">
        <v>3</v>
      </c>
      <c r="N359" s="12" t="n">
        <v>-4965</v>
      </c>
      <c r="O359" s="13" t="n">
        <v>-0.0499966645249909</v>
      </c>
      <c r="P359" s="15" t="n">
        <v>0.0805726531532984</v>
      </c>
      <c r="Q359" s="13" t="n">
        <v>-0.0725000805645966</v>
      </c>
      <c r="R359" s="15" t="n">
        <v>0.0689655172413792</v>
      </c>
      <c r="S359" s="32" t="n">
        <v>56342346240</v>
      </c>
      <c r="T359" s="15" t="n">
        <v>0.0431125131440588</v>
      </c>
      <c r="U359" s="32" t="n">
        <v>10814966466.5</v>
      </c>
      <c r="V359" s="14" t="n">
        <v>4.76849028015575</v>
      </c>
      <c r="W359" s="13" t="n">
        <v>0.0770901194353963</v>
      </c>
      <c r="X359" s="15" t="n">
        <v>0.030241935483871</v>
      </c>
      <c r="Y359" s="13" t="n">
        <v>-0.00138693507162524</v>
      </c>
      <c r="Z359" s="13" t="n">
        <v>0.0122471440736516</v>
      </c>
      <c r="AA359" s="30" t="s">
        <v>97</v>
      </c>
      <c r="AB359" s="28" t="s">
        <v>93</v>
      </c>
      <c r="AC359" s="28" t="s">
        <v>101</v>
      </c>
      <c r="AD359" s="28" t="s">
        <v>108</v>
      </c>
      <c r="AE359" s="28" t="s">
        <v>113</v>
      </c>
      <c r="AF359" s="28" t="s">
        <v>118</v>
      </c>
      <c r="AG359" s="30" t="s">
        <v>122</v>
      </c>
    </row>
    <row r="360" customFormat="false" ht="15" hidden="false" customHeight="false" outlineLevel="0" collapsed="false">
      <c r="A360" s="10" t="n">
        <v>2025</v>
      </c>
      <c r="B360" s="28" t="s">
        <v>63</v>
      </c>
      <c r="C360" s="29" t="n">
        <v>45679</v>
      </c>
      <c r="D360" s="30" t="s">
        <v>127</v>
      </c>
      <c r="E360" s="28" t="s">
        <v>601</v>
      </c>
      <c r="F360" s="30" t="s">
        <v>602</v>
      </c>
      <c r="G360" s="31" t="n">
        <v>40490</v>
      </c>
      <c r="H360" s="31" t="n">
        <v>2</v>
      </c>
      <c r="I360" s="31" t="n">
        <v>80981</v>
      </c>
      <c r="J360" s="29" t="n">
        <v>45681</v>
      </c>
      <c r="K360" s="31" t="n">
        <v>38511</v>
      </c>
      <c r="L360" s="30" t="s">
        <v>32</v>
      </c>
      <c r="M360" s="10" t="n">
        <v>2</v>
      </c>
      <c r="N360" s="12" t="n">
        <v>-4097</v>
      </c>
      <c r="O360" s="13" t="n">
        <v>-0.0505950776047192</v>
      </c>
      <c r="P360" s="15" t="n">
        <v>0.0212284625140002</v>
      </c>
      <c r="Q360" s="13" t="n">
        <v>-0.0615070961177264</v>
      </c>
      <c r="R360" s="15" t="n">
        <v>0.0506493506493506</v>
      </c>
      <c r="S360" s="32" t="n">
        <v>43069299300</v>
      </c>
      <c r="T360" s="15" t="n">
        <v>0.0214646464646464</v>
      </c>
      <c r="U360" s="32" t="n">
        <v>20356255062.5</v>
      </c>
      <c r="V360" s="14" t="n">
        <v>1.92117570639818</v>
      </c>
      <c r="W360" s="13" t="n">
        <v>0.0479274611398963</v>
      </c>
      <c r="X360" s="15" t="n">
        <v>0.0259579728059332</v>
      </c>
      <c r="Y360" s="13" t="n">
        <v>0.0115288539056324</v>
      </c>
      <c r="Z360" s="13" t="n">
        <v>0.0201256803681498</v>
      </c>
      <c r="AA360" s="30" t="s">
        <v>97</v>
      </c>
      <c r="AB360" s="28" t="s">
        <v>93</v>
      </c>
      <c r="AC360" s="28" t="s">
        <v>101</v>
      </c>
      <c r="AD360" s="28" t="s">
        <v>107</v>
      </c>
      <c r="AE360" s="28" t="s">
        <v>113</v>
      </c>
      <c r="AF360" s="28" t="s">
        <v>116</v>
      </c>
      <c r="AG360" s="30" t="s">
        <v>122</v>
      </c>
    </row>
    <row r="361" customFormat="false" ht="15" hidden="false" customHeight="false" outlineLevel="0" collapsed="false">
      <c r="A361" s="10" t="n">
        <v>2025</v>
      </c>
      <c r="B361" s="28" t="s">
        <v>63</v>
      </c>
      <c r="C361" s="29" t="n">
        <v>45680</v>
      </c>
      <c r="D361" s="30" t="s">
        <v>128</v>
      </c>
      <c r="E361" s="28" t="s">
        <v>603</v>
      </c>
      <c r="F361" s="30" t="s">
        <v>604</v>
      </c>
      <c r="G361" s="31" t="n">
        <v>33033</v>
      </c>
      <c r="H361" s="31" t="n">
        <v>3</v>
      </c>
      <c r="I361" s="31" t="n">
        <v>99098</v>
      </c>
      <c r="J361" s="29" t="n">
        <v>45688</v>
      </c>
      <c r="K361" s="31" t="n">
        <v>31419</v>
      </c>
      <c r="L361" s="30" t="s">
        <v>32</v>
      </c>
      <c r="M361" s="10" t="n">
        <v>2</v>
      </c>
      <c r="N361" s="12" t="n">
        <v>-5013</v>
      </c>
      <c r="O361" s="13" t="n">
        <v>-0.0505862695446406</v>
      </c>
      <c r="P361" s="15" t="n">
        <v>0.0685337389882847</v>
      </c>
      <c r="Q361" s="13" t="n">
        <v>-0.104588593224957</v>
      </c>
      <c r="R361" s="15" t="n">
        <v>0.0650529500756429</v>
      </c>
      <c r="S361" s="32" t="n">
        <v>237259193600</v>
      </c>
      <c r="T361" s="15" t="n">
        <v>0.0173410404624277</v>
      </c>
      <c r="U361" s="32" t="n">
        <v>63367059170</v>
      </c>
      <c r="V361" s="14" t="n">
        <v>3.44660469207012</v>
      </c>
      <c r="W361" s="13" t="n">
        <v>0.0507462686567164</v>
      </c>
      <c r="X361" s="15" t="n">
        <v>0.0298295454545456</v>
      </c>
      <c r="Y361" s="13" t="n">
        <v>-0.0123946824966825</v>
      </c>
      <c r="Z361" s="13" t="n">
        <v>-0.00474779326525521</v>
      </c>
      <c r="AA361" s="30" t="s">
        <v>97</v>
      </c>
      <c r="AB361" s="28" t="s">
        <v>94</v>
      </c>
      <c r="AC361" s="28" t="s">
        <v>101</v>
      </c>
      <c r="AD361" s="28" t="s">
        <v>110</v>
      </c>
      <c r="AE361" s="28" t="s">
        <v>112</v>
      </c>
      <c r="AF361" s="28" t="s">
        <v>118</v>
      </c>
      <c r="AG361" s="30" t="s">
        <v>122</v>
      </c>
    </row>
    <row r="362" customFormat="false" ht="15" hidden="false" customHeight="false" outlineLevel="0" collapsed="false">
      <c r="A362" s="10" t="n">
        <v>2025</v>
      </c>
      <c r="B362" s="28" t="s">
        <v>63</v>
      </c>
      <c r="C362" s="29" t="n">
        <v>45688</v>
      </c>
      <c r="D362" s="30" t="s">
        <v>129</v>
      </c>
      <c r="E362" s="28" t="s">
        <v>665</v>
      </c>
      <c r="F362" s="30" t="s">
        <v>666</v>
      </c>
      <c r="G362" s="31" t="n">
        <v>11291</v>
      </c>
      <c r="H362" s="31" t="n">
        <v>8</v>
      </c>
      <c r="I362" s="31" t="n">
        <v>90330</v>
      </c>
      <c r="J362" s="29" t="n">
        <v>45692</v>
      </c>
      <c r="K362" s="31" t="n">
        <v>10749</v>
      </c>
      <c r="L362" s="30" t="s">
        <v>32</v>
      </c>
      <c r="M362" s="10" t="n">
        <v>2</v>
      </c>
      <c r="N362" s="12" t="n">
        <v>-4492</v>
      </c>
      <c r="O362" s="13" t="n">
        <v>-0.0497259777456585</v>
      </c>
      <c r="P362" s="15" t="n">
        <v>0.0716234120489441</v>
      </c>
      <c r="Q362" s="13" t="n">
        <v>-0.0505947952756463</v>
      </c>
      <c r="R362" s="15" t="n">
        <v>0.21551724137931</v>
      </c>
      <c r="S362" s="32" t="n">
        <v>87070884000</v>
      </c>
      <c r="T362" s="15" t="n">
        <v>0.114624505928854</v>
      </c>
      <c r="U362" s="32" t="n">
        <v>5834092397</v>
      </c>
      <c r="V362" s="14" t="n">
        <v>12.376549964846</v>
      </c>
      <c r="W362" s="13" t="n">
        <v>0.1417004048583</v>
      </c>
      <c r="X362" s="15" t="n">
        <v>0.052304964539007</v>
      </c>
      <c r="Y362" s="13" t="n">
        <v>-0.00765925575528237</v>
      </c>
      <c r="Z362" s="13" t="n">
        <v>-0.00106347096287784</v>
      </c>
      <c r="AA362" s="30" t="s">
        <v>97</v>
      </c>
      <c r="AB362" s="28" t="s">
        <v>94</v>
      </c>
      <c r="AC362" s="28" t="s">
        <v>104</v>
      </c>
      <c r="AD362" s="28" t="s">
        <v>108</v>
      </c>
      <c r="AE362" s="28" t="s">
        <v>114</v>
      </c>
      <c r="AF362" s="28" t="s">
        <v>120</v>
      </c>
      <c r="AG362" s="30" t="s">
        <v>122</v>
      </c>
    </row>
    <row r="363" customFormat="false" ht="15" hidden="false" customHeight="false" outlineLevel="0" collapsed="false">
      <c r="A363" s="10" t="n">
        <v>2025</v>
      </c>
      <c r="B363" s="28" t="s">
        <v>63</v>
      </c>
      <c r="C363" s="29" t="n">
        <v>45688</v>
      </c>
      <c r="D363" s="30" t="s">
        <v>129</v>
      </c>
      <c r="E363" s="28" t="s">
        <v>191</v>
      </c>
      <c r="F363" s="30" t="s">
        <v>192</v>
      </c>
      <c r="G363" s="31" t="n">
        <v>27678</v>
      </c>
      <c r="H363" s="31" t="n">
        <v>3</v>
      </c>
      <c r="I363" s="31" t="n">
        <v>83033</v>
      </c>
      <c r="J363" s="29" t="n">
        <v>45693</v>
      </c>
      <c r="K363" s="31" t="n">
        <v>33250</v>
      </c>
      <c r="L363" s="30" t="s">
        <v>31</v>
      </c>
      <c r="M363" s="10" t="n">
        <v>3</v>
      </c>
      <c r="N363" s="12" t="n">
        <v>16540</v>
      </c>
      <c r="O363" s="13" t="n">
        <v>0.199198120234196</v>
      </c>
      <c r="P363" s="15" t="n">
        <v>0.215782409272464</v>
      </c>
      <c r="Q363" s="13" t="n">
        <v>-0.00461202450352538</v>
      </c>
      <c r="R363" s="15" t="n">
        <v>0.181623931623932</v>
      </c>
      <c r="S363" s="32" t="n">
        <v>81093772550</v>
      </c>
      <c r="T363" s="15" t="n">
        <v>0.106</v>
      </c>
      <c r="U363" s="32" t="n">
        <v>5215837835</v>
      </c>
      <c r="V363" s="14" t="n">
        <v>13.0676044163644</v>
      </c>
      <c r="W363" s="13" t="n">
        <v>0.137860082304527</v>
      </c>
      <c r="X363" s="15" t="n">
        <v>0.0162748643761301</v>
      </c>
      <c r="Y363" s="13" t="n">
        <v>-0.00765925575528237</v>
      </c>
      <c r="Z363" s="13" t="n">
        <v>-0.00106347096287784</v>
      </c>
      <c r="AA363" s="30" t="s">
        <v>97</v>
      </c>
      <c r="AB363" s="28" t="s">
        <v>94</v>
      </c>
      <c r="AC363" s="28" t="s">
        <v>103</v>
      </c>
      <c r="AD363" s="28" t="s">
        <v>108</v>
      </c>
      <c r="AE363" s="28" t="s">
        <v>114</v>
      </c>
      <c r="AF363" s="28" t="s">
        <v>120</v>
      </c>
      <c r="AG363" s="30" t="s">
        <v>122</v>
      </c>
    </row>
    <row r="364" customFormat="false" ht="15" hidden="false" customHeight="false" outlineLevel="0" collapsed="false">
      <c r="A364" s="10" t="n">
        <v>2025</v>
      </c>
      <c r="B364" s="28" t="s">
        <v>63</v>
      </c>
      <c r="C364" s="29" t="n">
        <v>45688</v>
      </c>
      <c r="D364" s="30" t="s">
        <v>129</v>
      </c>
      <c r="E364" s="28" t="s">
        <v>667</v>
      </c>
      <c r="F364" s="30" t="s">
        <v>668</v>
      </c>
      <c r="G364" s="31" t="n">
        <v>5566</v>
      </c>
      <c r="H364" s="31" t="n">
        <v>17</v>
      </c>
      <c r="I364" s="31" t="n">
        <v>94615</v>
      </c>
      <c r="J364" s="29" t="n">
        <v>45694</v>
      </c>
      <c r="K364" s="31" t="n">
        <v>6680</v>
      </c>
      <c r="L364" s="30" t="s">
        <v>31</v>
      </c>
      <c r="M364" s="10" t="n">
        <v>4</v>
      </c>
      <c r="N364" s="12" t="n">
        <v>18744</v>
      </c>
      <c r="O364" s="13" t="n">
        <v>0.19810821660354</v>
      </c>
      <c r="P364" s="15" t="n">
        <v>0.248751248751249</v>
      </c>
      <c r="Q364" s="13" t="n">
        <v>-0.0351375243461574</v>
      </c>
      <c r="R364" s="15" t="n">
        <v>0.0490566037735849</v>
      </c>
      <c r="S364" s="32" t="n">
        <v>45073919200</v>
      </c>
      <c r="T364" s="15" t="n">
        <v>0.0277264325323474</v>
      </c>
      <c r="U364" s="32" t="n">
        <v>15315373065.75</v>
      </c>
      <c r="V364" s="14" t="n">
        <v>2.75068002971968</v>
      </c>
      <c r="W364" s="13" t="n">
        <v>0.0392523364485982</v>
      </c>
      <c r="X364" s="15" t="n">
        <v>0.0413669064748201</v>
      </c>
      <c r="Y364" s="13" t="n">
        <v>-0.00765925575528237</v>
      </c>
      <c r="Z364" s="13" t="n">
        <v>-0.00106347096287784</v>
      </c>
      <c r="AA364" s="30" t="s">
        <v>97</v>
      </c>
      <c r="AB364" s="28" t="s">
        <v>94</v>
      </c>
      <c r="AC364" s="28" t="s">
        <v>100</v>
      </c>
      <c r="AD364" s="28" t="s">
        <v>107</v>
      </c>
      <c r="AE364" s="28" t="s">
        <v>113</v>
      </c>
      <c r="AF364" s="28" t="s">
        <v>117</v>
      </c>
      <c r="AG364" s="30" t="s">
        <v>122</v>
      </c>
    </row>
    <row r="365" customFormat="false" ht="15" hidden="false" customHeight="false" outlineLevel="0" collapsed="false">
      <c r="A365" s="10" t="n">
        <v>2025</v>
      </c>
      <c r="B365" s="28" t="s">
        <v>64</v>
      </c>
      <c r="C365" s="29" t="n">
        <v>45693</v>
      </c>
      <c r="D365" s="30" t="s">
        <v>127</v>
      </c>
      <c r="E365" s="28" t="s">
        <v>669</v>
      </c>
      <c r="F365" s="30" t="s">
        <v>670</v>
      </c>
      <c r="G365" s="31" t="n">
        <v>26226</v>
      </c>
      <c r="H365" s="31" t="n">
        <v>3</v>
      </c>
      <c r="I365" s="31" t="n">
        <v>78679</v>
      </c>
      <c r="J365" s="29" t="n">
        <v>45695</v>
      </c>
      <c r="K365" s="31" t="n">
        <v>24925</v>
      </c>
      <c r="L365" s="30" t="s">
        <v>32</v>
      </c>
      <c r="M365" s="10" t="n">
        <v>2</v>
      </c>
      <c r="N365" s="12" t="n">
        <v>-4039</v>
      </c>
      <c r="O365" s="13" t="n">
        <v>-0.0513307403474389</v>
      </c>
      <c r="P365" s="15" t="n">
        <v>-0.00290549145510965</v>
      </c>
      <c r="Q365" s="13" t="n">
        <v>-0.0791651096994608</v>
      </c>
      <c r="R365" s="15" t="n">
        <v>0.0759753593429158</v>
      </c>
      <c r="S365" s="32" t="n">
        <v>74094045400</v>
      </c>
      <c r="T365" s="15" t="n">
        <v>0.0174757281553397</v>
      </c>
      <c r="U365" s="32" t="n">
        <v>22190940307.5</v>
      </c>
      <c r="V365" s="14" t="n">
        <v>3.08225713379384</v>
      </c>
      <c r="W365" s="13" t="n">
        <v>0.0376237623762377</v>
      </c>
      <c r="X365" s="15" t="n">
        <v>0.0400763358778626</v>
      </c>
      <c r="Y365" s="13" t="n">
        <v>0.0111133945013278</v>
      </c>
      <c r="Z365" s="13" t="n">
        <v>-0.00247267927918604</v>
      </c>
      <c r="AA365" s="30" t="s">
        <v>97</v>
      </c>
      <c r="AB365" s="28" t="s">
        <v>94</v>
      </c>
      <c r="AC365" s="28" t="s">
        <v>101</v>
      </c>
      <c r="AD365" s="28" t="s">
        <v>108</v>
      </c>
      <c r="AE365" s="28" t="s">
        <v>112</v>
      </c>
      <c r="AF365" s="28" t="s">
        <v>118</v>
      </c>
      <c r="AG365" s="30" t="s">
        <v>122</v>
      </c>
    </row>
    <row r="366" customFormat="false" ht="15" hidden="false" customHeight="false" outlineLevel="0" collapsed="false">
      <c r="A366" s="10" t="n">
        <v>2025</v>
      </c>
      <c r="B366" s="28" t="s">
        <v>64</v>
      </c>
      <c r="C366" s="29" t="n">
        <v>45693</v>
      </c>
      <c r="D366" s="30" t="s">
        <v>127</v>
      </c>
      <c r="E366" s="28" t="s">
        <v>619</v>
      </c>
      <c r="F366" s="30" t="s">
        <v>620</v>
      </c>
      <c r="G366" s="31" t="n">
        <v>22873</v>
      </c>
      <c r="H366" s="31" t="n">
        <v>4</v>
      </c>
      <c r="I366" s="31" t="n">
        <v>91491</v>
      </c>
      <c r="J366" s="29" t="n">
        <v>45749</v>
      </c>
      <c r="K366" s="31" t="n">
        <v>21728</v>
      </c>
      <c r="L366" s="30" t="s">
        <v>32</v>
      </c>
      <c r="M366" s="10" t="n">
        <v>39</v>
      </c>
      <c r="N366" s="12" t="n">
        <v>-4736</v>
      </c>
      <c r="O366" s="13" t="n">
        <v>-0.0517592927859886</v>
      </c>
      <c r="P366" s="15" t="n">
        <v>0.112672885101769</v>
      </c>
      <c r="Q366" s="13" t="n">
        <v>-0.0534629484301257</v>
      </c>
      <c r="R366" s="15" t="n">
        <v>0.0727699530516432</v>
      </c>
      <c r="S366" s="32" t="n">
        <v>68208758100</v>
      </c>
      <c r="T366" s="15" t="n">
        <v>0.0505747126436782</v>
      </c>
      <c r="U366" s="32" t="n">
        <v>12783228485</v>
      </c>
      <c r="V366" s="14" t="n">
        <v>4.94090575641691</v>
      </c>
      <c r="W366" s="13" t="n">
        <v>0.04337899543379</v>
      </c>
      <c r="X366" s="15" t="n">
        <v>0.013129102844639</v>
      </c>
      <c r="Y366" s="13" t="n">
        <v>0.0111133945013278</v>
      </c>
      <c r="Z366" s="13" t="n">
        <v>-0.00247267927918604</v>
      </c>
      <c r="AA366" s="30" t="s">
        <v>97</v>
      </c>
      <c r="AB366" s="28" t="s">
        <v>94</v>
      </c>
      <c r="AC366" s="28" t="s">
        <v>101</v>
      </c>
      <c r="AD366" s="28" t="s">
        <v>108</v>
      </c>
      <c r="AE366" s="28" t="s">
        <v>101</v>
      </c>
      <c r="AF366" s="28" t="s">
        <v>118</v>
      </c>
      <c r="AG366" s="30" t="s">
        <v>122</v>
      </c>
    </row>
    <row r="367" customFormat="false" ht="15" hidden="false" customHeight="false" outlineLevel="0" collapsed="false">
      <c r="A367" s="10" t="n">
        <v>2025</v>
      </c>
      <c r="B367" s="28" t="s">
        <v>64</v>
      </c>
      <c r="C367" s="29" t="n">
        <v>45694</v>
      </c>
      <c r="D367" s="30" t="s">
        <v>128</v>
      </c>
      <c r="E367" s="28" t="s">
        <v>671</v>
      </c>
      <c r="F367" s="28" t="s">
        <v>672</v>
      </c>
      <c r="G367" s="31" t="n">
        <v>86787</v>
      </c>
      <c r="H367" s="31" t="n">
        <v>1</v>
      </c>
      <c r="I367" s="31" t="n">
        <v>86787</v>
      </c>
      <c r="J367" s="29" t="n">
        <v>45695</v>
      </c>
      <c r="K367" s="31" t="n">
        <v>82617</v>
      </c>
      <c r="L367" s="30" t="s">
        <v>32</v>
      </c>
      <c r="M367" s="10" t="n">
        <v>1</v>
      </c>
      <c r="N367" s="12" t="n">
        <v>-4319</v>
      </c>
      <c r="O367" s="13" t="n">
        <v>-0.0497626543007164</v>
      </c>
      <c r="P367" s="15" t="n">
        <v>-0.00215125128619931</v>
      </c>
      <c r="Q367" s="13" t="n">
        <v>-0.100092525698062</v>
      </c>
      <c r="R367" s="15" t="n">
        <v>0.0638036809815952</v>
      </c>
      <c r="S367" s="32" t="n">
        <v>53499362100</v>
      </c>
      <c r="T367" s="15" t="n">
        <v>0.02</v>
      </c>
      <c r="U367" s="32" t="n">
        <v>12276413305</v>
      </c>
      <c r="V367" s="14" t="n">
        <v>4.18783899708442</v>
      </c>
      <c r="W367" s="13" t="n">
        <v>0.0677339901477831</v>
      </c>
      <c r="X367" s="15" t="n">
        <v>0.0173010380622838</v>
      </c>
      <c r="Y367" s="13" t="n">
        <v>0.010951392237583</v>
      </c>
      <c r="Z367" s="13" t="n">
        <v>-1.97098707033216E-005</v>
      </c>
      <c r="AA367" s="30" t="s">
        <v>97</v>
      </c>
      <c r="AB367" s="28" t="s">
        <v>94</v>
      </c>
      <c r="AC367" s="28" t="s">
        <v>101</v>
      </c>
      <c r="AD367" s="28" t="s">
        <v>108</v>
      </c>
      <c r="AE367" s="28" t="s">
        <v>113</v>
      </c>
      <c r="AF367" s="28" t="s">
        <v>118</v>
      </c>
      <c r="AG367" s="30" t="s">
        <v>122</v>
      </c>
    </row>
    <row r="368" customFormat="false" ht="15" hidden="false" customHeight="false" outlineLevel="0" collapsed="false">
      <c r="A368" s="10" t="n">
        <v>2025</v>
      </c>
      <c r="B368" s="28" t="s">
        <v>64</v>
      </c>
      <c r="C368" s="29" t="n">
        <v>45694</v>
      </c>
      <c r="D368" s="30" t="s">
        <v>128</v>
      </c>
      <c r="E368" s="28" t="s">
        <v>165</v>
      </c>
      <c r="F368" s="28" t="s">
        <v>166</v>
      </c>
      <c r="G368" s="31" t="n">
        <v>9690</v>
      </c>
      <c r="H368" s="31" t="n">
        <v>10</v>
      </c>
      <c r="I368" s="31" t="n">
        <v>96897</v>
      </c>
      <c r="J368" s="29" t="n">
        <v>45698</v>
      </c>
      <c r="K368" s="31" t="n">
        <v>9221</v>
      </c>
      <c r="L368" s="30" t="s">
        <v>32</v>
      </c>
      <c r="M368" s="10" t="n">
        <v>2</v>
      </c>
      <c r="N368" s="12" t="n">
        <v>-4856</v>
      </c>
      <c r="O368" s="13" t="n">
        <v>-0.0501128749865835</v>
      </c>
      <c r="P368" s="15" t="n">
        <v>-0.00925520760231491</v>
      </c>
      <c r="Q368" s="13" t="n">
        <v>-0.0515682664442994</v>
      </c>
      <c r="R368" s="15" t="n">
        <v>0.0590809628008753</v>
      </c>
      <c r="S368" s="32" t="n">
        <v>26203479280</v>
      </c>
      <c r="T368" s="15" t="n">
        <v>0.0276008492569002</v>
      </c>
      <c r="U368" s="32" t="n">
        <v>9730167285</v>
      </c>
      <c r="V368" s="14" t="n">
        <v>2.53218585825931</v>
      </c>
      <c r="W368" s="13" t="n">
        <v>0.0533188248095757</v>
      </c>
      <c r="X368" s="15" t="n">
        <v>0</v>
      </c>
      <c r="Y368" s="13" t="n">
        <v>0.010951392237583</v>
      </c>
      <c r="Z368" s="13" t="n">
        <v>-1.97098707033216E-005</v>
      </c>
      <c r="AA368" s="30" t="s">
        <v>97</v>
      </c>
      <c r="AB368" s="28" t="s">
        <v>94</v>
      </c>
      <c r="AC368" s="28" t="s">
        <v>101</v>
      </c>
      <c r="AD368" s="28" t="s">
        <v>106</v>
      </c>
      <c r="AE368" s="28" t="s">
        <v>113</v>
      </c>
      <c r="AF368" s="28" t="s">
        <v>117</v>
      </c>
      <c r="AG368" s="30" t="s">
        <v>122</v>
      </c>
    </row>
    <row r="369" customFormat="false" ht="15" hidden="false" customHeight="false" outlineLevel="0" collapsed="false">
      <c r="A369" s="10" t="n">
        <v>2025</v>
      </c>
      <c r="B369" s="28" t="s">
        <v>64</v>
      </c>
      <c r="C369" s="29" t="n">
        <v>45694</v>
      </c>
      <c r="D369" s="30" t="s">
        <v>128</v>
      </c>
      <c r="E369" s="28" t="s">
        <v>673</v>
      </c>
      <c r="F369" s="28" t="s">
        <v>674</v>
      </c>
      <c r="G369" s="31" t="n">
        <v>35185</v>
      </c>
      <c r="H369" s="31" t="n">
        <v>2</v>
      </c>
      <c r="I369" s="31" t="n">
        <v>70370</v>
      </c>
      <c r="J369" s="29" t="n">
        <v>45714</v>
      </c>
      <c r="K369" s="31" t="n">
        <v>42250</v>
      </c>
      <c r="L369" s="30" t="s">
        <v>31</v>
      </c>
      <c r="M369" s="10" t="n">
        <v>14</v>
      </c>
      <c r="N369" s="12" t="n">
        <v>13980</v>
      </c>
      <c r="O369" s="13" t="n">
        <v>0.198659369862002</v>
      </c>
      <c r="P369" s="15" t="n">
        <v>0.205053836632784</v>
      </c>
      <c r="Q369" s="13" t="n">
        <v>-0.0066832172095328</v>
      </c>
      <c r="R369" s="15" t="n">
        <v>0.137540453074434</v>
      </c>
      <c r="S369" s="32" t="n">
        <v>22078980400</v>
      </c>
      <c r="T369" s="15" t="n">
        <v>0.0798771121351767</v>
      </c>
      <c r="U369" s="32" t="n">
        <v>4308985990</v>
      </c>
      <c r="V369" s="14" t="n">
        <v>4.58747583515247</v>
      </c>
      <c r="W369" s="13" t="n">
        <v>0.132045088566828</v>
      </c>
      <c r="X369" s="15" t="n">
        <v>0.0184921763869133</v>
      </c>
      <c r="Y369" s="13" t="n">
        <v>0.010951392237583</v>
      </c>
      <c r="Z369" s="13" t="n">
        <v>-1.97098707033216E-005</v>
      </c>
      <c r="AA369" s="30" t="s">
        <v>97</v>
      </c>
      <c r="AB369" s="28" t="s">
        <v>94</v>
      </c>
      <c r="AC369" s="28" t="s">
        <v>102</v>
      </c>
      <c r="AD369" s="28" t="s">
        <v>106</v>
      </c>
      <c r="AE369" s="28" t="s">
        <v>101</v>
      </c>
      <c r="AF369" s="28" t="s">
        <v>118</v>
      </c>
      <c r="AG369" s="30" t="s">
        <v>122</v>
      </c>
    </row>
    <row r="370" customFormat="false" ht="15" hidden="false" customHeight="false" outlineLevel="0" collapsed="false">
      <c r="A370" s="10" t="n">
        <v>2025</v>
      </c>
      <c r="B370" s="28" t="s">
        <v>64</v>
      </c>
      <c r="C370" s="29" t="n">
        <v>45695</v>
      </c>
      <c r="D370" s="30" t="s">
        <v>129</v>
      </c>
      <c r="E370" s="28" t="s">
        <v>529</v>
      </c>
      <c r="F370" s="30" t="s">
        <v>530</v>
      </c>
      <c r="G370" s="31" t="n">
        <v>15425</v>
      </c>
      <c r="H370" s="31" t="n">
        <v>6</v>
      </c>
      <c r="I370" s="31" t="n">
        <v>92552</v>
      </c>
      <c r="J370" s="29" t="n">
        <v>45700</v>
      </c>
      <c r="K370" s="31" t="n">
        <v>14685</v>
      </c>
      <c r="L370" s="30" t="s">
        <v>32</v>
      </c>
      <c r="M370" s="10" t="n">
        <v>3</v>
      </c>
      <c r="N370" s="12" t="n">
        <v>-4600</v>
      </c>
      <c r="O370" s="13" t="n">
        <v>-0.0497007571597773</v>
      </c>
      <c r="P370" s="15" t="n">
        <v>0.0761464363021795</v>
      </c>
      <c r="Q370" s="13" t="n">
        <v>-0.0988894298433558</v>
      </c>
      <c r="R370" s="15" t="n">
        <v>0.205790297339593</v>
      </c>
      <c r="S370" s="32" t="n">
        <v>291427401570</v>
      </c>
      <c r="T370" s="15" t="n">
        <v>0.0525956284153006</v>
      </c>
      <c r="U370" s="32" t="n">
        <v>44933746796</v>
      </c>
      <c r="V370" s="14" t="n">
        <v>5.69710154379783</v>
      </c>
      <c r="W370" s="13" t="n">
        <v>0.1709726443769</v>
      </c>
      <c r="X370" s="15" t="n">
        <v>0.0655418559377028</v>
      </c>
      <c r="Y370" s="13" t="n">
        <v>-0.00584606287572675</v>
      </c>
      <c r="Z370" s="13" t="n">
        <v>0.0018074418937224</v>
      </c>
      <c r="AA370" s="30" t="s">
        <v>97</v>
      </c>
      <c r="AB370" s="28" t="s">
        <v>93</v>
      </c>
      <c r="AC370" s="28" t="s">
        <v>104</v>
      </c>
      <c r="AD370" s="28" t="s">
        <v>110</v>
      </c>
      <c r="AE370" s="28" t="s">
        <v>101</v>
      </c>
      <c r="AF370" s="28" t="s">
        <v>119</v>
      </c>
      <c r="AG370" s="30" t="s">
        <v>122</v>
      </c>
    </row>
    <row r="371" customFormat="false" ht="15" hidden="false" customHeight="false" outlineLevel="0" collapsed="false">
      <c r="A371" s="10" t="n">
        <v>2025</v>
      </c>
      <c r="B371" s="28" t="s">
        <v>64</v>
      </c>
      <c r="C371" s="29" t="n">
        <v>45695</v>
      </c>
      <c r="D371" s="30" t="s">
        <v>129</v>
      </c>
      <c r="E371" s="28" t="s">
        <v>675</v>
      </c>
      <c r="F371" s="28" t="s">
        <v>676</v>
      </c>
      <c r="G371" s="31" t="n">
        <v>38939</v>
      </c>
      <c r="H371" s="31" t="n">
        <v>2</v>
      </c>
      <c r="I371" s="31" t="n">
        <v>77878</v>
      </c>
      <c r="J371" s="29" t="n">
        <v>45708</v>
      </c>
      <c r="K371" s="31" t="n">
        <v>46750</v>
      </c>
      <c r="L371" s="30" t="s">
        <v>31</v>
      </c>
      <c r="M371" s="10" t="n">
        <v>9</v>
      </c>
      <c r="N371" s="12" t="n">
        <v>15456</v>
      </c>
      <c r="O371" s="13" t="n">
        <v>0.198467898810701</v>
      </c>
      <c r="P371" s="15" t="n">
        <v>0.207019201877814</v>
      </c>
      <c r="Q371" s="13" t="n">
        <v>0.000285061981720292</v>
      </c>
      <c r="R371" s="15" t="n">
        <v>0.168168168168168</v>
      </c>
      <c r="S371" s="32" t="n">
        <v>82449755900</v>
      </c>
      <c r="T371" s="15" t="n">
        <v>0.119424460431655</v>
      </c>
      <c r="U371" s="32" t="n">
        <v>5674125237.5</v>
      </c>
      <c r="V371" s="14" t="n">
        <v>12.4594083175548</v>
      </c>
      <c r="W371" s="13" t="n">
        <v>0.157738095238095</v>
      </c>
      <c r="X371" s="15" t="n">
        <v>0.012853470437018</v>
      </c>
      <c r="Y371" s="13" t="n">
        <v>-0.00584606287572675</v>
      </c>
      <c r="Z371" s="13" t="n">
        <v>0.0018074418937224</v>
      </c>
      <c r="AA371" s="30" t="s">
        <v>97</v>
      </c>
      <c r="AB371" s="28" t="s">
        <v>93</v>
      </c>
      <c r="AC371" s="28" t="s">
        <v>103</v>
      </c>
      <c r="AD371" s="28" t="s">
        <v>108</v>
      </c>
      <c r="AE371" s="28" t="s">
        <v>114</v>
      </c>
      <c r="AF371" s="28" t="s">
        <v>120</v>
      </c>
      <c r="AG371" s="30" t="s">
        <v>122</v>
      </c>
    </row>
    <row r="372" customFormat="false" ht="15" hidden="false" customHeight="false" outlineLevel="0" collapsed="false">
      <c r="A372" s="10" t="n">
        <v>2025</v>
      </c>
      <c r="B372" s="28" t="s">
        <v>64</v>
      </c>
      <c r="C372" s="29" t="n">
        <v>45698</v>
      </c>
      <c r="D372" s="30" t="s">
        <v>125</v>
      </c>
      <c r="E372" s="28" t="s">
        <v>677</v>
      </c>
      <c r="F372" s="30" t="s">
        <v>678</v>
      </c>
      <c r="G372" s="31" t="n">
        <v>14114</v>
      </c>
      <c r="H372" s="31" t="n">
        <v>7</v>
      </c>
      <c r="I372" s="31" t="n">
        <v>98799</v>
      </c>
      <c r="J372" s="29" t="n">
        <v>45721</v>
      </c>
      <c r="K372" s="31" t="n">
        <v>13437</v>
      </c>
      <c r="L372" s="30" t="s">
        <v>32</v>
      </c>
      <c r="M372" s="10" t="n">
        <v>16</v>
      </c>
      <c r="N372" s="12" t="n">
        <v>-4913</v>
      </c>
      <c r="O372" s="13" t="n">
        <v>-0.0497259777456585</v>
      </c>
      <c r="P372" s="15" t="n">
        <v>0.199509710148008</v>
      </c>
      <c r="Q372" s="13" t="n">
        <v>-0.0633479995182122</v>
      </c>
      <c r="R372" s="15" t="n">
        <v>0.087962962962963</v>
      </c>
      <c r="S372" s="32" t="n">
        <v>29504080800</v>
      </c>
      <c r="T372" s="15" t="n">
        <v>0.0195227765726682</v>
      </c>
      <c r="U372" s="32" t="n">
        <v>8043344309</v>
      </c>
      <c r="V372" s="14" t="n">
        <v>3.36400665860104</v>
      </c>
      <c r="W372" s="13" t="n">
        <v>-0.0208333333333334</v>
      </c>
      <c r="X372" s="15" t="n">
        <v>0.026241134751773</v>
      </c>
      <c r="Y372" s="13" t="n">
        <v>-0.00025774013450075</v>
      </c>
      <c r="Z372" s="13" t="n">
        <v>0.0274333217873226</v>
      </c>
      <c r="AA372" s="30" t="s">
        <v>97</v>
      </c>
      <c r="AB372" s="28" t="s">
        <v>93</v>
      </c>
      <c r="AC372" s="28" t="s">
        <v>101</v>
      </c>
      <c r="AD372" s="28" t="s">
        <v>106</v>
      </c>
      <c r="AE372" s="28" t="s">
        <v>112</v>
      </c>
      <c r="AF372" s="28" t="s">
        <v>118</v>
      </c>
      <c r="AG372" s="30" t="s">
        <v>123</v>
      </c>
    </row>
    <row r="373" customFormat="false" ht="15" hidden="false" customHeight="false" outlineLevel="0" collapsed="false">
      <c r="A373" s="10" t="n">
        <v>2025</v>
      </c>
      <c r="B373" s="28" t="s">
        <v>64</v>
      </c>
      <c r="C373" s="29" t="n">
        <v>45700</v>
      </c>
      <c r="D373" s="30" t="s">
        <v>127</v>
      </c>
      <c r="E373" s="28" t="s">
        <v>679</v>
      </c>
      <c r="F373" s="30" t="s">
        <v>680</v>
      </c>
      <c r="G373" s="31" t="n">
        <v>5455</v>
      </c>
      <c r="H373" s="31" t="n">
        <v>18</v>
      </c>
      <c r="I373" s="31" t="n">
        <v>98198</v>
      </c>
      <c r="J373" s="29" t="n">
        <v>45702</v>
      </c>
      <c r="K373" s="31" t="n">
        <v>5185</v>
      </c>
      <c r="L373" s="30" t="s">
        <v>32</v>
      </c>
      <c r="M373" s="10" t="n">
        <v>2</v>
      </c>
      <c r="N373" s="12" t="n">
        <v>-5040</v>
      </c>
      <c r="O373" s="13" t="n">
        <v>-0.0513272514641321</v>
      </c>
      <c r="P373" s="15" t="n">
        <v>0.0356615861203018</v>
      </c>
      <c r="Q373" s="13" t="n">
        <v>-0.209047832901044</v>
      </c>
      <c r="R373" s="15" t="n">
        <v>0.211111111111111</v>
      </c>
      <c r="S373" s="32" t="n">
        <v>49831437350</v>
      </c>
      <c r="T373" s="15" t="n">
        <v>0.174568965517241</v>
      </c>
      <c r="U373" s="32" t="n">
        <v>4664186831.75</v>
      </c>
      <c r="V373" s="14" t="n">
        <v>8.34884511719396</v>
      </c>
      <c r="W373" s="13" t="n">
        <v>0.169527896995708</v>
      </c>
      <c r="X373" s="15" t="n">
        <v>0.0403669724770641</v>
      </c>
      <c r="Y373" s="13" t="n">
        <v>0.00367854118666422</v>
      </c>
      <c r="Z373" s="13" t="n">
        <v>0.0155901915696597</v>
      </c>
      <c r="AA373" s="30" t="s">
        <v>97</v>
      </c>
      <c r="AB373" s="28" t="s">
        <v>93</v>
      </c>
      <c r="AC373" s="28" t="s">
        <v>104</v>
      </c>
      <c r="AD373" s="28" t="s">
        <v>107</v>
      </c>
      <c r="AE373" s="28" t="s">
        <v>114</v>
      </c>
      <c r="AF373" s="28" t="s">
        <v>119</v>
      </c>
      <c r="AG373" s="30" t="s">
        <v>122</v>
      </c>
    </row>
    <row r="374" customFormat="false" ht="15" hidden="false" customHeight="false" outlineLevel="0" collapsed="false">
      <c r="A374" s="10" t="n">
        <v>2025</v>
      </c>
      <c r="B374" s="28" t="s">
        <v>64</v>
      </c>
      <c r="C374" s="29" t="n">
        <v>45701</v>
      </c>
      <c r="D374" s="30" t="s">
        <v>128</v>
      </c>
      <c r="E374" s="28" t="s">
        <v>397</v>
      </c>
      <c r="F374" s="30" t="s">
        <v>398</v>
      </c>
      <c r="G374" s="31" t="n">
        <v>55055</v>
      </c>
      <c r="H374" s="31" t="n">
        <v>1</v>
      </c>
      <c r="I374" s="31" t="n">
        <v>55055</v>
      </c>
      <c r="J374" s="29" t="n">
        <v>45708</v>
      </c>
      <c r="K374" s="31" t="n">
        <v>66100</v>
      </c>
      <c r="L374" s="30" t="s">
        <v>31</v>
      </c>
      <c r="M374" s="10" t="n">
        <v>5</v>
      </c>
      <c r="N374" s="12" t="n">
        <v>10928</v>
      </c>
      <c r="O374" s="13" t="n">
        <v>0.198486545272909</v>
      </c>
      <c r="P374" s="15" t="n">
        <v>0.220597584233948</v>
      </c>
      <c r="Q374" s="13" t="n">
        <v>-0.0246117518844791</v>
      </c>
      <c r="R374" s="15" t="n">
        <v>0.0185185185185186</v>
      </c>
      <c r="S374" s="32" t="n">
        <v>104186390000</v>
      </c>
      <c r="T374" s="15" t="n">
        <v>0.014760147601476</v>
      </c>
      <c r="U374" s="32" t="n">
        <v>44083386935</v>
      </c>
      <c r="V374" s="14" t="n">
        <v>2.25784220475669</v>
      </c>
      <c r="W374" s="13" t="n">
        <v>0.0242085661080074</v>
      </c>
      <c r="X374" s="15" t="n">
        <v>0.00727272727272732</v>
      </c>
      <c r="Y374" s="13" t="n">
        <v>0.0136478325531022</v>
      </c>
      <c r="Z374" s="13" t="n">
        <v>0.0182990046319109</v>
      </c>
      <c r="AA374" s="30" t="s">
        <v>97</v>
      </c>
      <c r="AB374" s="28" t="s">
        <v>93</v>
      </c>
      <c r="AC374" s="28" t="s">
        <v>99</v>
      </c>
      <c r="AD374" s="28" t="s">
        <v>109</v>
      </c>
      <c r="AE374" s="28" t="s">
        <v>112</v>
      </c>
      <c r="AF374" s="28" t="s">
        <v>117</v>
      </c>
      <c r="AG374" s="30" t="s">
        <v>122</v>
      </c>
    </row>
    <row r="375" customFormat="false" ht="15" hidden="false" customHeight="false" outlineLevel="0" collapsed="false">
      <c r="A375" s="10" t="n">
        <v>2025</v>
      </c>
      <c r="B375" s="28" t="s">
        <v>64</v>
      </c>
      <c r="C375" s="29" t="n">
        <v>45702</v>
      </c>
      <c r="D375" s="30" t="s">
        <v>129</v>
      </c>
      <c r="E375" s="28" t="s">
        <v>327</v>
      </c>
      <c r="F375" s="30" t="s">
        <v>328</v>
      </c>
      <c r="G375" s="31" t="n">
        <v>56056</v>
      </c>
      <c r="H375" s="31" t="n">
        <v>1</v>
      </c>
      <c r="I375" s="31" t="n">
        <v>56056</v>
      </c>
      <c r="J375" s="29" t="n">
        <v>45723</v>
      </c>
      <c r="K375" s="31" t="n">
        <v>53347</v>
      </c>
      <c r="L375" s="30" t="s">
        <v>32</v>
      </c>
      <c r="M375" s="10" t="n">
        <v>14</v>
      </c>
      <c r="N375" s="12" t="n">
        <v>-2806</v>
      </c>
      <c r="O375" s="13" t="n">
        <v>-0.0500540582631654</v>
      </c>
      <c r="P375" s="15" t="n">
        <v>0.0543028400171259</v>
      </c>
      <c r="Q375" s="13" t="n">
        <v>-0.047381190238333</v>
      </c>
      <c r="R375" s="15" t="n">
        <v>0.00358422939068093</v>
      </c>
      <c r="S375" s="32" t="n">
        <v>1342867624000</v>
      </c>
      <c r="T375" s="15" t="n">
        <v>0.00358422939068093</v>
      </c>
      <c r="U375" s="32" t="n">
        <v>1106898861480</v>
      </c>
      <c r="V375" s="14" t="n">
        <v>1.16615391003217</v>
      </c>
      <c r="W375" s="13" t="n">
        <v>0</v>
      </c>
      <c r="X375" s="15" t="n">
        <v>0.0232142857142856</v>
      </c>
      <c r="Y375" s="13" t="n">
        <v>0.00305051545194468</v>
      </c>
      <c r="Z375" s="13" t="n">
        <v>0.0274116546123588</v>
      </c>
      <c r="AA375" s="30" t="s">
        <v>97</v>
      </c>
      <c r="AB375" s="28" t="s">
        <v>93</v>
      </c>
      <c r="AC375" s="28" t="s">
        <v>99</v>
      </c>
      <c r="AD375" s="28" t="s">
        <v>110</v>
      </c>
      <c r="AE375" s="28" t="s">
        <v>112</v>
      </c>
      <c r="AF375" s="28" t="s">
        <v>116</v>
      </c>
      <c r="AG375" s="30" t="s">
        <v>123</v>
      </c>
    </row>
    <row r="376" customFormat="false" ht="15" hidden="false" customHeight="false" outlineLevel="0" collapsed="false">
      <c r="A376" s="10" t="n">
        <v>2025</v>
      </c>
      <c r="B376" s="28" t="s">
        <v>64</v>
      </c>
      <c r="C376" s="29" t="n">
        <v>45707</v>
      </c>
      <c r="D376" s="30" t="s">
        <v>127</v>
      </c>
      <c r="E376" s="28" t="s">
        <v>681</v>
      </c>
      <c r="F376" s="30" t="s">
        <v>682</v>
      </c>
      <c r="G376" s="31" t="n">
        <v>43844</v>
      </c>
      <c r="H376" s="31" t="n">
        <v>2</v>
      </c>
      <c r="I376" s="31" t="n">
        <v>87688</v>
      </c>
      <c r="J376" s="29" t="n">
        <v>45714</v>
      </c>
      <c r="K376" s="31" t="n">
        <v>52700</v>
      </c>
      <c r="L376" s="30" t="s">
        <v>31</v>
      </c>
      <c r="M376" s="10" t="n">
        <v>5</v>
      </c>
      <c r="N376" s="12" t="n">
        <v>17525</v>
      </c>
      <c r="O376" s="13" t="n">
        <v>0.199861061997364</v>
      </c>
      <c r="P376" s="15" t="n">
        <v>0.217960122069711</v>
      </c>
      <c r="Q376" s="13" t="n">
        <v>-0.00898188569421432</v>
      </c>
      <c r="R376" s="15" t="n">
        <v>0.0566948130277443</v>
      </c>
      <c r="S376" s="32" t="n">
        <v>148744143000</v>
      </c>
      <c r="T376" s="15" t="n">
        <v>0.0115473441108545</v>
      </c>
      <c r="U376" s="32" t="n">
        <v>19400765062.5</v>
      </c>
      <c r="V376" s="14" t="n">
        <v>7.26817812337209</v>
      </c>
      <c r="W376" s="13" t="n">
        <v>0.0491017964071856</v>
      </c>
      <c r="X376" s="15" t="n">
        <v>0.0890410958904109</v>
      </c>
      <c r="Y376" s="13" t="n">
        <v>0.0170206448125292</v>
      </c>
      <c r="Z376" s="13" t="n">
        <v>0.0483167803986047</v>
      </c>
      <c r="AA376" s="30" t="s">
        <v>97</v>
      </c>
      <c r="AB376" s="28" t="s">
        <v>93</v>
      </c>
      <c r="AC376" s="28" t="s">
        <v>101</v>
      </c>
      <c r="AD376" s="28" t="s">
        <v>109</v>
      </c>
      <c r="AE376" s="28" t="s">
        <v>112</v>
      </c>
      <c r="AF376" s="28" t="s">
        <v>119</v>
      </c>
      <c r="AG376" s="30" t="s">
        <v>122</v>
      </c>
    </row>
    <row r="377" customFormat="false" ht="15" hidden="false" customHeight="false" outlineLevel="0" collapsed="false">
      <c r="A377" s="10" t="n">
        <v>2025</v>
      </c>
      <c r="B377" s="28" t="s">
        <v>64</v>
      </c>
      <c r="C377" s="29" t="n">
        <v>45707</v>
      </c>
      <c r="D377" s="30" t="s">
        <v>127</v>
      </c>
      <c r="E377" s="28" t="s">
        <v>489</v>
      </c>
      <c r="F377" s="30" t="s">
        <v>490</v>
      </c>
      <c r="G377" s="31" t="n">
        <v>26627</v>
      </c>
      <c r="H377" s="31" t="n">
        <v>3</v>
      </c>
      <c r="I377" s="31" t="n">
        <v>79880</v>
      </c>
      <c r="J377" s="29" t="n">
        <v>45708</v>
      </c>
      <c r="K377" s="31" t="n">
        <v>25325</v>
      </c>
      <c r="L377" s="30" t="s">
        <v>32</v>
      </c>
      <c r="M377" s="10" t="n">
        <v>1</v>
      </c>
      <c r="N377" s="12" t="n">
        <v>-4043</v>
      </c>
      <c r="O377" s="13" t="n">
        <v>-0.0506159127526606</v>
      </c>
      <c r="P377" s="15" t="n">
        <v>-0.0122659295591626</v>
      </c>
      <c r="Q377" s="13" t="n">
        <v>-0.10991264374723</v>
      </c>
      <c r="R377" s="15" t="n">
        <v>0.0250481695568401</v>
      </c>
      <c r="S377" s="32" t="n">
        <v>133383439000</v>
      </c>
      <c r="T377" s="15" t="n">
        <v>0.0250481695568401</v>
      </c>
      <c r="U377" s="32" t="n">
        <v>99509764580</v>
      </c>
      <c r="V377" s="14" t="n">
        <v>1.21819644398677</v>
      </c>
      <c r="W377" s="13" t="n">
        <v>0.0172084130019121</v>
      </c>
      <c r="X377" s="15" t="n">
        <v>0.0319548872180451</v>
      </c>
      <c r="Y377" s="13" t="n">
        <v>0.0170206448125292</v>
      </c>
      <c r="Z377" s="13" t="n">
        <v>0.0483167803986047</v>
      </c>
      <c r="AA377" s="30" t="s">
        <v>97</v>
      </c>
      <c r="AB377" s="28" t="s">
        <v>93</v>
      </c>
      <c r="AC377" s="28" t="s">
        <v>99</v>
      </c>
      <c r="AD377" s="28" t="s">
        <v>109</v>
      </c>
      <c r="AE377" s="28" t="s">
        <v>113</v>
      </c>
      <c r="AF377" s="28" t="s">
        <v>116</v>
      </c>
      <c r="AG377" s="30" t="s">
        <v>122</v>
      </c>
    </row>
    <row r="378" customFormat="false" ht="15" hidden="false" customHeight="false" outlineLevel="0" collapsed="false">
      <c r="A378" s="10" t="n">
        <v>2025</v>
      </c>
      <c r="B378" s="28" t="s">
        <v>64</v>
      </c>
      <c r="C378" s="29" t="n">
        <v>45708</v>
      </c>
      <c r="D378" s="30" t="s">
        <v>128</v>
      </c>
      <c r="E378" s="28" t="s">
        <v>531</v>
      </c>
      <c r="F378" s="30" t="s">
        <v>532</v>
      </c>
      <c r="G378" s="31" t="n">
        <v>8398</v>
      </c>
      <c r="H378" s="31" t="n">
        <v>11</v>
      </c>
      <c r="I378" s="31" t="n">
        <v>92382</v>
      </c>
      <c r="J378" s="29" t="n">
        <v>45709</v>
      </c>
      <c r="K378" s="31" t="n">
        <v>7742</v>
      </c>
      <c r="L378" s="30" t="s">
        <v>32</v>
      </c>
      <c r="M378" s="10" t="n">
        <v>1</v>
      </c>
      <c r="N378" s="12" t="n">
        <v>-7372</v>
      </c>
      <c r="O378" s="13" t="n">
        <v>-0.0797979697299126</v>
      </c>
      <c r="P378" s="15" t="n">
        <v>-0.0688691523018101</v>
      </c>
      <c r="Q378" s="13" t="n">
        <v>-0.109353102201731</v>
      </c>
      <c r="R378" s="15" t="n">
        <v>0.0487500000000001</v>
      </c>
      <c r="S378" s="32" t="n">
        <v>26080205930</v>
      </c>
      <c r="T378" s="15" t="n">
        <v>0.0169696969696971</v>
      </c>
      <c r="U378" s="32" t="n">
        <v>4452581508.5</v>
      </c>
      <c r="V378" s="14" t="n">
        <v>5.50593628674278</v>
      </c>
      <c r="W378" s="13" t="n">
        <v>0.0409429280397022</v>
      </c>
      <c r="X378" s="15" t="n">
        <v>0.0452920143027413</v>
      </c>
      <c r="Y378" s="13" t="n">
        <v>-0.00653560519853869</v>
      </c>
      <c r="Z378" s="13" t="n">
        <v>0.0274430254299949</v>
      </c>
      <c r="AA378" s="30" t="s">
        <v>97</v>
      </c>
      <c r="AB378" s="28" t="s">
        <v>93</v>
      </c>
      <c r="AC378" s="28" t="s">
        <v>100</v>
      </c>
      <c r="AD378" s="28" t="s">
        <v>106</v>
      </c>
      <c r="AE378" s="28" t="s">
        <v>112</v>
      </c>
      <c r="AF378" s="28" t="s">
        <v>119</v>
      </c>
      <c r="AG378" s="30" t="s">
        <v>122</v>
      </c>
    </row>
    <row r="379" customFormat="false" ht="15" hidden="false" customHeight="false" outlineLevel="0" collapsed="false">
      <c r="A379" s="10" t="n">
        <v>2025</v>
      </c>
      <c r="B379" s="28" t="s">
        <v>64</v>
      </c>
      <c r="C379" s="29" t="n">
        <v>45709</v>
      </c>
      <c r="D379" s="30" t="s">
        <v>129</v>
      </c>
      <c r="E379" s="28" t="s">
        <v>549</v>
      </c>
      <c r="F379" s="30" t="s">
        <v>550</v>
      </c>
      <c r="G379" s="31" t="n">
        <v>67267</v>
      </c>
      <c r="H379" s="31" t="n">
        <v>1</v>
      </c>
      <c r="I379" s="31" t="n">
        <v>67267</v>
      </c>
      <c r="J379" s="29" t="n">
        <v>45716</v>
      </c>
      <c r="K379" s="31" t="n">
        <v>64036</v>
      </c>
      <c r="L379" s="30" t="s">
        <v>32</v>
      </c>
      <c r="M379" s="10" t="n">
        <v>5</v>
      </c>
      <c r="N379" s="12" t="n">
        <v>-3347</v>
      </c>
      <c r="O379" s="13" t="n">
        <v>-0.049757523949265</v>
      </c>
      <c r="P379" s="15" t="n">
        <v>0.0198135198135199</v>
      </c>
      <c r="Q379" s="13" t="n">
        <v>-0.0916821273964131</v>
      </c>
      <c r="R379" s="15" t="n">
        <v>0.061611374407583</v>
      </c>
      <c r="S379" s="32" t="n">
        <v>178624723200</v>
      </c>
      <c r="T379" s="15" t="n">
        <v>0.0386398763523956</v>
      </c>
      <c r="U379" s="32" t="n">
        <v>50497716895</v>
      </c>
      <c r="V379" s="14" t="n">
        <v>3.22920062552637</v>
      </c>
      <c r="W379" s="13" t="n">
        <v>0.0451010886469674</v>
      </c>
      <c r="X379" s="15" t="n">
        <v>0.0238095238095237</v>
      </c>
      <c r="Y379" s="13" t="n">
        <v>0.000195926241305822</v>
      </c>
      <c r="Z379" s="13" t="n">
        <v>0.0245190173867735</v>
      </c>
      <c r="AA379" s="30" t="s">
        <v>97</v>
      </c>
      <c r="AB379" s="28" t="s">
        <v>93</v>
      </c>
      <c r="AC379" s="28" t="s">
        <v>101</v>
      </c>
      <c r="AD379" s="28" t="s">
        <v>109</v>
      </c>
      <c r="AE379" s="28" t="s">
        <v>113</v>
      </c>
      <c r="AF379" s="28" t="s">
        <v>118</v>
      </c>
      <c r="AG379" s="30" t="s">
        <v>122</v>
      </c>
    </row>
    <row r="380" customFormat="false" ht="15" hidden="false" customHeight="false" outlineLevel="0" collapsed="false">
      <c r="A380" s="10" t="n">
        <v>2025</v>
      </c>
      <c r="B380" s="28" t="s">
        <v>64</v>
      </c>
      <c r="C380" s="29" t="n">
        <v>45709</v>
      </c>
      <c r="D380" s="30" t="s">
        <v>129</v>
      </c>
      <c r="E380" s="28" t="s">
        <v>683</v>
      </c>
      <c r="F380" s="30" t="s">
        <v>684</v>
      </c>
      <c r="G380" s="31" t="n">
        <v>20721</v>
      </c>
      <c r="H380" s="31" t="n">
        <v>4</v>
      </c>
      <c r="I380" s="31" t="n">
        <v>82883</v>
      </c>
      <c r="J380" s="29" t="n">
        <v>45713</v>
      </c>
      <c r="K380" s="31" t="n">
        <v>19650</v>
      </c>
      <c r="L380" s="30" t="s">
        <v>32</v>
      </c>
      <c r="M380" s="10" t="n">
        <v>2</v>
      </c>
      <c r="N380" s="12" t="n">
        <v>-4424</v>
      </c>
      <c r="O380" s="13" t="n">
        <v>-0.0533718044998479</v>
      </c>
      <c r="P380" s="15" t="n">
        <v>0.0158923202401464</v>
      </c>
      <c r="Q380" s="13" t="n">
        <v>-0.0767686419860332</v>
      </c>
      <c r="R380" s="15" t="n">
        <v>0.143646408839779</v>
      </c>
      <c r="S380" s="32" t="n">
        <v>159948196200</v>
      </c>
      <c r="T380" s="15" t="n">
        <v>0.0803757828810021</v>
      </c>
      <c r="U380" s="32" t="n">
        <v>6394344556.5</v>
      </c>
      <c r="V380" s="14" t="n">
        <v>21.9231079142569</v>
      </c>
      <c r="W380" s="13" t="n">
        <v>0.126224156692057</v>
      </c>
      <c r="X380" s="15" t="n">
        <v>0.101449275362319</v>
      </c>
      <c r="Y380" s="13" t="n">
        <v>0.000195926241305822</v>
      </c>
      <c r="Z380" s="13" t="n">
        <v>0.0245190173867735</v>
      </c>
      <c r="AA380" s="30" t="s">
        <v>97</v>
      </c>
      <c r="AB380" s="28" t="s">
        <v>93</v>
      </c>
      <c r="AC380" s="28" t="s">
        <v>102</v>
      </c>
      <c r="AD380" s="28" t="s">
        <v>109</v>
      </c>
      <c r="AE380" s="28" t="s">
        <v>101</v>
      </c>
      <c r="AF380" s="28" t="s">
        <v>120</v>
      </c>
      <c r="AG380" s="30" t="s">
        <v>122</v>
      </c>
    </row>
    <row r="381" customFormat="false" ht="15" hidden="false" customHeight="false" outlineLevel="0" collapsed="false">
      <c r="A381" s="10" t="n">
        <v>2025</v>
      </c>
      <c r="B381" s="28" t="s">
        <v>64</v>
      </c>
      <c r="C381" s="29" t="n">
        <v>45709</v>
      </c>
      <c r="D381" s="30" t="s">
        <v>129</v>
      </c>
      <c r="E381" s="28" t="s">
        <v>593</v>
      </c>
      <c r="F381" s="30" t="s">
        <v>594</v>
      </c>
      <c r="G381" s="31" t="n">
        <v>18889</v>
      </c>
      <c r="H381" s="31" t="n">
        <v>5</v>
      </c>
      <c r="I381" s="31" t="n">
        <v>94444</v>
      </c>
      <c r="J381" s="29" t="n">
        <v>45754</v>
      </c>
      <c r="K381" s="31" t="n">
        <v>17982</v>
      </c>
      <c r="L381" s="30" t="s">
        <v>32</v>
      </c>
      <c r="M381" s="10" t="n">
        <v>30</v>
      </c>
      <c r="N381" s="12" t="n">
        <v>-4697</v>
      </c>
      <c r="O381" s="13" t="n">
        <v>-0.0497315948757124</v>
      </c>
      <c r="P381" s="15" t="n">
        <v>0.175295292942352</v>
      </c>
      <c r="Q381" s="13" t="n">
        <v>-0.0878226172343819</v>
      </c>
      <c r="R381" s="15" t="n">
        <v>0.0813753581661891</v>
      </c>
      <c r="S381" s="32" t="n">
        <v>126370427520</v>
      </c>
      <c r="T381" s="15" t="n">
        <v>0.0518394648829432</v>
      </c>
      <c r="U381" s="32" t="n">
        <v>4430896352</v>
      </c>
      <c r="V381" s="14" t="n">
        <v>26.1241303605377</v>
      </c>
      <c r="W381" s="13" t="n">
        <v>0.0571428571428572</v>
      </c>
      <c r="X381" s="15" t="n">
        <v>0.0678325384207736</v>
      </c>
      <c r="Y381" s="13" t="n">
        <v>0.000195926241305822</v>
      </c>
      <c r="Z381" s="13" t="n">
        <v>0.0245190173867735</v>
      </c>
      <c r="AA381" s="30" t="s">
        <v>97</v>
      </c>
      <c r="AB381" s="28" t="s">
        <v>93</v>
      </c>
      <c r="AC381" s="28" t="s">
        <v>101</v>
      </c>
      <c r="AD381" s="28" t="s">
        <v>109</v>
      </c>
      <c r="AE381" s="28" t="s">
        <v>101</v>
      </c>
      <c r="AF381" s="28" t="s">
        <v>120</v>
      </c>
      <c r="AG381" s="30" t="s">
        <v>122</v>
      </c>
    </row>
    <row r="382" customFormat="false" ht="15" hidden="false" customHeight="false" outlineLevel="0" collapsed="false">
      <c r="A382" s="10" t="n">
        <v>2025</v>
      </c>
      <c r="B382" s="28" t="s">
        <v>64</v>
      </c>
      <c r="C382" s="29" t="n">
        <v>45713</v>
      </c>
      <c r="D382" s="30" t="s">
        <v>126</v>
      </c>
      <c r="E382" s="28" t="s">
        <v>229</v>
      </c>
      <c r="F382" s="30" t="s">
        <v>230</v>
      </c>
      <c r="G382" s="31" t="n">
        <v>37437</v>
      </c>
      <c r="H382" s="31" t="n">
        <v>2</v>
      </c>
      <c r="I382" s="31" t="n">
        <v>74875</v>
      </c>
      <c r="J382" s="29" t="n">
        <v>45714</v>
      </c>
      <c r="K382" s="31" t="n">
        <v>35614</v>
      </c>
      <c r="L382" s="30" t="s">
        <v>32</v>
      </c>
      <c r="M382" s="10" t="n">
        <v>1</v>
      </c>
      <c r="N382" s="12" t="n">
        <v>-3775</v>
      </c>
      <c r="O382" s="13" t="n">
        <v>-0.0504156081218246</v>
      </c>
      <c r="P382" s="15" t="n">
        <v>-0.0130190664950022</v>
      </c>
      <c r="Q382" s="13" t="n">
        <v>-0.0864750223038991</v>
      </c>
      <c r="R382" s="15" t="n">
        <v>0.00808625336927227</v>
      </c>
      <c r="S382" s="32" t="n">
        <v>50593897200</v>
      </c>
      <c r="T382" s="15" t="n">
        <v>0.00672947510094213</v>
      </c>
      <c r="U382" s="32" t="n">
        <v>41993042820</v>
      </c>
      <c r="V382" s="14" t="n">
        <v>1.13520781614369</v>
      </c>
      <c r="W382" s="13" t="n">
        <v>0.0121786197564275</v>
      </c>
      <c r="X382" s="15" t="n">
        <v>0.0294117647058823</v>
      </c>
      <c r="Y382" s="13" t="n">
        <v>-0.0056629379987676</v>
      </c>
      <c r="Z382" s="13" t="n">
        <v>0.00132480080401698</v>
      </c>
      <c r="AA382" s="30" t="s">
        <v>97</v>
      </c>
      <c r="AB382" s="28" t="s">
        <v>93</v>
      </c>
      <c r="AC382" s="28" t="s">
        <v>99</v>
      </c>
      <c r="AD382" s="28" t="s">
        <v>108</v>
      </c>
      <c r="AE382" s="28" t="s">
        <v>112</v>
      </c>
      <c r="AF382" s="28" t="s">
        <v>116</v>
      </c>
      <c r="AG382" s="30" t="s">
        <v>122</v>
      </c>
    </row>
    <row r="383" customFormat="false" ht="15" hidden="false" customHeight="false" outlineLevel="0" collapsed="false">
      <c r="A383" s="10" t="n">
        <v>2025</v>
      </c>
      <c r="B383" s="28" t="s">
        <v>64</v>
      </c>
      <c r="C383" s="29" t="n">
        <v>45714</v>
      </c>
      <c r="D383" s="30" t="s">
        <v>127</v>
      </c>
      <c r="E383" s="28" t="s">
        <v>685</v>
      </c>
      <c r="F383" s="30" t="s">
        <v>686</v>
      </c>
      <c r="G383" s="31" t="n">
        <v>56356</v>
      </c>
      <c r="H383" s="31" t="n">
        <v>1</v>
      </c>
      <c r="I383" s="31" t="n">
        <v>56356</v>
      </c>
      <c r="J383" s="29" t="n">
        <v>45720</v>
      </c>
      <c r="K383" s="31" t="n">
        <v>53646</v>
      </c>
      <c r="L383" s="30" t="s">
        <v>32</v>
      </c>
      <c r="M383" s="10" t="n">
        <v>3</v>
      </c>
      <c r="N383" s="12" t="n">
        <v>-2807</v>
      </c>
      <c r="O383" s="13" t="n">
        <v>-0.0498075608228361</v>
      </c>
      <c r="P383" s="15" t="n">
        <v>0.00787312154985331</v>
      </c>
      <c r="Q383" s="13" t="n">
        <v>-0.0489084627628144</v>
      </c>
      <c r="R383" s="15" t="n">
        <v>0.0889748549323017</v>
      </c>
      <c r="S383" s="32" t="n">
        <v>74385699400</v>
      </c>
      <c r="T383" s="15" t="n">
        <v>0.0523364485981308</v>
      </c>
      <c r="U383" s="32" t="n">
        <v>8247060895</v>
      </c>
      <c r="V383" s="14" t="n">
        <v>8.39869115896634</v>
      </c>
      <c r="W383" s="13" t="n">
        <v>0.0764818355640535</v>
      </c>
      <c r="X383" s="15" t="n">
        <v>0.0177619893428065</v>
      </c>
      <c r="Y383" s="13" t="n">
        <v>0.0041060111242488</v>
      </c>
      <c r="Z383" s="13" t="n">
        <v>-0.0113905192549559</v>
      </c>
      <c r="AA383" s="30" t="s">
        <v>97</v>
      </c>
      <c r="AB383" s="28" t="s">
        <v>94</v>
      </c>
      <c r="AC383" s="28" t="s">
        <v>101</v>
      </c>
      <c r="AD383" s="28" t="s">
        <v>108</v>
      </c>
      <c r="AE383" s="28" t="s">
        <v>101</v>
      </c>
      <c r="AF383" s="28" t="s">
        <v>119</v>
      </c>
      <c r="AG383" s="30" t="s">
        <v>122</v>
      </c>
    </row>
    <row r="384" customFormat="false" ht="15" hidden="false" customHeight="false" outlineLevel="0" collapsed="false">
      <c r="A384" s="10" t="n">
        <v>2025</v>
      </c>
      <c r="B384" s="28" t="s">
        <v>64</v>
      </c>
      <c r="C384" s="29" t="n">
        <v>45715</v>
      </c>
      <c r="D384" s="30" t="s">
        <v>128</v>
      </c>
      <c r="E384" s="28" t="s">
        <v>687</v>
      </c>
      <c r="F384" s="30" t="s">
        <v>688</v>
      </c>
      <c r="G384" s="31" t="n">
        <v>9329</v>
      </c>
      <c r="H384" s="31" t="n">
        <v>10</v>
      </c>
      <c r="I384" s="31" t="n">
        <v>93293</v>
      </c>
      <c r="J384" s="29" t="n">
        <v>45716</v>
      </c>
      <c r="K384" s="31" t="n">
        <v>8881</v>
      </c>
      <c r="L384" s="30" t="s">
        <v>32</v>
      </c>
      <c r="M384" s="10" t="n">
        <v>1</v>
      </c>
      <c r="N384" s="12" t="n">
        <v>-4643</v>
      </c>
      <c r="O384" s="13" t="n">
        <v>-0.0497638873465591</v>
      </c>
      <c r="P384" s="15" t="n">
        <v>0.0118636728078789</v>
      </c>
      <c r="Q384" s="13" t="n">
        <v>-0.0674561490012133</v>
      </c>
      <c r="R384" s="15" t="n">
        <v>0.131067961165049</v>
      </c>
      <c r="S384" s="32" t="n">
        <v>95751620280</v>
      </c>
      <c r="T384" s="15" t="n">
        <v>0.10952380952381</v>
      </c>
      <c r="U384" s="32" t="n">
        <v>3994404683</v>
      </c>
      <c r="V384" s="14" t="n">
        <v>21.0791877628928</v>
      </c>
      <c r="W384" s="13" t="n">
        <v>0.128329297820823</v>
      </c>
      <c r="X384" s="15" t="n">
        <v>0.0622317596566524</v>
      </c>
      <c r="Y384" s="13" t="n">
        <v>-0.00732273417414786</v>
      </c>
      <c r="Z384" s="13" t="n">
        <v>-0.0121738016472875</v>
      </c>
      <c r="AA384" s="30" t="s">
        <v>97</v>
      </c>
      <c r="AB384" s="28" t="s">
        <v>94</v>
      </c>
      <c r="AC384" s="28" t="s">
        <v>102</v>
      </c>
      <c r="AD384" s="28" t="s">
        <v>108</v>
      </c>
      <c r="AE384" s="28" t="s">
        <v>114</v>
      </c>
      <c r="AF384" s="28" t="s">
        <v>120</v>
      </c>
      <c r="AG384" s="30" t="s">
        <v>122</v>
      </c>
    </row>
    <row r="385" customFormat="false" ht="15" hidden="false" customHeight="false" outlineLevel="0" collapsed="false">
      <c r="A385" s="10" t="n">
        <v>2025</v>
      </c>
      <c r="B385" s="28" t="s">
        <v>64</v>
      </c>
      <c r="C385" s="29" t="n">
        <v>45715</v>
      </c>
      <c r="D385" s="30" t="s">
        <v>128</v>
      </c>
      <c r="E385" s="28" t="s">
        <v>689</v>
      </c>
      <c r="F385" s="28" t="s">
        <v>690</v>
      </c>
      <c r="G385" s="31" t="n">
        <v>3304</v>
      </c>
      <c r="H385" s="31" t="n">
        <v>30</v>
      </c>
      <c r="I385" s="31" t="n">
        <v>99113</v>
      </c>
      <c r="J385" s="29" t="n">
        <v>45716</v>
      </c>
      <c r="K385" s="31" t="n">
        <v>3142</v>
      </c>
      <c r="L385" s="30" t="s">
        <v>32</v>
      </c>
      <c r="M385" s="10" t="n">
        <v>1</v>
      </c>
      <c r="N385" s="12" t="n">
        <v>-5027</v>
      </c>
      <c r="O385" s="13" t="n">
        <v>-0.0507248073889232</v>
      </c>
      <c r="P385" s="15" t="n">
        <v>-0.0229633899080449</v>
      </c>
      <c r="Q385" s="13" t="n">
        <v>-0.0721939167731435</v>
      </c>
      <c r="R385" s="15" t="n">
        <v>0.0146153846153847</v>
      </c>
      <c r="S385" s="32" t="n">
        <v>41231222464</v>
      </c>
      <c r="T385" s="15" t="n">
        <v>0.00763941940412538</v>
      </c>
      <c r="U385" s="32" t="n">
        <v>4600215683.75</v>
      </c>
      <c r="V385" s="14" t="n">
        <v>8.69116119103788</v>
      </c>
      <c r="W385" s="13" t="n">
        <v>-0.00975975975975973</v>
      </c>
      <c r="X385" s="15" t="n">
        <v>0.128127369219105</v>
      </c>
      <c r="Y385" s="13" t="n">
        <v>-0.00732273417414786</v>
      </c>
      <c r="Z385" s="13" t="n">
        <v>-0.0121738016472875</v>
      </c>
      <c r="AA385" s="30" t="s">
        <v>97</v>
      </c>
      <c r="AB385" s="28" t="s">
        <v>94</v>
      </c>
      <c r="AC385" s="28" t="s">
        <v>99</v>
      </c>
      <c r="AD385" s="28" t="s">
        <v>107</v>
      </c>
      <c r="AE385" s="28" t="s">
        <v>112</v>
      </c>
      <c r="AF385" s="28" t="s">
        <v>119</v>
      </c>
      <c r="AG385" s="30" t="s">
        <v>123</v>
      </c>
    </row>
    <row r="386" customFormat="false" ht="15" hidden="false" customHeight="false" outlineLevel="0" collapsed="false">
      <c r="A386" s="10" t="n">
        <v>2025</v>
      </c>
      <c r="B386" s="28" t="s">
        <v>64</v>
      </c>
      <c r="C386" s="29" t="n">
        <v>45716</v>
      </c>
      <c r="D386" s="30" t="s">
        <v>129</v>
      </c>
      <c r="E386" s="28" t="s">
        <v>691</v>
      </c>
      <c r="F386" s="30" t="s">
        <v>692</v>
      </c>
      <c r="G386" s="31" t="n">
        <v>4900</v>
      </c>
      <c r="H386" s="31" t="n">
        <v>20</v>
      </c>
      <c r="I386" s="31" t="n">
        <v>97998</v>
      </c>
      <c r="J386" s="29" t="n">
        <v>45720</v>
      </c>
      <c r="K386" s="31" t="n">
        <v>5880</v>
      </c>
      <c r="L386" s="30" t="s">
        <v>31</v>
      </c>
      <c r="M386" s="10" t="n">
        <v>1</v>
      </c>
      <c r="N386" s="12" t="n">
        <v>19393</v>
      </c>
      <c r="O386" s="13" t="n">
        <v>0.197895672407266</v>
      </c>
      <c r="P386" s="15" t="n">
        <v>0.234720335843931</v>
      </c>
      <c r="Q386" s="13" t="n">
        <v>-0.0163054514433472</v>
      </c>
      <c r="R386" s="15" t="n">
        <v>0.0926339285714286</v>
      </c>
      <c r="S386" s="32" t="n">
        <v>62494039135</v>
      </c>
      <c r="T386" s="15" t="n">
        <v>0.0781938325991189</v>
      </c>
      <c r="U386" s="32" t="n">
        <v>3508475114.75</v>
      </c>
      <c r="V386" s="14" t="n">
        <v>15.9661762873216</v>
      </c>
      <c r="W386" s="13" t="n">
        <v>0.102477477477478</v>
      </c>
      <c r="X386" s="15" t="n">
        <v>0.0520939734422881</v>
      </c>
      <c r="Y386" s="13" t="n">
        <v>-0.0339353485267473</v>
      </c>
      <c r="Z386" s="13" t="n">
        <v>-0.0458829645367628</v>
      </c>
      <c r="AA386" s="30" t="s">
        <v>96</v>
      </c>
      <c r="AB386" s="28" t="s">
        <v>94</v>
      </c>
      <c r="AC386" s="28" t="s">
        <v>101</v>
      </c>
      <c r="AD386" s="28" t="s">
        <v>108</v>
      </c>
      <c r="AE386" s="28" t="s">
        <v>101</v>
      </c>
      <c r="AF386" s="28" t="s">
        <v>120</v>
      </c>
      <c r="AG386" s="30" t="s">
        <v>122</v>
      </c>
    </row>
    <row r="387" customFormat="false" ht="15" hidden="false" customHeight="false" outlineLevel="0" collapsed="false">
      <c r="A387" s="10" t="n">
        <v>2025</v>
      </c>
      <c r="B387" s="28" t="s">
        <v>64</v>
      </c>
      <c r="C387" s="29" t="n">
        <v>45716</v>
      </c>
      <c r="D387" s="30" t="s">
        <v>129</v>
      </c>
      <c r="E387" s="28" t="s">
        <v>693</v>
      </c>
      <c r="F387" s="30" t="s">
        <v>694</v>
      </c>
      <c r="G387" s="31" t="n">
        <v>6887</v>
      </c>
      <c r="H387" s="31" t="n">
        <v>14</v>
      </c>
      <c r="I387" s="31" t="n">
        <v>96416</v>
      </c>
      <c r="J387" s="29" t="n">
        <v>45720</v>
      </c>
      <c r="K387" s="31" t="n">
        <v>6553</v>
      </c>
      <c r="L387" s="30" t="s">
        <v>32</v>
      </c>
      <c r="M387" s="10" t="n">
        <v>1</v>
      </c>
      <c r="N387" s="12" t="n">
        <v>-4834</v>
      </c>
      <c r="O387" s="13" t="n">
        <v>-0.0501368120251841</v>
      </c>
      <c r="P387" s="15" t="n">
        <v>-0.0358478730571753</v>
      </c>
      <c r="Q387" s="13" t="n">
        <v>-0.0953813628232232</v>
      </c>
      <c r="R387" s="15" t="n">
        <v>0.0440060698027314</v>
      </c>
      <c r="S387" s="32" t="n">
        <v>34307587840</v>
      </c>
      <c r="T387" s="15" t="n">
        <v>0.0424242424242425</v>
      </c>
      <c r="U387" s="32" t="n">
        <v>6001796723</v>
      </c>
      <c r="V387" s="14" t="n">
        <v>5.31693382210997</v>
      </c>
      <c r="W387" s="13" t="n">
        <v>0.0455927051671732</v>
      </c>
      <c r="X387" s="15" t="n">
        <v>0.0901162790697674</v>
      </c>
      <c r="Y387" s="13" t="n">
        <v>-0.0339353485267473</v>
      </c>
      <c r="Z387" s="13" t="n">
        <v>-0.0458829645367628</v>
      </c>
      <c r="AA387" s="30" t="s">
        <v>96</v>
      </c>
      <c r="AB387" s="28" t="s">
        <v>94</v>
      </c>
      <c r="AC387" s="28" t="s">
        <v>100</v>
      </c>
      <c r="AD387" s="28" t="s">
        <v>107</v>
      </c>
      <c r="AE387" s="28" t="s">
        <v>113</v>
      </c>
      <c r="AF387" s="28" t="s">
        <v>119</v>
      </c>
      <c r="AG387" s="30" t="s">
        <v>122</v>
      </c>
    </row>
    <row r="388" customFormat="false" ht="15" hidden="false" customHeight="false" outlineLevel="0" collapsed="false">
      <c r="A388" s="10" t="n">
        <v>2025</v>
      </c>
      <c r="B388" s="28" t="s">
        <v>64</v>
      </c>
      <c r="C388" s="29" t="n">
        <v>45716</v>
      </c>
      <c r="D388" s="30" t="s">
        <v>129</v>
      </c>
      <c r="E388" s="28" t="s">
        <v>695</v>
      </c>
      <c r="F388" s="30" t="s">
        <v>696</v>
      </c>
      <c r="G388" s="31" t="n">
        <v>61461</v>
      </c>
      <c r="H388" s="31" t="n">
        <v>1</v>
      </c>
      <c r="I388" s="31" t="n">
        <v>61461</v>
      </c>
      <c r="J388" s="29" t="n">
        <v>45763</v>
      </c>
      <c r="K388" s="31" t="n">
        <v>73800</v>
      </c>
      <c r="L388" s="30" t="s">
        <v>31</v>
      </c>
      <c r="M388" s="10" t="n">
        <v>32</v>
      </c>
      <c r="N388" s="12" t="n">
        <v>12208</v>
      </c>
      <c r="O388" s="13" t="n">
        <v>0.198622400238199</v>
      </c>
      <c r="P388" s="15" t="n">
        <v>0.220278093242263</v>
      </c>
      <c r="Q388" s="13" t="n">
        <v>-0.043301974898066</v>
      </c>
      <c r="R388" s="15" t="n">
        <v>0.0132013201320131</v>
      </c>
      <c r="S388" s="32" t="n">
        <v>30379000800</v>
      </c>
      <c r="T388" s="15" t="n">
        <v>0.00655737704918025</v>
      </c>
      <c r="U388" s="32" t="n">
        <v>14205736610</v>
      </c>
      <c r="V388" s="14" t="n">
        <v>2.04382408403781</v>
      </c>
      <c r="W388" s="13" t="n">
        <v>0.0284757118927974</v>
      </c>
      <c r="X388" s="15" t="n">
        <v>0.0162866449511401</v>
      </c>
      <c r="Y388" s="13" t="n">
        <v>-0.0339353485267473</v>
      </c>
      <c r="Z388" s="13" t="n">
        <v>-0.0458829645367628</v>
      </c>
      <c r="AA388" s="30" t="s">
        <v>96</v>
      </c>
      <c r="AB388" s="28" t="s">
        <v>94</v>
      </c>
      <c r="AC388" s="28" t="s">
        <v>99</v>
      </c>
      <c r="AD388" s="28" t="s">
        <v>107</v>
      </c>
      <c r="AE388" s="28" t="s">
        <v>112</v>
      </c>
      <c r="AF388" s="28" t="s">
        <v>117</v>
      </c>
      <c r="AG388" s="30" t="s">
        <v>122</v>
      </c>
    </row>
    <row r="389" customFormat="false" ht="15" hidden="false" customHeight="false" outlineLevel="0" collapsed="false">
      <c r="A389" s="10" t="n">
        <v>2025</v>
      </c>
      <c r="B389" s="28" t="s">
        <v>65</v>
      </c>
      <c r="C389" s="29" t="n">
        <v>45721</v>
      </c>
      <c r="D389" s="30" t="s">
        <v>127</v>
      </c>
      <c r="E389" s="28" t="s">
        <v>633</v>
      </c>
      <c r="F389" s="30" t="s">
        <v>634</v>
      </c>
      <c r="G389" s="31" t="n">
        <v>5105</v>
      </c>
      <c r="H389" s="31" t="n">
        <v>19</v>
      </c>
      <c r="I389" s="31" t="n">
        <v>96997</v>
      </c>
      <c r="J389" s="29" t="n">
        <v>45723</v>
      </c>
      <c r="K389" s="31" t="n">
        <v>4860</v>
      </c>
      <c r="L389" s="30" t="s">
        <v>32</v>
      </c>
      <c r="M389" s="10" t="n">
        <v>2</v>
      </c>
      <c r="N389" s="12" t="n">
        <v>-4821</v>
      </c>
      <c r="O389" s="13" t="n">
        <v>-0.0497051943644591</v>
      </c>
      <c r="P389" s="15" t="n">
        <v>0.0695187165775402</v>
      </c>
      <c r="Q389" s="13" t="n">
        <v>-0.0470313999725763</v>
      </c>
      <c r="R389" s="15" t="n">
        <v>0.119648737650933</v>
      </c>
      <c r="S389" s="32" t="n">
        <v>47872532100</v>
      </c>
      <c r="T389" s="15" t="n">
        <v>0.0220440881763526</v>
      </c>
      <c r="U389" s="32" t="n">
        <v>8809360888.25</v>
      </c>
      <c r="V389" s="14" t="n">
        <v>5.07864984584593</v>
      </c>
      <c r="W389" s="13" t="n">
        <v>0.119648737650933</v>
      </c>
      <c r="X389" s="15" t="n">
        <v>0.0352941176470589</v>
      </c>
      <c r="Y389" s="13" t="n">
        <v>0.0115503851446468</v>
      </c>
      <c r="Z389" s="13" t="n">
        <v>-0.0274342372894243</v>
      </c>
      <c r="AA389" s="30" t="s">
        <v>96</v>
      </c>
      <c r="AB389" s="28" t="s">
        <v>94</v>
      </c>
      <c r="AC389" s="28" t="s">
        <v>102</v>
      </c>
      <c r="AD389" s="28" t="s">
        <v>107</v>
      </c>
      <c r="AE389" s="28" t="s">
        <v>113</v>
      </c>
      <c r="AF389" s="28" t="s">
        <v>119</v>
      </c>
      <c r="AG389" s="30" t="s">
        <v>122</v>
      </c>
    </row>
    <row r="390" customFormat="false" ht="15" hidden="false" customHeight="false" outlineLevel="0" collapsed="false">
      <c r="A390" s="10" t="n">
        <v>2025</v>
      </c>
      <c r="B390" s="28" t="s">
        <v>65</v>
      </c>
      <c r="C390" s="29" t="n">
        <v>45721</v>
      </c>
      <c r="D390" s="30" t="s">
        <v>127</v>
      </c>
      <c r="E390" s="28" t="s">
        <v>697</v>
      </c>
      <c r="F390" s="30" t="s">
        <v>698</v>
      </c>
      <c r="G390" s="31" t="n">
        <v>8529</v>
      </c>
      <c r="H390" s="31" t="n">
        <v>11</v>
      </c>
      <c r="I390" s="31" t="n">
        <v>93814</v>
      </c>
      <c r="J390" s="29" t="n">
        <v>45722</v>
      </c>
      <c r="K390" s="31" t="n">
        <v>8112</v>
      </c>
      <c r="L390" s="30" t="s">
        <v>32</v>
      </c>
      <c r="M390" s="10" t="n">
        <v>1</v>
      </c>
      <c r="N390" s="12" t="n">
        <v>-4744</v>
      </c>
      <c r="O390" s="13" t="n">
        <v>-0.0505719491775827</v>
      </c>
      <c r="P390" s="15" t="n">
        <v>-0.000999000999000854</v>
      </c>
      <c r="Q390" s="13" t="n">
        <v>-0.0807314750976721</v>
      </c>
      <c r="R390" s="15" t="n">
        <v>0.194950911640954</v>
      </c>
      <c r="S390" s="32" t="n">
        <v>39783509520</v>
      </c>
      <c r="T390" s="15" t="n">
        <v>0.0812182741116752</v>
      </c>
      <c r="U390" s="32" t="n">
        <v>4251416624.5</v>
      </c>
      <c r="V390" s="14" t="n">
        <v>8.29297956497176</v>
      </c>
      <c r="W390" s="13" t="n">
        <v>0.183333333333333</v>
      </c>
      <c r="X390" s="15" t="n">
        <v>0.0199530516431925</v>
      </c>
      <c r="Y390" s="13" t="n">
        <v>0.0115503851446468</v>
      </c>
      <c r="Z390" s="13" t="n">
        <v>-0.0274342372894243</v>
      </c>
      <c r="AA390" s="30" t="s">
        <v>96</v>
      </c>
      <c r="AB390" s="28" t="s">
        <v>94</v>
      </c>
      <c r="AC390" s="28" t="s">
        <v>103</v>
      </c>
      <c r="AD390" s="28" t="s">
        <v>107</v>
      </c>
      <c r="AE390" s="28" t="s">
        <v>101</v>
      </c>
      <c r="AF390" s="28" t="s">
        <v>119</v>
      </c>
      <c r="AG390" s="30" t="s">
        <v>122</v>
      </c>
    </row>
    <row r="391" customFormat="false" ht="15" hidden="false" customHeight="false" outlineLevel="0" collapsed="false">
      <c r="A391" s="10" t="n">
        <v>2025</v>
      </c>
      <c r="B391" s="28" t="s">
        <v>65</v>
      </c>
      <c r="C391" s="29" t="n">
        <v>45726</v>
      </c>
      <c r="D391" s="30" t="s">
        <v>125</v>
      </c>
      <c r="E391" s="28" t="s">
        <v>613</v>
      </c>
      <c r="F391" s="30" t="s">
        <v>614</v>
      </c>
      <c r="G391" s="31" t="n">
        <v>45445</v>
      </c>
      <c r="H391" s="31" t="n">
        <v>2</v>
      </c>
      <c r="I391" s="31" t="n">
        <v>90891</v>
      </c>
      <c r="J391" s="29" t="n">
        <v>45729</v>
      </c>
      <c r="K391" s="31" t="n">
        <v>43257</v>
      </c>
      <c r="L391" s="30" t="s">
        <v>32</v>
      </c>
      <c r="M391" s="10" t="n">
        <v>3</v>
      </c>
      <c r="N391" s="12" t="n">
        <v>-4534</v>
      </c>
      <c r="O391" s="13" t="n">
        <v>-0.0498816242127916</v>
      </c>
      <c r="P391" s="15" t="n">
        <v>-0.0153018787380019</v>
      </c>
      <c r="Q391" s="13" t="n">
        <v>-0.0681125042358521</v>
      </c>
      <c r="R391" s="15" t="n">
        <v>0.0377142857142858</v>
      </c>
      <c r="S391" s="32" t="n">
        <v>182080876800</v>
      </c>
      <c r="T391" s="15" t="n">
        <v>0.00665188470066513</v>
      </c>
      <c r="U391" s="32" t="n">
        <v>189827205125</v>
      </c>
      <c r="V391" s="14" t="n">
        <v>0.886425270344941</v>
      </c>
      <c r="W391" s="13" t="n">
        <v>0.0436781609195402</v>
      </c>
      <c r="X391" s="15" t="n">
        <v>0.0121145374449339</v>
      </c>
      <c r="Y391" s="13" t="n">
        <v>0.00269555448062775</v>
      </c>
      <c r="Z391" s="13" t="n">
        <v>0.0148492960304487</v>
      </c>
      <c r="AA391" s="30" t="s">
        <v>96</v>
      </c>
      <c r="AB391" s="28" t="s">
        <v>93</v>
      </c>
      <c r="AC391" s="28" t="s">
        <v>100</v>
      </c>
      <c r="AD391" s="28" t="s">
        <v>109</v>
      </c>
      <c r="AE391" s="28" t="s">
        <v>112</v>
      </c>
      <c r="AF391" s="28" t="s">
        <v>116</v>
      </c>
      <c r="AG391" s="30" t="s">
        <v>122</v>
      </c>
    </row>
    <row r="392" customFormat="false" ht="15" hidden="false" customHeight="false" outlineLevel="0" collapsed="false">
      <c r="A392" s="10" t="n">
        <v>2025</v>
      </c>
      <c r="B392" s="28" t="s">
        <v>65</v>
      </c>
      <c r="C392" s="29" t="n">
        <v>45726</v>
      </c>
      <c r="D392" s="30" t="s">
        <v>125</v>
      </c>
      <c r="E392" s="28" t="s">
        <v>261</v>
      </c>
      <c r="F392" s="28" t="s">
        <v>262</v>
      </c>
      <c r="G392" s="31" t="n">
        <v>62262</v>
      </c>
      <c r="H392" s="31" t="n">
        <v>1</v>
      </c>
      <c r="I392" s="31" t="n">
        <v>62262</v>
      </c>
      <c r="J392" s="29" t="n">
        <v>45730</v>
      </c>
      <c r="K392" s="31" t="n">
        <v>59241</v>
      </c>
      <c r="L392" s="30" t="s">
        <v>32</v>
      </c>
      <c r="M392" s="10" t="n">
        <v>4</v>
      </c>
      <c r="N392" s="12" t="n">
        <v>-3129</v>
      </c>
      <c r="O392" s="13" t="n">
        <v>-0.0502485695172993</v>
      </c>
      <c r="P392" s="15" t="n">
        <v>-0.0154539993768288</v>
      </c>
      <c r="Q392" s="13" t="n">
        <v>-0.0540006617177034</v>
      </c>
      <c r="R392" s="15" t="n">
        <v>0.0874125874125875</v>
      </c>
      <c r="S392" s="32" t="n">
        <v>46457926400</v>
      </c>
      <c r="T392" s="15" t="n">
        <v>0.0113821138211383</v>
      </c>
      <c r="U392" s="32" t="n">
        <v>8382762295</v>
      </c>
      <c r="V392" s="14" t="n">
        <v>5.22010543479096</v>
      </c>
      <c r="W392" s="13" t="n">
        <v>0.0705679862306368</v>
      </c>
      <c r="X392" s="15" t="n">
        <v>0.00321543408360125</v>
      </c>
      <c r="Y392" s="13" t="n">
        <v>0.00269555448062775</v>
      </c>
      <c r="Z392" s="13" t="n">
        <v>0.0148492960304487</v>
      </c>
      <c r="AA392" s="30" t="s">
        <v>96</v>
      </c>
      <c r="AB392" s="28" t="s">
        <v>93</v>
      </c>
      <c r="AC392" s="28" t="s">
        <v>101</v>
      </c>
      <c r="AD392" s="28" t="s">
        <v>107</v>
      </c>
      <c r="AE392" s="28" t="s">
        <v>112</v>
      </c>
      <c r="AF392" s="28" t="s">
        <v>119</v>
      </c>
      <c r="AG392" s="30" t="s">
        <v>122</v>
      </c>
    </row>
    <row r="393" customFormat="false" ht="15" hidden="false" customHeight="false" outlineLevel="0" collapsed="false">
      <c r="A393" s="10" t="n">
        <v>2025</v>
      </c>
      <c r="B393" s="28" t="s">
        <v>65</v>
      </c>
      <c r="C393" s="29" t="n">
        <v>45726</v>
      </c>
      <c r="D393" s="30" t="s">
        <v>125</v>
      </c>
      <c r="E393" s="28" t="s">
        <v>699</v>
      </c>
      <c r="F393" s="30" t="s">
        <v>700</v>
      </c>
      <c r="G393" s="31" t="n">
        <v>16987</v>
      </c>
      <c r="H393" s="31" t="n">
        <v>5</v>
      </c>
      <c r="I393" s="31" t="n">
        <v>84935</v>
      </c>
      <c r="J393" s="29" t="n">
        <v>45750</v>
      </c>
      <c r="K393" s="31" t="n">
        <v>15405</v>
      </c>
      <c r="L393" s="30" t="s">
        <v>32</v>
      </c>
      <c r="M393" s="10" t="n">
        <v>18</v>
      </c>
      <c r="N393" s="12" t="n">
        <v>-8052</v>
      </c>
      <c r="O393" s="13" t="n">
        <v>-0.0947994611458076</v>
      </c>
      <c r="P393" s="15" t="n">
        <v>0.00429917754608389</v>
      </c>
      <c r="Q393" s="13" t="n">
        <v>-0.0981322743255565</v>
      </c>
      <c r="R393" s="15" t="n">
        <v>0.0507739938080496</v>
      </c>
      <c r="S393" s="32" t="n">
        <v>23507828260</v>
      </c>
      <c r="T393" s="15" t="n">
        <v>0.0309842041312272</v>
      </c>
      <c r="U393" s="32" t="n">
        <v>6519421898</v>
      </c>
      <c r="V393" s="14" t="n">
        <v>3.4268677496438</v>
      </c>
      <c r="W393" s="13" t="n">
        <v>0.0266182698124622</v>
      </c>
      <c r="X393" s="15" t="n">
        <v>0.00176782557454325</v>
      </c>
      <c r="Y393" s="13" t="n">
        <v>0.00269555448062775</v>
      </c>
      <c r="Z393" s="13" t="n">
        <v>0.0148492960304487</v>
      </c>
      <c r="AA393" s="30" t="s">
        <v>96</v>
      </c>
      <c r="AB393" s="28" t="s">
        <v>93</v>
      </c>
      <c r="AC393" s="28" t="s">
        <v>101</v>
      </c>
      <c r="AD393" s="28" t="s">
        <v>106</v>
      </c>
      <c r="AE393" s="28" t="s">
        <v>113</v>
      </c>
      <c r="AF393" s="28" t="s">
        <v>118</v>
      </c>
      <c r="AG393" s="30" t="s">
        <v>122</v>
      </c>
    </row>
    <row r="394" customFormat="false" ht="15" hidden="false" customHeight="false" outlineLevel="0" collapsed="false">
      <c r="A394" s="10" t="n">
        <v>2025</v>
      </c>
      <c r="B394" s="28" t="s">
        <v>65</v>
      </c>
      <c r="C394" s="29" t="n">
        <v>45727</v>
      </c>
      <c r="D394" s="30" t="s">
        <v>126</v>
      </c>
      <c r="E394" s="28" t="s">
        <v>701</v>
      </c>
      <c r="F394" s="30" t="s">
        <v>702</v>
      </c>
      <c r="G394" s="31" t="n">
        <v>98498</v>
      </c>
      <c r="H394" s="31" t="n">
        <v>1</v>
      </c>
      <c r="I394" s="31" t="n">
        <v>98498</v>
      </c>
      <c r="J394" s="29" t="n">
        <v>45734</v>
      </c>
      <c r="K394" s="31" t="n">
        <v>93207</v>
      </c>
      <c r="L394" s="30" t="s">
        <v>32</v>
      </c>
      <c r="M394" s="10" t="n">
        <v>5</v>
      </c>
      <c r="N394" s="12" t="n">
        <v>-5460</v>
      </c>
      <c r="O394" s="13" t="n">
        <v>-0.0554350711788212</v>
      </c>
      <c r="P394" s="15" t="n">
        <v>0.0284431016138333</v>
      </c>
      <c r="Q394" s="13" t="n">
        <v>-0.052776491800882</v>
      </c>
      <c r="R394" s="15" t="n">
        <v>0.00408163265306127</v>
      </c>
      <c r="S394" s="32" t="n">
        <v>111895166400</v>
      </c>
      <c r="T394" s="15" t="n">
        <v>0.00408163265306127</v>
      </c>
      <c r="U394" s="32" t="n">
        <v>119460201075</v>
      </c>
      <c r="V394" s="14" t="n">
        <v>0.901428489552818</v>
      </c>
      <c r="W394" s="13" t="n">
        <v>0.0239334027055151</v>
      </c>
      <c r="X394" s="15" t="n">
        <v>0.00101626016260159</v>
      </c>
      <c r="Y394" s="13" t="n">
        <v>-0.01275681900412</v>
      </c>
      <c r="Z394" s="13" t="n">
        <v>0.003432295209022</v>
      </c>
      <c r="AA394" s="30" t="s">
        <v>96</v>
      </c>
      <c r="AB394" s="28" t="s">
        <v>93</v>
      </c>
      <c r="AC394" s="28" t="s">
        <v>99</v>
      </c>
      <c r="AD394" s="28" t="s">
        <v>109</v>
      </c>
      <c r="AE394" s="28" t="s">
        <v>112</v>
      </c>
      <c r="AF394" s="28" t="s">
        <v>116</v>
      </c>
      <c r="AG394" s="30" t="s">
        <v>122</v>
      </c>
    </row>
    <row r="395" customFormat="false" ht="15" hidden="false" customHeight="false" outlineLevel="0" collapsed="false">
      <c r="A395" s="10" t="n">
        <v>2025</v>
      </c>
      <c r="B395" s="28" t="s">
        <v>65</v>
      </c>
      <c r="C395" s="29" t="n">
        <v>45728</v>
      </c>
      <c r="D395" s="30" t="s">
        <v>127</v>
      </c>
      <c r="E395" s="28" t="s">
        <v>703</v>
      </c>
      <c r="F395" s="30" t="s">
        <v>704</v>
      </c>
      <c r="G395" s="31" t="n">
        <v>41491</v>
      </c>
      <c r="H395" s="31" t="n">
        <v>2</v>
      </c>
      <c r="I395" s="31" t="n">
        <v>82983</v>
      </c>
      <c r="J395" s="29" t="n">
        <v>45744</v>
      </c>
      <c r="K395" s="31" t="n">
        <v>39460</v>
      </c>
      <c r="L395" s="30" t="s">
        <v>32</v>
      </c>
      <c r="M395" s="10" t="n">
        <v>12</v>
      </c>
      <c r="N395" s="12" t="n">
        <v>-4205</v>
      </c>
      <c r="O395" s="13" t="n">
        <v>-0.0506678735619026</v>
      </c>
      <c r="P395" s="15" t="n">
        <v>0.150839510308751</v>
      </c>
      <c r="Q395" s="13" t="n">
        <v>-0.0492017030014617</v>
      </c>
      <c r="R395" s="15" t="n">
        <v>0.26179604261796</v>
      </c>
      <c r="S395" s="32" t="n">
        <v>64253800400</v>
      </c>
      <c r="T395" s="15" t="n">
        <v>0.0766233766233766</v>
      </c>
      <c r="U395" s="32" t="n">
        <v>3530675427.5</v>
      </c>
      <c r="V395" s="14" t="n">
        <v>16.0683220252808</v>
      </c>
      <c r="W395" s="13" t="n">
        <v>0.26179604261796</v>
      </c>
      <c r="X395" s="15" t="n">
        <v>0.0180940892641737</v>
      </c>
      <c r="Y395" s="13" t="n">
        <v>0.0146674022698614</v>
      </c>
      <c r="Z395" s="13" t="n">
        <v>0.00652429704510715</v>
      </c>
      <c r="AA395" s="30" t="s">
        <v>96</v>
      </c>
      <c r="AB395" s="28" t="s">
        <v>93</v>
      </c>
      <c r="AC395" s="28" t="s">
        <v>104</v>
      </c>
      <c r="AD395" s="28" t="s">
        <v>108</v>
      </c>
      <c r="AE395" s="28" t="s">
        <v>101</v>
      </c>
      <c r="AF395" s="28" t="s">
        <v>120</v>
      </c>
      <c r="AG395" s="30" t="s">
        <v>122</v>
      </c>
    </row>
    <row r="396" customFormat="false" ht="15" hidden="false" customHeight="false" outlineLevel="0" collapsed="false">
      <c r="A396" s="10" t="n">
        <v>2025</v>
      </c>
      <c r="B396" s="28" t="s">
        <v>65</v>
      </c>
      <c r="C396" s="29" t="n">
        <v>45728</v>
      </c>
      <c r="D396" s="30" t="s">
        <v>127</v>
      </c>
      <c r="E396" s="28" t="s">
        <v>705</v>
      </c>
      <c r="F396" s="30" t="s">
        <v>706</v>
      </c>
      <c r="G396" s="31" t="n">
        <v>24775</v>
      </c>
      <c r="H396" s="31" t="n">
        <v>4</v>
      </c>
      <c r="I396" s="31" t="n">
        <v>99099</v>
      </c>
      <c r="J396" s="29" t="n">
        <v>45729</v>
      </c>
      <c r="K396" s="31" t="n">
        <v>23576</v>
      </c>
      <c r="L396" s="30" t="s">
        <v>32</v>
      </c>
      <c r="M396" s="10" t="n">
        <v>1</v>
      </c>
      <c r="N396" s="12" t="n">
        <v>-4964</v>
      </c>
      <c r="O396" s="13" t="n">
        <v>-0.0500900018163654</v>
      </c>
      <c r="P396" s="15" t="n">
        <v>0.00505555051009621</v>
      </c>
      <c r="Q396" s="13" t="n">
        <v>-0.0595263322536048</v>
      </c>
      <c r="R396" s="15" t="n">
        <v>0.109865470852018</v>
      </c>
      <c r="S396" s="32" t="n">
        <v>30364834500</v>
      </c>
      <c r="T396" s="15" t="n">
        <v>0.00202429149797578</v>
      </c>
      <c r="U396" s="32" t="n">
        <v>8138229617.5</v>
      </c>
      <c r="V396" s="14" t="n">
        <v>3.56353492468245</v>
      </c>
      <c r="W396" s="13" t="n">
        <v>0.109865470852018</v>
      </c>
      <c r="X396" s="15" t="n">
        <v>0.0262626262626262</v>
      </c>
      <c r="Y396" s="13" t="n">
        <v>0.0146674022698614</v>
      </c>
      <c r="Z396" s="13" t="n">
        <v>0.00652429704510715</v>
      </c>
      <c r="AA396" s="30" t="s">
        <v>96</v>
      </c>
      <c r="AB396" s="28" t="s">
        <v>93</v>
      </c>
      <c r="AC396" s="28" t="s">
        <v>102</v>
      </c>
      <c r="AD396" s="28" t="s">
        <v>107</v>
      </c>
      <c r="AE396" s="28" t="s">
        <v>112</v>
      </c>
      <c r="AF396" s="28" t="s">
        <v>118</v>
      </c>
      <c r="AG396" s="30" t="s">
        <v>122</v>
      </c>
    </row>
    <row r="397" customFormat="false" ht="15" hidden="false" customHeight="false" outlineLevel="0" collapsed="false">
      <c r="A397" s="10" t="n">
        <v>2025</v>
      </c>
      <c r="B397" s="28" t="s">
        <v>65</v>
      </c>
      <c r="C397" s="29" t="n">
        <v>45728</v>
      </c>
      <c r="D397" s="30" t="s">
        <v>127</v>
      </c>
      <c r="E397" s="28" t="s">
        <v>481</v>
      </c>
      <c r="F397" s="30" t="s">
        <v>482</v>
      </c>
      <c r="G397" s="31" t="n">
        <v>51351</v>
      </c>
      <c r="H397" s="31" t="n">
        <v>1</v>
      </c>
      <c r="I397" s="31" t="n">
        <v>51351</v>
      </c>
      <c r="J397" s="29" t="n">
        <v>45743</v>
      </c>
      <c r="K397" s="31" t="n">
        <v>48851</v>
      </c>
      <c r="L397" s="30" t="s">
        <v>32</v>
      </c>
      <c r="M397" s="10" t="n">
        <v>11</v>
      </c>
      <c r="N397" s="12" t="n">
        <v>-2589</v>
      </c>
      <c r="O397" s="13" t="n">
        <v>-0.0504078184972922</v>
      </c>
      <c r="P397" s="15" t="n">
        <v>0.00873785084311418</v>
      </c>
      <c r="Q397" s="13" t="n">
        <v>-0.0564990564990564</v>
      </c>
      <c r="R397" s="15" t="n">
        <v>0.0198807157057654</v>
      </c>
      <c r="S397" s="32" t="n">
        <v>24136137000</v>
      </c>
      <c r="T397" s="15" t="n">
        <v>0.0178571428571428</v>
      </c>
      <c r="U397" s="32" t="n">
        <v>20518054742.5</v>
      </c>
      <c r="V397" s="14" t="n">
        <v>1.11160845128624</v>
      </c>
      <c r="W397" s="13" t="n">
        <v>0.00588235294117645</v>
      </c>
      <c r="X397" s="15" t="n">
        <v>0.02729044834308</v>
      </c>
      <c r="Y397" s="13" t="n">
        <v>0.0146674022698614</v>
      </c>
      <c r="Z397" s="13" t="n">
        <v>0.00652429704510715</v>
      </c>
      <c r="AA397" s="30" t="s">
        <v>96</v>
      </c>
      <c r="AB397" s="28" t="s">
        <v>93</v>
      </c>
      <c r="AC397" s="28" t="s">
        <v>99</v>
      </c>
      <c r="AD397" s="28" t="s">
        <v>106</v>
      </c>
      <c r="AE397" s="28" t="s">
        <v>112</v>
      </c>
      <c r="AF397" s="28" t="s">
        <v>116</v>
      </c>
      <c r="AG397" s="30" t="s">
        <v>122</v>
      </c>
    </row>
    <row r="398" customFormat="false" ht="15" hidden="false" customHeight="false" outlineLevel="0" collapsed="false">
      <c r="A398" s="10" t="n">
        <v>2025</v>
      </c>
      <c r="B398" s="28" t="s">
        <v>65</v>
      </c>
      <c r="C398" s="29" t="n">
        <v>45729</v>
      </c>
      <c r="D398" s="30" t="s">
        <v>128</v>
      </c>
      <c r="E398" s="28" t="s">
        <v>707</v>
      </c>
      <c r="F398" s="30" t="s">
        <v>708</v>
      </c>
      <c r="G398" s="31" t="n">
        <v>12462</v>
      </c>
      <c r="H398" s="31" t="n">
        <v>7</v>
      </c>
      <c r="I398" s="31" t="n">
        <v>87237</v>
      </c>
      <c r="J398" s="29" t="n">
        <v>45737</v>
      </c>
      <c r="K398" s="31" t="n">
        <v>11488</v>
      </c>
      <c r="L398" s="30" t="s">
        <v>32</v>
      </c>
      <c r="M398" s="10" t="n">
        <v>6</v>
      </c>
      <c r="N398" s="12" t="n">
        <v>-6963</v>
      </c>
      <c r="O398" s="13" t="n">
        <v>-0.0798218161356716</v>
      </c>
      <c r="P398" s="15" t="n">
        <v>0.167507191603577</v>
      </c>
      <c r="Q398" s="13" t="n">
        <v>-0.080437634654502</v>
      </c>
      <c r="R398" s="15" t="n">
        <v>0.171213546566322</v>
      </c>
      <c r="S398" s="32" t="n">
        <v>127940495250</v>
      </c>
      <c r="T398" s="15" t="n">
        <v>0.0121951219512195</v>
      </c>
      <c r="U398" s="32" t="n">
        <v>5111459538</v>
      </c>
      <c r="V398" s="14" t="n">
        <v>23.4515715973485</v>
      </c>
      <c r="W398" s="13" t="n">
        <v>0.0760587726879862</v>
      </c>
      <c r="X398" s="15" t="n">
        <v>0.0843373493975903</v>
      </c>
      <c r="Y398" s="13" t="n">
        <v>-0.00045828446260332</v>
      </c>
      <c r="Z398" s="13" t="n">
        <v>-0.000978200111794281</v>
      </c>
      <c r="AA398" s="30" t="s">
        <v>96</v>
      </c>
      <c r="AB398" s="28" t="s">
        <v>94</v>
      </c>
      <c r="AC398" s="28" t="s">
        <v>103</v>
      </c>
      <c r="AD398" s="28" t="s">
        <v>109</v>
      </c>
      <c r="AE398" s="28" t="s">
        <v>112</v>
      </c>
      <c r="AF398" s="28" t="s">
        <v>120</v>
      </c>
      <c r="AG398" s="30" t="s">
        <v>122</v>
      </c>
    </row>
    <row r="399" customFormat="false" ht="15" hidden="false" customHeight="false" outlineLevel="0" collapsed="false">
      <c r="A399" s="10" t="n">
        <v>2025</v>
      </c>
      <c r="B399" s="28" t="s">
        <v>65</v>
      </c>
      <c r="C399" s="29" t="n">
        <v>45729</v>
      </c>
      <c r="D399" s="30" t="s">
        <v>128</v>
      </c>
      <c r="E399" s="28" t="s">
        <v>507</v>
      </c>
      <c r="F399" s="30" t="s">
        <v>508</v>
      </c>
      <c r="G399" s="31" t="n">
        <v>6837</v>
      </c>
      <c r="H399" s="31" t="n">
        <v>14</v>
      </c>
      <c r="I399" s="31" t="n">
        <v>95716</v>
      </c>
      <c r="J399" s="29" t="n">
        <v>45736</v>
      </c>
      <c r="K399" s="31" t="n">
        <v>6503</v>
      </c>
      <c r="L399" s="30" t="s">
        <v>32</v>
      </c>
      <c r="M399" s="10" t="n">
        <v>5</v>
      </c>
      <c r="N399" s="12" t="n">
        <v>-4831</v>
      </c>
      <c r="O399" s="13" t="n">
        <v>-0.0504760661008097</v>
      </c>
      <c r="P399" s="15" t="n">
        <v>0.196460932917741</v>
      </c>
      <c r="Q399" s="13" t="n">
        <v>-0.0492669848453156</v>
      </c>
      <c r="R399" s="15" t="n">
        <v>0.0858505564387917</v>
      </c>
      <c r="S399" s="32" t="n">
        <v>46850986040</v>
      </c>
      <c r="T399" s="15" t="n">
        <v>0.0255255255255256</v>
      </c>
      <c r="U399" s="32" t="n">
        <v>30783150075.5</v>
      </c>
      <c r="V399" s="14" t="n">
        <v>1.3919621331092</v>
      </c>
      <c r="W399" s="13" t="n">
        <v>0.0875796178343948</v>
      </c>
      <c r="X399" s="15" t="n">
        <v>0.0102489019033676</v>
      </c>
      <c r="Y399" s="13" t="n">
        <v>-0.00045828446260332</v>
      </c>
      <c r="Z399" s="13" t="n">
        <v>-0.000978200111794281</v>
      </c>
      <c r="AA399" s="30" t="s">
        <v>96</v>
      </c>
      <c r="AB399" s="28" t="s">
        <v>94</v>
      </c>
      <c r="AC399" s="28" t="s">
        <v>101</v>
      </c>
      <c r="AD399" s="28" t="s">
        <v>107</v>
      </c>
      <c r="AE399" s="28" t="s">
        <v>113</v>
      </c>
      <c r="AF399" s="28" t="s">
        <v>116</v>
      </c>
      <c r="AG399" s="30" t="s">
        <v>122</v>
      </c>
    </row>
    <row r="400" customFormat="false" ht="15" hidden="false" customHeight="false" outlineLevel="0" collapsed="false">
      <c r="A400" s="10" t="n">
        <v>2025</v>
      </c>
      <c r="B400" s="28" t="s">
        <v>65</v>
      </c>
      <c r="C400" s="29" t="n">
        <v>45730</v>
      </c>
      <c r="D400" s="30" t="s">
        <v>129</v>
      </c>
      <c r="E400" s="28" t="s">
        <v>343</v>
      </c>
      <c r="F400" s="30" t="s">
        <v>344</v>
      </c>
      <c r="G400" s="31" t="n">
        <v>9439</v>
      </c>
      <c r="H400" s="31" t="n">
        <v>10</v>
      </c>
      <c r="I400" s="31" t="n">
        <v>94394</v>
      </c>
      <c r="J400" s="29" t="n">
        <v>45735</v>
      </c>
      <c r="K400" s="31" t="n">
        <v>8981</v>
      </c>
      <c r="L400" s="30" t="s">
        <v>32</v>
      </c>
      <c r="M400" s="10" t="n">
        <v>3</v>
      </c>
      <c r="N400" s="12" t="n">
        <v>-4747</v>
      </c>
      <c r="O400" s="13" t="n">
        <v>-0.0502842418451112</v>
      </c>
      <c r="P400" s="15" t="n">
        <v>0.0805737210827351</v>
      </c>
      <c r="Q400" s="13" t="n">
        <v>-0.0645621610626911</v>
      </c>
      <c r="R400" s="15" t="n">
        <v>0.0571748878923768</v>
      </c>
      <c r="S400" s="32" t="n">
        <v>28445670440</v>
      </c>
      <c r="T400" s="15" t="n">
        <v>0.0205627705627707</v>
      </c>
      <c r="U400" s="32" t="n">
        <v>14899011198.5</v>
      </c>
      <c r="V400" s="14" t="n">
        <v>1.7741552001445</v>
      </c>
      <c r="W400" s="13" t="n">
        <v>0.0306010928961749</v>
      </c>
      <c r="X400" s="15" t="n">
        <v>0.00742311770943793</v>
      </c>
      <c r="Y400" s="13" t="n">
        <v>-0.00282867844764601</v>
      </c>
      <c r="Z400" s="13" t="n">
        <v>0.00112347277919089</v>
      </c>
      <c r="AA400" s="30" t="s">
        <v>96</v>
      </c>
      <c r="AB400" s="28" t="s">
        <v>93</v>
      </c>
      <c r="AC400" s="28" t="s">
        <v>101</v>
      </c>
      <c r="AD400" s="28" t="s">
        <v>106</v>
      </c>
      <c r="AE400" s="28" t="s">
        <v>113</v>
      </c>
      <c r="AF400" s="28" t="s">
        <v>116</v>
      </c>
      <c r="AG400" s="30" t="s">
        <v>122</v>
      </c>
    </row>
    <row r="401" customFormat="false" ht="15" hidden="false" customHeight="false" outlineLevel="0" collapsed="false">
      <c r="A401" s="10" t="n">
        <v>2025</v>
      </c>
      <c r="B401" s="28" t="s">
        <v>65</v>
      </c>
      <c r="C401" s="29" t="n">
        <v>45734</v>
      </c>
      <c r="D401" s="30" t="s">
        <v>126</v>
      </c>
      <c r="E401" s="28" t="s">
        <v>709</v>
      </c>
      <c r="F401" s="30" t="s">
        <v>710</v>
      </c>
      <c r="G401" s="31" t="n">
        <v>4915</v>
      </c>
      <c r="H401" s="31" t="n">
        <v>20</v>
      </c>
      <c r="I401" s="31" t="n">
        <v>98298</v>
      </c>
      <c r="J401" s="29" t="n">
        <v>45735</v>
      </c>
      <c r="K401" s="31" t="n">
        <v>4675</v>
      </c>
      <c r="L401" s="30" t="s">
        <v>32</v>
      </c>
      <c r="M401" s="10" t="n">
        <v>1</v>
      </c>
      <c r="N401" s="12" t="n">
        <v>-4961</v>
      </c>
      <c r="O401" s="13" t="n">
        <v>-0.0504671529081916</v>
      </c>
      <c r="P401" s="15" t="n">
        <v>0.0213818767790255</v>
      </c>
      <c r="Q401" s="13" t="n">
        <v>-0.0783147605958197</v>
      </c>
      <c r="R401" s="15" t="n">
        <v>0.169047619047619</v>
      </c>
      <c r="S401" s="32" t="n">
        <v>80234177430</v>
      </c>
      <c r="T401" s="15" t="n">
        <v>0.155294117647059</v>
      </c>
      <c r="U401" s="32" t="n">
        <v>30165802753</v>
      </c>
      <c r="V401" s="14" t="n">
        <v>1.75839706062586</v>
      </c>
      <c r="W401" s="13" t="n">
        <v>0.166270783847981</v>
      </c>
      <c r="X401" s="15" t="n">
        <v>0.0488798370672099</v>
      </c>
      <c r="Y401" s="13" t="n">
        <v>0.000632016823138848</v>
      </c>
      <c r="Z401" s="13" t="n">
        <v>0.029453026481715</v>
      </c>
      <c r="AA401" s="30" t="s">
        <v>97</v>
      </c>
      <c r="AB401" s="28" t="s">
        <v>93</v>
      </c>
      <c r="AC401" s="28" t="s">
        <v>103</v>
      </c>
      <c r="AD401" s="28" t="s">
        <v>108</v>
      </c>
      <c r="AE401" s="28" t="s">
        <v>114</v>
      </c>
      <c r="AF401" s="28" t="s">
        <v>116</v>
      </c>
      <c r="AG401" s="30" t="s">
        <v>122</v>
      </c>
    </row>
    <row r="402" customFormat="false" ht="15" hidden="false" customHeight="false" outlineLevel="0" collapsed="false">
      <c r="A402" s="10" t="n">
        <v>2025</v>
      </c>
      <c r="B402" s="28" t="s">
        <v>65</v>
      </c>
      <c r="C402" s="29" t="n">
        <v>45735</v>
      </c>
      <c r="D402" s="30" t="s">
        <v>127</v>
      </c>
      <c r="E402" s="28" t="s">
        <v>711</v>
      </c>
      <c r="F402" s="30" t="s">
        <v>712</v>
      </c>
      <c r="G402" s="31" t="n">
        <v>3093</v>
      </c>
      <c r="H402" s="31" t="n">
        <v>32</v>
      </c>
      <c r="I402" s="31" t="n">
        <v>98979</v>
      </c>
      <c r="J402" s="29" t="n">
        <v>45741</v>
      </c>
      <c r="K402" s="31" t="n">
        <v>3715</v>
      </c>
      <c r="L402" s="30" t="s">
        <v>31</v>
      </c>
      <c r="M402" s="10" t="n">
        <v>4</v>
      </c>
      <c r="N402" s="12" t="n">
        <v>19690</v>
      </c>
      <c r="O402" s="13" t="n">
        <v>0.198932551752455</v>
      </c>
      <c r="P402" s="15" t="n">
        <v>0.296438189642073</v>
      </c>
      <c r="Q402" s="13" t="n">
        <v>-0.0284796110038827</v>
      </c>
      <c r="R402" s="15" t="n">
        <v>0.136029411764706</v>
      </c>
      <c r="S402" s="32" t="n">
        <v>34943175390</v>
      </c>
      <c r="T402" s="15" t="n">
        <v>0.08994708994709</v>
      </c>
      <c r="U402" s="32" t="n">
        <v>5417943659</v>
      </c>
      <c r="V402" s="14" t="n">
        <v>5.66039400868145</v>
      </c>
      <c r="W402" s="13" t="n">
        <v>0.136029411764706</v>
      </c>
      <c r="X402" s="15" t="n">
        <v>0.0323624595469256</v>
      </c>
      <c r="Y402" s="13" t="n">
        <v>0.00623196061768372</v>
      </c>
      <c r="Z402" s="13" t="n">
        <v>0.0208946644814005</v>
      </c>
      <c r="AA402" s="30" t="s">
        <v>97</v>
      </c>
      <c r="AB402" s="28" t="s">
        <v>93</v>
      </c>
      <c r="AC402" s="28" t="s">
        <v>102</v>
      </c>
      <c r="AD402" s="28" t="s">
        <v>107</v>
      </c>
      <c r="AE402" s="28" t="s">
        <v>101</v>
      </c>
      <c r="AF402" s="28" t="s">
        <v>119</v>
      </c>
      <c r="AG402" s="30" t="s">
        <v>122</v>
      </c>
    </row>
    <row r="403" customFormat="false" ht="15" hidden="false" customHeight="false" outlineLevel="0" collapsed="false">
      <c r="A403" s="10" t="n">
        <v>2025</v>
      </c>
      <c r="B403" s="28" t="s">
        <v>65</v>
      </c>
      <c r="C403" s="29" t="n">
        <v>45737</v>
      </c>
      <c r="D403" s="30" t="s">
        <v>129</v>
      </c>
      <c r="E403" s="28" t="s">
        <v>713</v>
      </c>
      <c r="F403" s="30" t="s">
        <v>714</v>
      </c>
      <c r="G403" s="31" t="n">
        <v>13493</v>
      </c>
      <c r="H403" s="31" t="n">
        <v>7</v>
      </c>
      <c r="I403" s="31" t="n">
        <v>94454</v>
      </c>
      <c r="J403" s="29" t="n">
        <v>45741</v>
      </c>
      <c r="K403" s="31" t="n">
        <v>12837</v>
      </c>
      <c r="L403" s="30" t="s">
        <v>32</v>
      </c>
      <c r="M403" s="10" t="n">
        <v>2</v>
      </c>
      <c r="N403" s="12" t="n">
        <v>-4757</v>
      </c>
      <c r="O403" s="13" t="n">
        <v>-0.050360271738647</v>
      </c>
      <c r="P403" s="15" t="n">
        <v>0.0160462682717877</v>
      </c>
      <c r="Q403" s="13" t="n">
        <v>-0.0632512887705764</v>
      </c>
      <c r="R403" s="15" t="n">
        <v>0.0986145069274653</v>
      </c>
      <c r="S403" s="32" t="n">
        <v>156503905360</v>
      </c>
      <c r="T403" s="15" t="n">
        <v>0.0986145069274653</v>
      </c>
      <c r="U403" s="32" t="n">
        <v>10909914296</v>
      </c>
      <c r="V403" s="14" t="n">
        <v>12.2224370988456</v>
      </c>
      <c r="W403" s="13" t="n">
        <v>0.0932684509326844</v>
      </c>
      <c r="X403" s="15" t="n">
        <v>0.0497032640949555</v>
      </c>
      <c r="Y403" s="13" t="n">
        <v>0.00228660270751968</v>
      </c>
      <c r="Z403" s="13" t="n">
        <v>0.0299139637463177</v>
      </c>
      <c r="AA403" s="30" t="s">
        <v>97</v>
      </c>
      <c r="AB403" s="28" t="s">
        <v>93</v>
      </c>
      <c r="AC403" s="28" t="s">
        <v>101</v>
      </c>
      <c r="AD403" s="28" t="s">
        <v>109</v>
      </c>
      <c r="AE403" s="28" t="s">
        <v>101</v>
      </c>
      <c r="AF403" s="28" t="s">
        <v>120</v>
      </c>
      <c r="AG403" s="30" t="s">
        <v>122</v>
      </c>
    </row>
    <row r="404" customFormat="false" ht="15" hidden="false" customHeight="false" outlineLevel="0" collapsed="false">
      <c r="A404" s="10" t="n">
        <v>2025</v>
      </c>
      <c r="B404" s="28" t="s">
        <v>65</v>
      </c>
      <c r="C404" s="29" t="n">
        <v>45737</v>
      </c>
      <c r="D404" s="30" t="s">
        <v>129</v>
      </c>
      <c r="E404" s="28" t="s">
        <v>303</v>
      </c>
      <c r="F404" s="30" t="s">
        <v>304</v>
      </c>
      <c r="G404" s="31" t="n">
        <v>10977</v>
      </c>
      <c r="H404" s="31" t="n">
        <v>9</v>
      </c>
      <c r="I404" s="31" t="n">
        <v>98793</v>
      </c>
      <c r="J404" s="29" t="n">
        <v>45743</v>
      </c>
      <c r="K404" s="31" t="n">
        <v>10450</v>
      </c>
      <c r="L404" s="30" t="s">
        <v>32</v>
      </c>
      <c r="M404" s="10" t="n">
        <v>4</v>
      </c>
      <c r="N404" s="12" t="n">
        <v>-4918</v>
      </c>
      <c r="O404" s="13" t="n">
        <v>-0.0497759013062848</v>
      </c>
      <c r="P404" s="15" t="n">
        <v>0.122790253225036</v>
      </c>
      <c r="Q404" s="13" t="n">
        <v>-0.0618077574599313</v>
      </c>
      <c r="R404" s="15" t="n">
        <v>0.193565127140633</v>
      </c>
      <c r="S404" s="32" t="n">
        <v>156037934000</v>
      </c>
      <c r="T404" s="15" t="n">
        <v>0.0526315789473686</v>
      </c>
      <c r="U404" s="32" t="n">
        <v>10160067728</v>
      </c>
      <c r="V404" s="14" t="n">
        <v>13.4441735278754</v>
      </c>
      <c r="W404" s="13" t="n">
        <v>0.191709844559586</v>
      </c>
      <c r="X404" s="15" t="n">
        <v>0.0782608695652174</v>
      </c>
      <c r="Y404" s="13" t="n">
        <v>0.00228660270751968</v>
      </c>
      <c r="Z404" s="13" t="n">
        <v>0.0299139637463177</v>
      </c>
      <c r="AA404" s="30" t="s">
        <v>97</v>
      </c>
      <c r="AB404" s="28" t="s">
        <v>93</v>
      </c>
      <c r="AC404" s="28" t="s">
        <v>103</v>
      </c>
      <c r="AD404" s="28" t="s">
        <v>109</v>
      </c>
      <c r="AE404" s="28" t="s">
        <v>101</v>
      </c>
      <c r="AF404" s="28" t="s">
        <v>120</v>
      </c>
      <c r="AG404" s="30" t="s">
        <v>122</v>
      </c>
    </row>
    <row r="405" customFormat="false" ht="15" hidden="false" customHeight="false" outlineLevel="0" collapsed="false">
      <c r="A405" s="10" t="n">
        <v>2025</v>
      </c>
      <c r="B405" s="28" t="s">
        <v>65</v>
      </c>
      <c r="C405" s="29" t="n">
        <v>45737</v>
      </c>
      <c r="D405" s="30" t="s">
        <v>129</v>
      </c>
      <c r="E405" s="28" t="s">
        <v>407</v>
      </c>
      <c r="F405" s="30" t="s">
        <v>408</v>
      </c>
      <c r="G405" s="31" t="n">
        <v>47848</v>
      </c>
      <c r="H405" s="31" t="n">
        <v>2</v>
      </c>
      <c r="I405" s="31" t="n">
        <v>95696</v>
      </c>
      <c r="J405" s="29" t="n">
        <v>45754</v>
      </c>
      <c r="K405" s="31" t="n">
        <v>44955</v>
      </c>
      <c r="L405" s="30" t="s">
        <v>32</v>
      </c>
      <c r="M405" s="10" t="n">
        <v>11</v>
      </c>
      <c r="N405" s="12" t="n">
        <v>-5948</v>
      </c>
      <c r="O405" s="13" t="n">
        <v>-0.0621586137711659</v>
      </c>
      <c r="P405" s="15" t="n">
        <v>0.02512550211295</v>
      </c>
      <c r="Q405" s="13" t="n">
        <v>-0.0772825500858972</v>
      </c>
      <c r="R405" s="15" t="n">
        <v>0.00525762355415349</v>
      </c>
      <c r="S405" s="32" t="n">
        <v>83785369600</v>
      </c>
      <c r="T405" s="15" t="n">
        <v>0.00314795383001054</v>
      </c>
      <c r="U405" s="32" t="n">
        <v>75948727130</v>
      </c>
      <c r="V405" s="14" t="n">
        <v>1.07038704459612</v>
      </c>
      <c r="W405" s="13" t="n">
        <v>0.0202774813233724</v>
      </c>
      <c r="X405" s="15" t="n">
        <v>0.006276150627615</v>
      </c>
      <c r="Y405" s="13" t="n">
        <v>0.00228660270751968</v>
      </c>
      <c r="Z405" s="13" t="n">
        <v>0.0299139637463177</v>
      </c>
      <c r="AA405" s="30" t="s">
        <v>97</v>
      </c>
      <c r="AB405" s="28" t="s">
        <v>93</v>
      </c>
      <c r="AC405" s="28" t="s">
        <v>99</v>
      </c>
      <c r="AD405" s="28" t="s">
        <v>108</v>
      </c>
      <c r="AE405" s="28" t="s">
        <v>112</v>
      </c>
      <c r="AF405" s="28" t="s">
        <v>116</v>
      </c>
      <c r="AG405" s="30" t="s">
        <v>122</v>
      </c>
    </row>
    <row r="406" customFormat="false" ht="15" hidden="false" customHeight="false" outlineLevel="0" collapsed="false">
      <c r="A406" s="10" t="n">
        <v>2025</v>
      </c>
      <c r="B406" s="28" t="s">
        <v>65</v>
      </c>
      <c r="C406" s="29" t="n">
        <v>45741</v>
      </c>
      <c r="D406" s="30" t="s">
        <v>126</v>
      </c>
      <c r="E406" s="28" t="s">
        <v>401</v>
      </c>
      <c r="F406" s="30" t="s">
        <v>402</v>
      </c>
      <c r="G406" s="31" t="n">
        <v>62663</v>
      </c>
      <c r="H406" s="31" t="n">
        <v>1</v>
      </c>
      <c r="I406" s="31" t="n">
        <v>62663</v>
      </c>
      <c r="J406" s="29" t="n">
        <v>45747</v>
      </c>
      <c r="K406" s="31" t="n">
        <v>59640</v>
      </c>
      <c r="L406" s="30" t="s">
        <v>32</v>
      </c>
      <c r="M406" s="10" t="n">
        <v>4</v>
      </c>
      <c r="N406" s="12" t="n">
        <v>-3130</v>
      </c>
      <c r="O406" s="13" t="n">
        <v>-0.04995173971396</v>
      </c>
      <c r="P406" s="15" t="n">
        <v>0.00857608844829305</v>
      </c>
      <c r="Q406" s="13" t="n">
        <v>-0.0536619929591174</v>
      </c>
      <c r="R406" s="15" t="n">
        <v>0.00160000000000005</v>
      </c>
      <c r="S406" s="32" t="n">
        <v>29261243200</v>
      </c>
      <c r="T406" s="15" t="n">
        <v>0.00160000000000005</v>
      </c>
      <c r="U406" s="32" t="n">
        <v>59385381935</v>
      </c>
      <c r="V406" s="14" t="n">
        <v>0.477896011058129</v>
      </c>
      <c r="W406" s="13" t="n">
        <v>0.00967741935483879</v>
      </c>
      <c r="X406" s="15" t="n">
        <v>0</v>
      </c>
      <c r="Y406" s="13" t="n">
        <v>-0.00617764725102299</v>
      </c>
      <c r="Z406" s="13" t="n">
        <v>0.00132831101617703</v>
      </c>
      <c r="AA406" s="30" t="s">
        <v>97</v>
      </c>
      <c r="AB406" s="28" t="s">
        <v>93</v>
      </c>
      <c r="AC406" s="28" t="s">
        <v>99</v>
      </c>
      <c r="AD406" s="28" t="s">
        <v>106</v>
      </c>
      <c r="AE406" s="28" t="s">
        <v>112</v>
      </c>
      <c r="AF406" s="28" t="s">
        <v>116</v>
      </c>
      <c r="AG406" s="30" t="s">
        <v>122</v>
      </c>
    </row>
    <row r="407" customFormat="false" ht="15" hidden="false" customHeight="false" outlineLevel="0" collapsed="false">
      <c r="A407" s="10" t="n">
        <v>2025</v>
      </c>
      <c r="B407" s="28" t="s">
        <v>65</v>
      </c>
      <c r="C407" s="29" t="n">
        <v>45742</v>
      </c>
      <c r="D407" s="30" t="s">
        <v>127</v>
      </c>
      <c r="E407" s="28" t="s">
        <v>609</v>
      </c>
      <c r="F407" s="28" t="s">
        <v>610</v>
      </c>
      <c r="G407" s="31" t="n">
        <v>84885</v>
      </c>
      <c r="H407" s="31" t="n">
        <v>1</v>
      </c>
      <c r="I407" s="31" t="n">
        <v>84885</v>
      </c>
      <c r="J407" s="29" t="n">
        <v>45744</v>
      </c>
      <c r="K407" s="31" t="n">
        <v>80719</v>
      </c>
      <c r="L407" s="30" t="s">
        <v>32</v>
      </c>
      <c r="M407" s="10" t="n">
        <v>2</v>
      </c>
      <c r="N407" s="12" t="n">
        <v>-4312</v>
      </c>
      <c r="O407" s="13" t="n">
        <v>-0.0507925965543891</v>
      </c>
      <c r="P407" s="15" t="n">
        <v>-0.0116016059412285</v>
      </c>
      <c r="Q407" s="13" t="n">
        <v>-0.0622584962207603</v>
      </c>
      <c r="R407" s="15" t="n">
        <v>0.0241545893719808</v>
      </c>
      <c r="S407" s="32" t="n">
        <v>61988800000</v>
      </c>
      <c r="T407" s="15" t="n">
        <v>0.0167865707434052</v>
      </c>
      <c r="U407" s="32" t="n">
        <v>45306255670</v>
      </c>
      <c r="V407" s="14" t="n">
        <v>1.30733074537883</v>
      </c>
      <c r="W407" s="13" t="n">
        <v>0.0131421744324971</v>
      </c>
      <c r="X407" s="15" t="n">
        <v>0.00707547169811318</v>
      </c>
      <c r="Y407" s="13" t="n">
        <v>0.0107538391549846</v>
      </c>
      <c r="Z407" s="13" t="n">
        <v>0.00582815317543051</v>
      </c>
      <c r="AA407" s="30" t="s">
        <v>97</v>
      </c>
      <c r="AB407" s="28" t="s">
        <v>93</v>
      </c>
      <c r="AC407" s="28" t="s">
        <v>99</v>
      </c>
      <c r="AD407" s="28" t="s">
        <v>108</v>
      </c>
      <c r="AE407" s="28" t="s">
        <v>112</v>
      </c>
      <c r="AF407" s="28" t="s">
        <v>116</v>
      </c>
      <c r="AG407" s="30" t="s">
        <v>122</v>
      </c>
    </row>
    <row r="408" customFormat="false" ht="15" hidden="false" customHeight="false" outlineLevel="0" collapsed="false">
      <c r="A408" s="10" t="n">
        <v>2025</v>
      </c>
      <c r="B408" s="28" t="s">
        <v>65</v>
      </c>
      <c r="C408" s="29" t="n">
        <v>45743</v>
      </c>
      <c r="D408" s="30" t="s">
        <v>128</v>
      </c>
      <c r="E408" s="28" t="s">
        <v>269</v>
      </c>
      <c r="F408" s="30" t="s">
        <v>270</v>
      </c>
      <c r="G408" s="31" t="n">
        <v>12983</v>
      </c>
      <c r="H408" s="31" t="n">
        <v>7</v>
      </c>
      <c r="I408" s="31" t="n">
        <v>90881</v>
      </c>
      <c r="J408" s="29" t="n">
        <v>45744</v>
      </c>
      <c r="K408" s="31" t="n">
        <v>12358</v>
      </c>
      <c r="L408" s="30" t="s">
        <v>32</v>
      </c>
      <c r="M408" s="10" t="n">
        <v>1</v>
      </c>
      <c r="N408" s="12" t="n">
        <v>-4534</v>
      </c>
      <c r="O408" s="13" t="n">
        <v>-0.049886700423709</v>
      </c>
      <c r="P408" s="15" t="n">
        <v>-0.0140930773158992</v>
      </c>
      <c r="Q408" s="13" t="n">
        <v>-0.0749420202003085</v>
      </c>
      <c r="R408" s="15" t="n">
        <v>0.162186379928315</v>
      </c>
      <c r="S408" s="32" t="n">
        <v>108604774890</v>
      </c>
      <c r="T408" s="15" t="n">
        <v>0.0570497147514262</v>
      </c>
      <c r="U408" s="32" t="n">
        <v>5890467620.5</v>
      </c>
      <c r="V408" s="14" t="n">
        <v>16.5828687751021</v>
      </c>
      <c r="W408" s="13" t="n">
        <v>0.158035714285714</v>
      </c>
      <c r="X408" s="15" t="n">
        <v>0.0331534309946029</v>
      </c>
      <c r="Y408" s="13" t="n">
        <v>-0.0139148392172288</v>
      </c>
      <c r="Z408" s="13" t="n">
        <v>-0.0113571726517765</v>
      </c>
      <c r="AA408" s="30" t="s">
        <v>97</v>
      </c>
      <c r="AB408" s="28" t="s">
        <v>94</v>
      </c>
      <c r="AC408" s="28" t="s">
        <v>103</v>
      </c>
      <c r="AD408" s="28" t="s">
        <v>109</v>
      </c>
      <c r="AE408" s="28" t="s">
        <v>101</v>
      </c>
      <c r="AF408" s="28" t="s">
        <v>120</v>
      </c>
      <c r="AG408" s="30" t="s">
        <v>122</v>
      </c>
    </row>
    <row r="409" customFormat="false" ht="15" hidden="false" customHeight="false" outlineLevel="0" collapsed="false">
      <c r="A409" s="10" t="n">
        <v>2025</v>
      </c>
      <c r="B409" s="28" t="s">
        <v>65</v>
      </c>
      <c r="C409" s="29" t="n">
        <v>45743</v>
      </c>
      <c r="D409" s="30" t="s">
        <v>128</v>
      </c>
      <c r="E409" s="28" t="s">
        <v>715</v>
      </c>
      <c r="F409" s="30" t="s">
        <v>716</v>
      </c>
      <c r="G409" s="31" t="n">
        <v>12002</v>
      </c>
      <c r="H409" s="31" t="n">
        <v>8</v>
      </c>
      <c r="I409" s="31" t="n">
        <v>96016</v>
      </c>
      <c r="J409" s="29" t="n">
        <v>45748</v>
      </c>
      <c r="K409" s="31" t="n">
        <v>14410</v>
      </c>
      <c r="L409" s="30" t="s">
        <v>31</v>
      </c>
      <c r="M409" s="10" t="n">
        <v>3</v>
      </c>
      <c r="N409" s="12" t="n">
        <v>19059</v>
      </c>
      <c r="O409" s="13" t="n">
        <v>0.198503181680705</v>
      </c>
      <c r="P409" s="15" t="n">
        <v>0.257291499159723</v>
      </c>
      <c r="Q409" s="13" t="n">
        <v>0.00150058448640622</v>
      </c>
      <c r="R409" s="15" t="n">
        <v>0.0336206896551725</v>
      </c>
      <c r="S409" s="32" t="n">
        <v>31069890830</v>
      </c>
      <c r="T409" s="15" t="n">
        <v>0.0291845493562233</v>
      </c>
      <c r="U409" s="32" t="n">
        <v>5420060929.5</v>
      </c>
      <c r="V409" s="14" t="n">
        <v>5.52751500762847</v>
      </c>
      <c r="W409" s="13" t="n">
        <v>0.00250836120401332</v>
      </c>
      <c r="X409" s="15" t="n">
        <v>0.0992493744787322</v>
      </c>
      <c r="Y409" s="13" t="n">
        <v>-0.0139148392172288</v>
      </c>
      <c r="Z409" s="13" t="n">
        <v>-0.0113571726517765</v>
      </c>
      <c r="AA409" s="30" t="s">
        <v>97</v>
      </c>
      <c r="AB409" s="28" t="s">
        <v>94</v>
      </c>
      <c r="AC409" s="28" t="s">
        <v>100</v>
      </c>
      <c r="AD409" s="28" t="s">
        <v>107</v>
      </c>
      <c r="AE409" s="28" t="s">
        <v>113</v>
      </c>
      <c r="AF409" s="28" t="s">
        <v>119</v>
      </c>
      <c r="AG409" s="30" t="s">
        <v>122</v>
      </c>
    </row>
    <row r="410" customFormat="false" ht="15" hidden="false" customHeight="false" outlineLevel="0" collapsed="false">
      <c r="A410" s="10" t="n">
        <v>2025</v>
      </c>
      <c r="B410" s="28" t="s">
        <v>65</v>
      </c>
      <c r="C410" s="29" t="n">
        <v>45747</v>
      </c>
      <c r="D410" s="30" t="s">
        <v>125</v>
      </c>
      <c r="E410" s="28" t="s">
        <v>717</v>
      </c>
      <c r="F410" s="30" t="s">
        <v>718</v>
      </c>
      <c r="G410" s="31" t="n">
        <v>35986</v>
      </c>
      <c r="H410" s="31" t="n">
        <v>2</v>
      </c>
      <c r="I410" s="31" t="n">
        <v>71972</v>
      </c>
      <c r="J410" s="29" t="n">
        <v>45754</v>
      </c>
      <c r="K410" s="31" t="n">
        <v>34216</v>
      </c>
      <c r="L410" s="30" t="s">
        <v>32</v>
      </c>
      <c r="M410" s="10" t="n">
        <v>5</v>
      </c>
      <c r="N410" s="12" t="n">
        <v>-3664</v>
      </c>
      <c r="O410" s="13" t="n">
        <v>-0.0509102546966246</v>
      </c>
      <c r="P410" s="15" t="n">
        <v>0.0142847416839074</v>
      </c>
      <c r="Q410" s="13" t="n">
        <v>-0.056576247118667</v>
      </c>
      <c r="R410" s="15" t="n">
        <v>0.0360230547550433</v>
      </c>
      <c r="S410" s="32" t="n">
        <v>56216417050</v>
      </c>
      <c r="T410" s="15" t="n">
        <v>0.00139275766016711</v>
      </c>
      <c r="U410" s="32" t="n">
        <v>26342344560</v>
      </c>
      <c r="V410" s="14" t="n">
        <v>2.02309128323238</v>
      </c>
      <c r="W410" s="13" t="n">
        <v>0.0405209840810419</v>
      </c>
      <c r="X410" s="15" t="n">
        <v>0.00695410292072318</v>
      </c>
      <c r="Y410" s="13" t="n">
        <v>-0.0300471465765957</v>
      </c>
      <c r="Z410" s="13" t="n">
        <v>-0.0573502984343123</v>
      </c>
      <c r="AA410" s="30" t="s">
        <v>96</v>
      </c>
      <c r="AB410" s="28" t="s">
        <v>94</v>
      </c>
      <c r="AC410" s="28" t="s">
        <v>100</v>
      </c>
      <c r="AD410" s="28" t="s">
        <v>108</v>
      </c>
      <c r="AE410" s="28" t="s">
        <v>112</v>
      </c>
      <c r="AF410" s="28" t="s">
        <v>117</v>
      </c>
      <c r="AG410" s="30" t="s">
        <v>122</v>
      </c>
    </row>
    <row r="411" customFormat="false" ht="15" hidden="false" customHeight="false" outlineLevel="0" collapsed="false">
      <c r="A411" s="10" t="n">
        <v>2025</v>
      </c>
      <c r="B411" s="28" t="s">
        <v>66</v>
      </c>
      <c r="C411" s="29" t="n">
        <v>45749</v>
      </c>
      <c r="D411" s="30" t="s">
        <v>127</v>
      </c>
      <c r="E411" s="28" t="s">
        <v>719</v>
      </c>
      <c r="F411" s="30" t="s">
        <v>720</v>
      </c>
      <c r="G411" s="31" t="n">
        <v>72372</v>
      </c>
      <c r="H411" s="31" t="n">
        <v>1</v>
      </c>
      <c r="I411" s="31" t="n">
        <v>72372</v>
      </c>
      <c r="J411" s="29" t="n">
        <v>45750</v>
      </c>
      <c r="K411" s="31" t="n">
        <v>86900</v>
      </c>
      <c r="L411" s="30" t="s">
        <v>31</v>
      </c>
      <c r="M411" s="10" t="n">
        <v>1</v>
      </c>
      <c r="N411" s="12" t="n">
        <v>14373</v>
      </c>
      <c r="O411" s="13" t="n">
        <v>0.198604426762726</v>
      </c>
      <c r="P411" s="15" t="n">
        <v>0.285022031909999</v>
      </c>
      <c r="Q411" s="13" t="n">
        <v>0.0639429726566658</v>
      </c>
      <c r="R411" s="15" t="n">
        <v>0.171799027552674</v>
      </c>
      <c r="S411" s="32" t="n">
        <v>92677176600</v>
      </c>
      <c r="T411" s="15" t="n">
        <v>0.0711111111111111</v>
      </c>
      <c r="U411" s="32" t="n">
        <v>14601074530</v>
      </c>
      <c r="V411" s="14" t="n">
        <v>5.60143540272599</v>
      </c>
      <c r="W411" s="13" t="n">
        <v>-0.0754475703324808</v>
      </c>
      <c r="X411" s="15" t="n">
        <v>0.0940525587828494</v>
      </c>
      <c r="Y411" s="13" t="n">
        <v>-0.0061593010204688</v>
      </c>
      <c r="Z411" s="13" t="n">
        <v>-0.0522250883151659</v>
      </c>
      <c r="AA411" s="30" t="s">
        <v>96</v>
      </c>
      <c r="AB411" s="28" t="s">
        <v>94</v>
      </c>
      <c r="AC411" s="28" t="s">
        <v>103</v>
      </c>
      <c r="AD411" s="28" t="s">
        <v>108</v>
      </c>
      <c r="AE411" s="28" t="s">
        <v>101</v>
      </c>
      <c r="AF411" s="28" t="s">
        <v>119</v>
      </c>
      <c r="AG411" s="30" t="s">
        <v>123</v>
      </c>
    </row>
    <row r="412" customFormat="false" ht="15" hidden="false" customHeight="false" outlineLevel="0" collapsed="false">
      <c r="A412" s="10" t="n">
        <v>2025</v>
      </c>
      <c r="B412" s="28" t="s">
        <v>66</v>
      </c>
      <c r="C412" s="29" t="n">
        <v>45750</v>
      </c>
      <c r="D412" s="30" t="s">
        <v>128</v>
      </c>
      <c r="E412" s="28" t="s">
        <v>721</v>
      </c>
      <c r="F412" s="30" t="s">
        <v>722</v>
      </c>
      <c r="G412" s="31" t="n">
        <v>16567</v>
      </c>
      <c r="H412" s="31" t="n">
        <v>6</v>
      </c>
      <c r="I412" s="31" t="n">
        <v>99399</v>
      </c>
      <c r="J412" s="29" t="n">
        <v>45771</v>
      </c>
      <c r="K412" s="31" t="n">
        <v>19880</v>
      </c>
      <c r="L412" s="30" t="s">
        <v>31</v>
      </c>
      <c r="M412" s="10" t="n">
        <v>15</v>
      </c>
      <c r="N412" s="12" t="n">
        <v>19669</v>
      </c>
      <c r="O412" s="13" t="n">
        <v>0.197878436819978</v>
      </c>
      <c r="P412" s="15" t="n">
        <v>0.225360741977056</v>
      </c>
      <c r="Q412" s="13" t="n">
        <v>-0.0468745755754819</v>
      </c>
      <c r="R412" s="15" t="n">
        <v>0.0852459016393443</v>
      </c>
      <c r="S412" s="32" t="n">
        <v>30436476100</v>
      </c>
      <c r="T412" s="15" t="n">
        <v>0.021604938271605</v>
      </c>
      <c r="U412" s="32" t="n">
        <v>9783411614</v>
      </c>
      <c r="V412" s="14" t="n">
        <v>2.84666541184396</v>
      </c>
      <c r="W412" s="13" t="n">
        <v>0.101864181091877</v>
      </c>
      <c r="X412" s="15" t="n">
        <v>0</v>
      </c>
      <c r="Y412" s="13" t="n">
        <v>-0.00764607759411951</v>
      </c>
      <c r="Z412" s="13" t="n">
        <v>-0.0461998734250044</v>
      </c>
      <c r="AA412" s="30" t="s">
        <v>96</v>
      </c>
      <c r="AB412" s="28" t="s">
        <v>94</v>
      </c>
      <c r="AC412" s="28" t="s">
        <v>101</v>
      </c>
      <c r="AD412" s="28" t="s">
        <v>107</v>
      </c>
      <c r="AE412" s="28" t="s">
        <v>113</v>
      </c>
      <c r="AF412" s="28" t="s">
        <v>117</v>
      </c>
      <c r="AG412" s="30" t="s">
        <v>122</v>
      </c>
    </row>
    <row r="413" customFormat="false" ht="15" hidden="false" customHeight="false" outlineLevel="0" collapsed="false">
      <c r="A413" s="10" t="n">
        <v>2025</v>
      </c>
      <c r="B413" s="28" t="s">
        <v>66</v>
      </c>
      <c r="C413" s="29" t="n">
        <v>45751</v>
      </c>
      <c r="D413" s="30" t="s">
        <v>129</v>
      </c>
      <c r="E413" s="28" t="s">
        <v>723</v>
      </c>
      <c r="F413" s="30" t="s">
        <v>724</v>
      </c>
      <c r="G413" s="31" t="n">
        <v>1777</v>
      </c>
      <c r="H413" s="31" t="n">
        <v>56</v>
      </c>
      <c r="I413" s="31" t="n">
        <v>99499</v>
      </c>
      <c r="J413" s="29" t="n">
        <v>45755</v>
      </c>
      <c r="K413" s="31" t="n">
        <v>2135</v>
      </c>
      <c r="L413" s="30" t="s">
        <v>31</v>
      </c>
      <c r="M413" s="10" t="n">
        <v>2</v>
      </c>
      <c r="N413" s="12" t="n">
        <v>19848</v>
      </c>
      <c r="O413" s="13" t="n">
        <v>0.199482620900227</v>
      </c>
      <c r="P413" s="15" t="n">
        <v>0.395787311280269</v>
      </c>
      <c r="Q413" s="13" t="n">
        <v>-0.0105668978908415</v>
      </c>
      <c r="R413" s="15" t="n">
        <v>0.249120337790289</v>
      </c>
      <c r="S413" s="32" t="n">
        <v>74264297775</v>
      </c>
      <c r="T413" s="15" t="n">
        <v>0.210777626193724</v>
      </c>
      <c r="U413" s="32" t="n">
        <v>3701836272.9</v>
      </c>
      <c r="V413" s="14" t="n">
        <v>15.9389552213475</v>
      </c>
      <c r="W413" s="13" t="n">
        <v>0.241258741258741</v>
      </c>
      <c r="X413" s="15" t="n">
        <v>0.0152112676056337</v>
      </c>
      <c r="Y413" s="13" t="n">
        <v>-0.00855752603852489</v>
      </c>
      <c r="Z413" s="13" t="n">
        <v>-0.0361848020703837</v>
      </c>
      <c r="AA413" s="30" t="s">
        <v>96</v>
      </c>
      <c r="AB413" s="28" t="s">
        <v>94</v>
      </c>
      <c r="AC413" s="28" t="s">
        <v>104</v>
      </c>
      <c r="AD413" s="28" t="s">
        <v>108</v>
      </c>
      <c r="AE413" s="28" t="s">
        <v>114</v>
      </c>
      <c r="AF413" s="28" t="s">
        <v>120</v>
      </c>
      <c r="AG413" s="30" t="s">
        <v>122</v>
      </c>
    </row>
    <row r="414" customFormat="false" ht="15" hidden="false" customHeight="false" outlineLevel="0" collapsed="false">
      <c r="A414" s="10" t="n">
        <v>2025</v>
      </c>
      <c r="B414" s="28" t="s">
        <v>66</v>
      </c>
      <c r="C414" s="29" t="n">
        <v>45751</v>
      </c>
      <c r="D414" s="30" t="s">
        <v>129</v>
      </c>
      <c r="E414" s="28" t="s">
        <v>725</v>
      </c>
      <c r="F414" s="30" t="s">
        <v>726</v>
      </c>
      <c r="G414" s="31" t="n">
        <v>2217</v>
      </c>
      <c r="H414" s="31" t="n">
        <v>44</v>
      </c>
      <c r="I414" s="31" t="n">
        <v>97557</v>
      </c>
      <c r="J414" s="29" t="n">
        <v>45779</v>
      </c>
      <c r="K414" s="31" t="n">
        <v>2108</v>
      </c>
      <c r="L414" s="30" t="s">
        <v>32</v>
      </c>
      <c r="M414" s="10" t="n">
        <v>19</v>
      </c>
      <c r="N414" s="12" t="n">
        <v>-4978</v>
      </c>
      <c r="O414" s="13" t="n">
        <v>-0.0510259946599677</v>
      </c>
      <c r="P414" s="15" t="n">
        <v>0.111755062093663</v>
      </c>
      <c r="Q414" s="13" t="n">
        <v>-0.0596311138071859</v>
      </c>
      <c r="R414" s="15" t="n">
        <v>0.075242718446602</v>
      </c>
      <c r="S414" s="32" t="n">
        <v>48599948490</v>
      </c>
      <c r="T414" s="15" t="n">
        <v>0.075242718446602</v>
      </c>
      <c r="U414" s="32" t="n">
        <v>6389884221.85</v>
      </c>
      <c r="V414" s="14" t="n">
        <v>6.89029578975002</v>
      </c>
      <c r="W414" s="13" t="n">
        <v>0.075242718446602</v>
      </c>
      <c r="X414" s="15" t="n">
        <v>0.0451467268623025</v>
      </c>
      <c r="Y414" s="13" t="n">
        <v>-0.00855752603852489</v>
      </c>
      <c r="Z414" s="13" t="n">
        <v>-0.0361848020703837</v>
      </c>
      <c r="AA414" s="30" t="s">
        <v>96</v>
      </c>
      <c r="AB414" s="28" t="s">
        <v>94</v>
      </c>
      <c r="AC414" s="28" t="s">
        <v>101</v>
      </c>
      <c r="AD414" s="28" t="s">
        <v>107</v>
      </c>
      <c r="AE414" s="28" t="s">
        <v>101</v>
      </c>
      <c r="AF414" s="28" t="s">
        <v>119</v>
      </c>
      <c r="AG414" s="30" t="s">
        <v>122</v>
      </c>
    </row>
    <row r="415" customFormat="false" ht="15" hidden="false" customHeight="false" outlineLevel="0" collapsed="false">
      <c r="A415" s="10" t="n">
        <v>2025</v>
      </c>
      <c r="B415" s="28" t="s">
        <v>66</v>
      </c>
      <c r="C415" s="29" t="n">
        <v>45754</v>
      </c>
      <c r="D415" s="30" t="s">
        <v>125</v>
      </c>
      <c r="E415" s="28" t="s">
        <v>191</v>
      </c>
      <c r="F415" s="30" t="s">
        <v>192</v>
      </c>
      <c r="G415" s="31" t="n">
        <v>28478</v>
      </c>
      <c r="H415" s="31" t="n">
        <v>3</v>
      </c>
      <c r="I415" s="31" t="n">
        <v>85435</v>
      </c>
      <c r="J415" s="29" t="n">
        <v>45758</v>
      </c>
      <c r="K415" s="31" t="n">
        <v>34200</v>
      </c>
      <c r="L415" s="30" t="s">
        <v>31</v>
      </c>
      <c r="M415" s="10" t="n">
        <v>4</v>
      </c>
      <c r="N415" s="12" t="n">
        <v>16983</v>
      </c>
      <c r="O415" s="13" t="n">
        <v>0.198776556747295</v>
      </c>
      <c r="P415" s="15" t="n">
        <v>0.22022090387644</v>
      </c>
      <c r="Q415" s="13" t="n">
        <v>-0.0132889957143032</v>
      </c>
      <c r="R415" s="15" t="n">
        <v>0.17319587628866</v>
      </c>
      <c r="S415" s="32" t="n">
        <v>82538400300</v>
      </c>
      <c r="T415" s="15" t="n">
        <v>0.122287968441815</v>
      </c>
      <c r="U415" s="32" t="n">
        <v>4686404462.5</v>
      </c>
      <c r="V415" s="14" t="n">
        <v>14.4113280849308</v>
      </c>
      <c r="W415" s="13" t="n">
        <v>0.182952182952183</v>
      </c>
      <c r="X415" s="15" t="n">
        <v>0.0597539543057997</v>
      </c>
      <c r="Y415" s="13" t="n">
        <v>-0.0556578595127809</v>
      </c>
      <c r="Z415" s="13" t="n">
        <v>-0.0616334558586446</v>
      </c>
      <c r="AA415" s="30" t="s">
        <v>96</v>
      </c>
      <c r="AB415" s="28" t="s">
        <v>94</v>
      </c>
      <c r="AC415" s="28" t="s">
        <v>103</v>
      </c>
      <c r="AD415" s="28" t="s">
        <v>108</v>
      </c>
      <c r="AE415" s="28" t="s">
        <v>114</v>
      </c>
      <c r="AF415" s="28" t="s">
        <v>120</v>
      </c>
      <c r="AG415" s="30" t="s">
        <v>122</v>
      </c>
    </row>
    <row r="416" customFormat="false" ht="15" hidden="false" customHeight="false" outlineLevel="0" collapsed="false">
      <c r="A416" s="10" t="n">
        <v>2025</v>
      </c>
      <c r="B416" s="28" t="s">
        <v>66</v>
      </c>
      <c r="C416" s="29" t="n">
        <v>45754</v>
      </c>
      <c r="D416" s="30" t="s">
        <v>125</v>
      </c>
      <c r="E416" s="28" t="s">
        <v>727</v>
      </c>
      <c r="F416" s="30" t="s">
        <v>728</v>
      </c>
      <c r="G416" s="31" t="n">
        <v>6006</v>
      </c>
      <c r="H416" s="31" t="n">
        <v>16</v>
      </c>
      <c r="I416" s="31" t="n">
        <v>96096</v>
      </c>
      <c r="J416" s="29" t="n">
        <v>45756</v>
      </c>
      <c r="K416" s="31" t="n">
        <v>7210</v>
      </c>
      <c r="L416" s="30" t="s">
        <v>31</v>
      </c>
      <c r="M416" s="10" t="n">
        <v>2</v>
      </c>
      <c r="N416" s="12" t="n">
        <v>19059</v>
      </c>
      <c r="O416" s="13" t="n">
        <v>0.198335431235431</v>
      </c>
      <c r="P416" s="15" t="n">
        <v>0.223776223776224</v>
      </c>
      <c r="Q416" s="13" t="n">
        <v>-0.0392940392940392</v>
      </c>
      <c r="R416" s="15" t="n">
        <v>0.111111111111111</v>
      </c>
      <c r="S416" s="32" t="n">
        <v>60339198000</v>
      </c>
      <c r="T416" s="15" t="n">
        <v>0.0657193605683837</v>
      </c>
      <c r="U416" s="32" t="n">
        <v>3732199322.25</v>
      </c>
      <c r="V416" s="14" t="n">
        <v>14.1179077628373</v>
      </c>
      <c r="W416" s="13" t="n">
        <v>-0.0491283676703646</v>
      </c>
      <c r="X416" s="15" t="n">
        <v>0.0733333333333333</v>
      </c>
      <c r="Y416" s="13" t="n">
        <v>-0.0556578595127809</v>
      </c>
      <c r="Z416" s="13" t="n">
        <v>-0.0616334558586446</v>
      </c>
      <c r="AA416" s="30" t="s">
        <v>96</v>
      </c>
      <c r="AB416" s="28" t="s">
        <v>94</v>
      </c>
      <c r="AC416" s="28" t="s">
        <v>102</v>
      </c>
      <c r="AD416" s="28" t="s">
        <v>108</v>
      </c>
      <c r="AE416" s="28" t="s">
        <v>101</v>
      </c>
      <c r="AF416" s="28" t="s">
        <v>120</v>
      </c>
      <c r="AG416" s="30" t="s">
        <v>123</v>
      </c>
    </row>
    <row r="417" customFormat="false" ht="15" hidden="false" customHeight="false" outlineLevel="0" collapsed="false">
      <c r="A417" s="10" t="n">
        <v>2025</v>
      </c>
      <c r="B417" s="28" t="s">
        <v>66</v>
      </c>
      <c r="C417" s="29" t="n">
        <v>45754</v>
      </c>
      <c r="D417" s="30" t="s">
        <v>125</v>
      </c>
      <c r="E417" s="28" t="s">
        <v>531</v>
      </c>
      <c r="F417" s="30" t="s">
        <v>532</v>
      </c>
      <c r="G417" s="31" t="n">
        <v>8348</v>
      </c>
      <c r="H417" s="31" t="n">
        <v>11</v>
      </c>
      <c r="I417" s="31" t="n">
        <v>91832</v>
      </c>
      <c r="J417" s="29" t="n">
        <v>45756</v>
      </c>
      <c r="K417" s="31" t="n">
        <v>7942</v>
      </c>
      <c r="L417" s="30" t="s">
        <v>32</v>
      </c>
      <c r="M417" s="10" t="n">
        <v>2</v>
      </c>
      <c r="N417" s="12" t="n">
        <v>-4627</v>
      </c>
      <c r="O417" s="13" t="n">
        <v>-0.0503868593636577</v>
      </c>
      <c r="P417" s="15" t="n">
        <v>0.0397276584326947</v>
      </c>
      <c r="Q417" s="13" t="n">
        <v>-0.0560997755242357</v>
      </c>
      <c r="R417" s="15" t="n">
        <v>0.0233128834355829</v>
      </c>
      <c r="S417" s="32" t="n">
        <v>21610182660</v>
      </c>
      <c r="T417" s="15" t="n">
        <v>0.0183150183150183</v>
      </c>
      <c r="U417" s="32" t="n">
        <v>3478482201.5</v>
      </c>
      <c r="V417" s="14" t="n">
        <v>5.82554736705909</v>
      </c>
      <c r="W417" s="13" t="n">
        <v>-0.0336037079953651</v>
      </c>
      <c r="X417" s="15" t="n">
        <v>0.0443645083932853</v>
      </c>
      <c r="Y417" s="13" t="n">
        <v>-0.0556578595127809</v>
      </c>
      <c r="Z417" s="13" t="n">
        <v>-0.0616334558586446</v>
      </c>
      <c r="AA417" s="30" t="s">
        <v>96</v>
      </c>
      <c r="AB417" s="28" t="s">
        <v>94</v>
      </c>
      <c r="AC417" s="28" t="s">
        <v>99</v>
      </c>
      <c r="AD417" s="28" t="s">
        <v>106</v>
      </c>
      <c r="AE417" s="28" t="s">
        <v>112</v>
      </c>
      <c r="AF417" s="28" t="s">
        <v>119</v>
      </c>
      <c r="AG417" s="30" t="s">
        <v>123</v>
      </c>
    </row>
    <row r="418" customFormat="false" ht="15" hidden="false" customHeight="false" outlineLevel="0" collapsed="false">
      <c r="A418" s="10" t="n">
        <v>2025</v>
      </c>
      <c r="B418" s="28" t="s">
        <v>66</v>
      </c>
      <c r="C418" s="29" t="n">
        <v>45755</v>
      </c>
      <c r="D418" s="30" t="s">
        <v>126</v>
      </c>
      <c r="E418" s="28" t="s">
        <v>729</v>
      </c>
      <c r="F418" s="28" t="s">
        <v>730</v>
      </c>
      <c r="G418" s="31" t="n">
        <v>5896</v>
      </c>
      <c r="H418" s="31" t="n">
        <v>16</v>
      </c>
      <c r="I418" s="31" t="n">
        <v>94334</v>
      </c>
      <c r="J418" s="29" t="n">
        <v>45761</v>
      </c>
      <c r="K418" s="31" t="n">
        <v>8410</v>
      </c>
      <c r="L418" s="30" t="s">
        <v>31</v>
      </c>
      <c r="M418" s="10" t="n">
        <v>4</v>
      </c>
      <c r="N418" s="12" t="n">
        <v>39990</v>
      </c>
      <c r="O418" s="13" t="n">
        <v>0.423913796984001</v>
      </c>
      <c r="P418" s="15" t="n">
        <v>0.426417385670357</v>
      </c>
      <c r="Q418" s="13" t="n">
        <v>-0.0145677751789806</v>
      </c>
      <c r="R418" s="15" t="n">
        <v>0.0847145488029466</v>
      </c>
      <c r="S418" s="32" t="n">
        <v>106266631970</v>
      </c>
      <c r="T418" s="15" t="n">
        <v>0.0574506283662477</v>
      </c>
      <c r="U418" s="32" t="n">
        <v>22930917924.25</v>
      </c>
      <c r="V418" s="14" t="n">
        <v>4.04052476444019</v>
      </c>
      <c r="W418" s="13" t="n">
        <v>0.107142857142857</v>
      </c>
      <c r="X418" s="15" t="n">
        <v>0.0577249575551784</v>
      </c>
      <c r="Y418" s="13" t="n">
        <v>0.00258998367837826</v>
      </c>
      <c r="Z418" s="13" t="n">
        <v>-0.0742288975525404</v>
      </c>
      <c r="AA418" s="30" t="s">
        <v>96</v>
      </c>
      <c r="AB418" s="28" t="s">
        <v>94</v>
      </c>
      <c r="AC418" s="28" t="s">
        <v>101</v>
      </c>
      <c r="AD418" s="28" t="s">
        <v>109</v>
      </c>
      <c r="AE418" s="28" t="s">
        <v>101</v>
      </c>
      <c r="AF418" s="28" t="s">
        <v>118</v>
      </c>
      <c r="AG418" s="30" t="s">
        <v>122</v>
      </c>
    </row>
    <row r="419" customFormat="false" ht="15" hidden="false" customHeight="false" outlineLevel="0" collapsed="false">
      <c r="A419" s="10" t="n">
        <v>2025</v>
      </c>
      <c r="B419" s="28" t="s">
        <v>66</v>
      </c>
      <c r="C419" s="29" t="n">
        <v>45756</v>
      </c>
      <c r="D419" s="30" t="s">
        <v>127</v>
      </c>
      <c r="E419" s="28" t="s">
        <v>669</v>
      </c>
      <c r="F419" s="30" t="s">
        <v>670</v>
      </c>
      <c r="G419" s="31" t="n">
        <v>19740</v>
      </c>
      <c r="H419" s="31" t="n">
        <v>5</v>
      </c>
      <c r="I419" s="31" t="n">
        <v>98699</v>
      </c>
      <c r="J419" s="29" t="n">
        <v>45761</v>
      </c>
      <c r="K419" s="31" t="n">
        <v>24400</v>
      </c>
      <c r="L419" s="30" t="s">
        <v>31</v>
      </c>
      <c r="M419" s="10" t="n">
        <v>3</v>
      </c>
      <c r="N419" s="12" t="n">
        <v>23085</v>
      </c>
      <c r="O419" s="13" t="n">
        <v>0.233896886176704</v>
      </c>
      <c r="P419" s="15" t="n">
        <v>0.317141276573326</v>
      </c>
      <c r="Q419" s="13" t="n">
        <v>0.00710648377991197</v>
      </c>
      <c r="R419" s="15" t="n">
        <v>0.0422832980972516</v>
      </c>
      <c r="S419" s="32" t="n">
        <v>26590645200</v>
      </c>
      <c r="T419" s="15" t="n">
        <v>0.0417326994189118</v>
      </c>
      <c r="U419" s="32" t="n">
        <v>6707686146</v>
      </c>
      <c r="V419" s="14" t="n">
        <v>3.6978390947327</v>
      </c>
      <c r="W419" s="13" t="n">
        <v>-0.0130130130130131</v>
      </c>
      <c r="X419" s="15" t="n">
        <v>0.0471602434077079</v>
      </c>
      <c r="Y419" s="13" t="n">
        <v>-0.0173633275212812</v>
      </c>
      <c r="Z419" s="13" t="n">
        <v>-0.0846655439649463</v>
      </c>
      <c r="AA419" s="30" t="s">
        <v>96</v>
      </c>
      <c r="AB419" s="28" t="s">
        <v>94</v>
      </c>
      <c r="AC419" s="28" t="s">
        <v>100</v>
      </c>
      <c r="AD419" s="28" t="s">
        <v>106</v>
      </c>
      <c r="AE419" s="28" t="s">
        <v>113</v>
      </c>
      <c r="AF419" s="28" t="s">
        <v>118</v>
      </c>
      <c r="AG419" s="30" t="s">
        <v>123</v>
      </c>
    </row>
    <row r="420" customFormat="false" ht="15" hidden="false" customHeight="false" outlineLevel="0" collapsed="false">
      <c r="A420" s="10" t="n">
        <v>2025</v>
      </c>
      <c r="B420" s="28" t="s">
        <v>66</v>
      </c>
      <c r="C420" s="29" t="n">
        <v>45757</v>
      </c>
      <c r="D420" s="30" t="s">
        <v>128</v>
      </c>
      <c r="E420" s="28" t="s">
        <v>545</v>
      </c>
      <c r="F420" s="30" t="s">
        <v>546</v>
      </c>
      <c r="G420" s="31" t="n">
        <v>29529</v>
      </c>
      <c r="H420" s="31" t="n">
        <v>3</v>
      </c>
      <c r="I420" s="31" t="n">
        <v>88588</v>
      </c>
      <c r="J420" s="29" t="n">
        <v>45775</v>
      </c>
      <c r="K420" s="31" t="n">
        <v>35550</v>
      </c>
      <c r="L420" s="30" t="s">
        <v>31</v>
      </c>
      <c r="M420" s="10" t="n">
        <v>12</v>
      </c>
      <c r="N420" s="12" t="n">
        <v>17872</v>
      </c>
      <c r="O420" s="13" t="n">
        <v>0.201744461470733</v>
      </c>
      <c r="P420" s="15" t="n">
        <v>0.230972417413096</v>
      </c>
      <c r="Q420" s="13" t="n">
        <v>-0.0162379992888466</v>
      </c>
      <c r="R420" s="15" t="n">
        <v>0.0905730129390019</v>
      </c>
      <c r="S420" s="32" t="n">
        <v>56767322000</v>
      </c>
      <c r="T420" s="15" t="n">
        <v>0.0296684118673647</v>
      </c>
      <c r="U420" s="32" t="n">
        <v>36148997335</v>
      </c>
      <c r="V420" s="14" t="n">
        <v>1.46747519609673</v>
      </c>
      <c r="W420" s="13" t="n">
        <v>0.0189982728842832</v>
      </c>
      <c r="X420" s="15" t="n">
        <v>0.0406779661016949</v>
      </c>
      <c r="Y420" s="13" t="n">
        <v>0.065989449361294</v>
      </c>
      <c r="Z420" s="13" t="n">
        <v>-0.016745083846061</v>
      </c>
      <c r="AA420" s="30" t="s">
        <v>96</v>
      </c>
      <c r="AB420" s="28" t="s">
        <v>94</v>
      </c>
      <c r="AC420" s="28" t="s">
        <v>101</v>
      </c>
      <c r="AD420" s="28" t="s">
        <v>108</v>
      </c>
      <c r="AE420" s="28" t="s">
        <v>113</v>
      </c>
      <c r="AF420" s="28" t="s">
        <v>116</v>
      </c>
      <c r="AG420" s="30" t="s">
        <v>122</v>
      </c>
    </row>
    <row r="421" customFormat="false" ht="15" hidden="false" customHeight="false" outlineLevel="0" collapsed="false">
      <c r="A421" s="10" t="n">
        <v>2025</v>
      </c>
      <c r="B421" s="28" t="s">
        <v>66</v>
      </c>
      <c r="C421" s="29" t="n">
        <v>45757</v>
      </c>
      <c r="D421" s="30" t="s">
        <v>128</v>
      </c>
      <c r="E421" s="28" t="s">
        <v>247</v>
      </c>
      <c r="F421" s="30" t="s">
        <v>248</v>
      </c>
      <c r="G421" s="31" t="n">
        <v>22973</v>
      </c>
      <c r="H421" s="31" t="n">
        <v>4</v>
      </c>
      <c r="I421" s="31" t="n">
        <v>91892</v>
      </c>
      <c r="J421" s="29" t="n">
        <v>45793</v>
      </c>
      <c r="K421" s="31" t="n">
        <v>27600</v>
      </c>
      <c r="L421" s="30" t="s">
        <v>31</v>
      </c>
      <c r="M421" s="10" t="n">
        <v>23</v>
      </c>
      <c r="N421" s="12" t="n">
        <v>18312</v>
      </c>
      <c r="O421" s="13" t="n">
        <v>0.199280634724753</v>
      </c>
      <c r="P421" s="15" t="n">
        <v>0.223177693765929</v>
      </c>
      <c r="Q421" s="13" t="n">
        <v>-0.00535194652841697</v>
      </c>
      <c r="R421" s="15" t="n">
        <v>0.02</v>
      </c>
      <c r="S421" s="32" t="n">
        <v>56463081750</v>
      </c>
      <c r="T421" s="15" t="n">
        <v>0.0154867256637168</v>
      </c>
      <c r="U421" s="32" t="n">
        <v>31812680892.5</v>
      </c>
      <c r="V421" s="14" t="n">
        <v>1.71337203419216</v>
      </c>
      <c r="W421" s="13" t="n">
        <v>0.02</v>
      </c>
      <c r="X421" s="15" t="n">
        <v>0</v>
      </c>
      <c r="Y421" s="13" t="n">
        <v>0.065989449361294</v>
      </c>
      <c r="Z421" s="13" t="n">
        <v>-0.016745083846061</v>
      </c>
      <c r="AA421" s="30" t="s">
        <v>96</v>
      </c>
      <c r="AB421" s="28" t="s">
        <v>94</v>
      </c>
      <c r="AC421" s="28" t="s">
        <v>99</v>
      </c>
      <c r="AD421" s="28" t="s">
        <v>108</v>
      </c>
      <c r="AE421" s="28" t="s">
        <v>112</v>
      </c>
      <c r="AF421" s="28" t="s">
        <v>116</v>
      </c>
      <c r="AG421" s="30" t="s">
        <v>122</v>
      </c>
    </row>
    <row r="422" customFormat="false" ht="15" hidden="false" customHeight="false" outlineLevel="0" collapsed="false">
      <c r="A422" s="10" t="n">
        <v>2025</v>
      </c>
      <c r="B422" s="28" t="s">
        <v>66</v>
      </c>
      <c r="C422" s="29" t="n">
        <v>45758</v>
      </c>
      <c r="D422" s="30" t="s">
        <v>129</v>
      </c>
      <c r="E422" s="28" t="s">
        <v>731</v>
      </c>
      <c r="F422" s="28" t="s">
        <v>732</v>
      </c>
      <c r="G422" s="31" t="n">
        <v>8258</v>
      </c>
      <c r="H422" s="31" t="n">
        <v>12</v>
      </c>
      <c r="I422" s="31" t="n">
        <v>99099</v>
      </c>
      <c r="J422" s="29" t="n">
        <v>45762</v>
      </c>
      <c r="K422" s="31" t="n">
        <v>7862</v>
      </c>
      <c r="L422" s="30" t="s">
        <v>32</v>
      </c>
      <c r="M422" s="10" t="n">
        <v>2</v>
      </c>
      <c r="N422" s="12" t="n">
        <v>-4924</v>
      </c>
      <c r="O422" s="13" t="n">
        <v>-0.0496874340205251</v>
      </c>
      <c r="P422" s="15" t="n">
        <v>0.0401719492628583</v>
      </c>
      <c r="Q422" s="13" t="n">
        <v>-0.0542790542790543</v>
      </c>
      <c r="R422" s="15" t="n">
        <v>0.199127906976744</v>
      </c>
      <c r="S422" s="32" t="n">
        <v>98363793000</v>
      </c>
      <c r="T422" s="15" t="n">
        <v>0.0390428211586902</v>
      </c>
      <c r="U422" s="32" t="n">
        <v>10287058429</v>
      </c>
      <c r="V422" s="14" t="n">
        <v>8.00005153148832</v>
      </c>
      <c r="W422" s="13" t="n">
        <v>0.12859097127223</v>
      </c>
      <c r="X422" s="15" t="n">
        <v>0.0339393939393939</v>
      </c>
      <c r="Y422" s="13" t="n">
        <v>-0.00504691091425169</v>
      </c>
      <c r="Z422" s="13" t="n">
        <v>-0.0132634601812268</v>
      </c>
      <c r="AA422" s="30" t="s">
        <v>96</v>
      </c>
      <c r="AB422" s="28" t="s">
        <v>94</v>
      </c>
      <c r="AC422" s="28" t="s">
        <v>103</v>
      </c>
      <c r="AD422" s="28" t="s">
        <v>108</v>
      </c>
      <c r="AE422" s="28" t="s">
        <v>113</v>
      </c>
      <c r="AF422" s="28" t="s">
        <v>119</v>
      </c>
      <c r="AG422" s="30" t="s">
        <v>122</v>
      </c>
    </row>
    <row r="423" customFormat="false" ht="15" hidden="false" customHeight="false" outlineLevel="0" collapsed="false">
      <c r="A423" s="10" t="n">
        <v>2025</v>
      </c>
      <c r="B423" s="28" t="s">
        <v>66</v>
      </c>
      <c r="C423" s="29" t="n">
        <v>45758</v>
      </c>
      <c r="D423" s="30" t="s">
        <v>129</v>
      </c>
      <c r="E423" s="28" t="s">
        <v>733</v>
      </c>
      <c r="F423" s="28" t="s">
        <v>734</v>
      </c>
      <c r="G423" s="31" t="n">
        <v>31231</v>
      </c>
      <c r="H423" s="31" t="n">
        <v>3</v>
      </c>
      <c r="I423" s="31" t="n">
        <v>93694</v>
      </c>
      <c r="J423" s="29" t="n">
        <v>45775</v>
      </c>
      <c r="K423" s="31" t="n">
        <v>37650</v>
      </c>
      <c r="L423" s="30" t="s">
        <v>31</v>
      </c>
      <c r="M423" s="10" t="n">
        <v>11</v>
      </c>
      <c r="N423" s="12" t="n">
        <v>19056</v>
      </c>
      <c r="O423" s="13" t="n">
        <v>0.203386127334204</v>
      </c>
      <c r="P423" s="15" t="n">
        <v>0.237544506775276</v>
      </c>
      <c r="Q423" s="13" t="n">
        <v>0.0310202617894926</v>
      </c>
      <c r="R423" s="15" t="n">
        <v>0.108348134991119</v>
      </c>
      <c r="S423" s="32" t="n">
        <v>81422546400</v>
      </c>
      <c r="T423" s="15" t="n">
        <v>0.0576271186440678</v>
      </c>
      <c r="U423" s="32" t="n">
        <v>17762221957.5</v>
      </c>
      <c r="V423" s="14" t="n">
        <v>4.0752939412785</v>
      </c>
      <c r="W423" s="13" t="n">
        <v>0.0890052356020943</v>
      </c>
      <c r="X423" s="15" t="n">
        <v>0.0272435897435897</v>
      </c>
      <c r="Y423" s="13" t="n">
        <v>-0.00504691091425169</v>
      </c>
      <c r="Z423" s="13" t="n">
        <v>-0.0132634601812268</v>
      </c>
      <c r="AA423" s="30" t="s">
        <v>96</v>
      </c>
      <c r="AB423" s="28" t="s">
        <v>94</v>
      </c>
      <c r="AC423" s="28" t="s">
        <v>102</v>
      </c>
      <c r="AD423" s="28" t="s">
        <v>108</v>
      </c>
      <c r="AE423" s="28" t="s">
        <v>101</v>
      </c>
      <c r="AF423" s="28" t="s">
        <v>118</v>
      </c>
      <c r="AG423" s="30" t="s">
        <v>122</v>
      </c>
    </row>
    <row r="424" customFormat="false" ht="15" hidden="false" customHeight="false" outlineLevel="0" collapsed="false">
      <c r="A424" s="10" t="n">
        <v>2025</v>
      </c>
      <c r="B424" s="28" t="s">
        <v>66</v>
      </c>
      <c r="C424" s="29" t="n">
        <v>45761</v>
      </c>
      <c r="D424" s="30" t="s">
        <v>125</v>
      </c>
      <c r="E424" s="28" t="s">
        <v>735</v>
      </c>
      <c r="F424" s="30" t="s">
        <v>736</v>
      </c>
      <c r="G424" s="31" t="n">
        <v>12643</v>
      </c>
      <c r="H424" s="31" t="n">
        <v>7</v>
      </c>
      <c r="I424" s="31" t="n">
        <v>88498</v>
      </c>
      <c r="J424" s="29" t="n">
        <v>45765</v>
      </c>
      <c r="K424" s="31" t="n">
        <v>15180</v>
      </c>
      <c r="L424" s="30" t="s">
        <v>31</v>
      </c>
      <c r="M424" s="10" t="n">
        <v>4</v>
      </c>
      <c r="N424" s="12" t="n">
        <v>17573</v>
      </c>
      <c r="O424" s="13" t="n">
        <v>0.198568383754013</v>
      </c>
      <c r="P424" s="15" t="n">
        <v>0.297198446842153</v>
      </c>
      <c r="Q424" s="13" t="n">
        <v>-0.000999000999000965</v>
      </c>
      <c r="R424" s="15" t="n">
        <v>0.105954465849387</v>
      </c>
      <c r="S424" s="32" t="n">
        <v>186584114070</v>
      </c>
      <c r="T424" s="15" t="n">
        <v>0.0293398533007334</v>
      </c>
      <c r="U424" s="32" t="n">
        <v>28959115343</v>
      </c>
      <c r="V424" s="14" t="n">
        <v>5.69470205088218</v>
      </c>
      <c r="W424" s="13" t="n">
        <v>0.114739629302736</v>
      </c>
      <c r="X424" s="15" t="n">
        <v>0.0760095011876485</v>
      </c>
      <c r="Y424" s="13" t="n">
        <v>0.00952431845835111</v>
      </c>
      <c r="Z424" s="13" t="n">
        <v>0.0548449445923891</v>
      </c>
      <c r="AA424" s="30" t="s">
        <v>96</v>
      </c>
      <c r="AB424" s="28" t="s">
        <v>93</v>
      </c>
      <c r="AC424" s="28" t="s">
        <v>102</v>
      </c>
      <c r="AD424" s="28" t="s">
        <v>109</v>
      </c>
      <c r="AE424" s="28" t="s">
        <v>113</v>
      </c>
      <c r="AF424" s="28" t="s">
        <v>119</v>
      </c>
      <c r="AG424" s="30" t="s">
        <v>122</v>
      </c>
    </row>
    <row r="425" customFormat="false" ht="15" hidden="false" customHeight="false" outlineLevel="0" collapsed="false">
      <c r="A425" s="10" t="n">
        <v>2025</v>
      </c>
      <c r="B425" s="28" t="s">
        <v>66</v>
      </c>
      <c r="C425" s="29" t="n">
        <v>45761</v>
      </c>
      <c r="D425" s="30" t="s">
        <v>125</v>
      </c>
      <c r="E425" s="28" t="s">
        <v>737</v>
      </c>
      <c r="F425" s="30" t="s">
        <v>738</v>
      </c>
      <c r="G425" s="31" t="n">
        <v>3789</v>
      </c>
      <c r="H425" s="31" t="n">
        <v>26</v>
      </c>
      <c r="I425" s="31" t="n">
        <v>98508</v>
      </c>
      <c r="J425" s="29" t="n">
        <v>45765</v>
      </c>
      <c r="K425" s="31" t="n">
        <v>3606</v>
      </c>
      <c r="L425" s="30" t="s">
        <v>32</v>
      </c>
      <c r="M425" s="10" t="n">
        <v>4</v>
      </c>
      <c r="N425" s="12" t="n">
        <v>-4912</v>
      </c>
      <c r="O425" s="13" t="n">
        <v>-0.0498613305452804</v>
      </c>
      <c r="P425" s="15" t="n">
        <v>0.0953379513485195</v>
      </c>
      <c r="Q425" s="13" t="n">
        <v>-0.052466687869594</v>
      </c>
      <c r="R425" s="15" t="n">
        <v>0.0572625698324023</v>
      </c>
      <c r="S425" s="32" t="n">
        <v>68390593465</v>
      </c>
      <c r="T425" s="15" t="n">
        <v>0.0327421555252387</v>
      </c>
      <c r="U425" s="32" t="n">
        <v>7992472926.25</v>
      </c>
      <c r="V425" s="14" t="n">
        <v>7.76099350652963</v>
      </c>
      <c r="W425" s="13" t="n">
        <v>0.0892086330935251</v>
      </c>
      <c r="X425" s="15" t="n">
        <v>0.103038309114927</v>
      </c>
      <c r="Y425" s="13" t="n">
        <v>0.00952431845835111</v>
      </c>
      <c r="Z425" s="13" t="n">
        <v>0.0548449445923891</v>
      </c>
      <c r="AA425" s="30" t="s">
        <v>96</v>
      </c>
      <c r="AB425" s="28" t="s">
        <v>93</v>
      </c>
      <c r="AC425" s="28" t="s">
        <v>101</v>
      </c>
      <c r="AD425" s="28" t="s">
        <v>108</v>
      </c>
      <c r="AE425" s="28" t="s">
        <v>113</v>
      </c>
      <c r="AF425" s="28" t="s">
        <v>119</v>
      </c>
      <c r="AG425" s="30" t="s">
        <v>122</v>
      </c>
    </row>
    <row r="426" customFormat="false" ht="15" hidden="false" customHeight="false" outlineLevel="0" collapsed="false">
      <c r="A426" s="10" t="n">
        <v>2025</v>
      </c>
      <c r="B426" s="28" t="s">
        <v>66</v>
      </c>
      <c r="C426" s="29" t="n">
        <v>45761</v>
      </c>
      <c r="D426" s="30" t="s">
        <v>125</v>
      </c>
      <c r="E426" s="28" t="s">
        <v>389</v>
      </c>
      <c r="F426" s="30" t="s">
        <v>390</v>
      </c>
      <c r="G426" s="31" t="n">
        <v>22072</v>
      </c>
      <c r="H426" s="31" t="n">
        <v>4</v>
      </c>
      <c r="I426" s="31" t="n">
        <v>88288</v>
      </c>
      <c r="J426" s="29" t="n">
        <v>45763</v>
      </c>
      <c r="K426" s="31" t="n">
        <v>20979</v>
      </c>
      <c r="L426" s="30" t="s">
        <v>32</v>
      </c>
      <c r="M426" s="10" t="n">
        <v>2</v>
      </c>
      <c r="N426" s="12" t="n">
        <v>-4524</v>
      </c>
      <c r="O426" s="13" t="n">
        <v>-0.051240195518767</v>
      </c>
      <c r="P426" s="15" t="n">
        <v>0.0261846996540875</v>
      </c>
      <c r="Q426" s="13" t="n">
        <v>-0.0508357855296631</v>
      </c>
      <c r="R426" s="15" t="n">
        <v>0.123853211009174</v>
      </c>
      <c r="S426" s="32" t="n">
        <v>46197682650</v>
      </c>
      <c r="T426" s="15" t="n">
        <v>0.0862068965517242</v>
      </c>
      <c r="U426" s="32" t="n">
        <v>3896199670</v>
      </c>
      <c r="V426" s="14" t="n">
        <v>10.2535600718927</v>
      </c>
      <c r="W426" s="13" t="n">
        <v>0.0888888888888888</v>
      </c>
      <c r="X426" s="15" t="n">
        <v>0.0521541950113378</v>
      </c>
      <c r="Y426" s="13" t="n">
        <v>0.00952431845835111</v>
      </c>
      <c r="Z426" s="13" t="n">
        <v>0.0548449445923891</v>
      </c>
      <c r="AA426" s="30" t="s">
        <v>96</v>
      </c>
      <c r="AB426" s="28" t="s">
        <v>93</v>
      </c>
      <c r="AC426" s="28" t="s">
        <v>102</v>
      </c>
      <c r="AD426" s="28" t="s">
        <v>107</v>
      </c>
      <c r="AE426" s="28" t="s">
        <v>101</v>
      </c>
      <c r="AF426" s="28" t="s">
        <v>120</v>
      </c>
      <c r="AG426" s="30" t="s">
        <v>122</v>
      </c>
    </row>
    <row r="427" customFormat="false" ht="15" hidden="false" customHeight="false" outlineLevel="0" collapsed="false">
      <c r="A427" s="10" t="n">
        <v>2025</v>
      </c>
      <c r="B427" s="28" t="s">
        <v>66</v>
      </c>
      <c r="C427" s="29" t="n">
        <v>45762</v>
      </c>
      <c r="D427" s="30" t="s">
        <v>126</v>
      </c>
      <c r="E427" s="28" t="s">
        <v>335</v>
      </c>
      <c r="F427" s="30" t="s">
        <v>336</v>
      </c>
      <c r="G427" s="31" t="n">
        <v>2147</v>
      </c>
      <c r="H427" s="31" t="n">
        <v>46</v>
      </c>
      <c r="I427" s="31" t="n">
        <v>98769</v>
      </c>
      <c r="J427" s="29" t="n">
        <v>45763</v>
      </c>
      <c r="K427" s="31" t="n">
        <v>2043</v>
      </c>
      <c r="L427" s="30" t="s">
        <v>32</v>
      </c>
      <c r="M427" s="10" t="n">
        <v>1</v>
      </c>
      <c r="N427" s="12" t="n">
        <v>-4963</v>
      </c>
      <c r="O427" s="13" t="n">
        <v>-0.0502448355839965</v>
      </c>
      <c r="P427" s="15" t="n">
        <v>0.00132967265834405</v>
      </c>
      <c r="Q427" s="13" t="n">
        <v>-0.0522298214605906</v>
      </c>
      <c r="R427" s="15" t="n">
        <v>0.112551867219917</v>
      </c>
      <c r="S427" s="32" t="n">
        <v>89663531100</v>
      </c>
      <c r="T427" s="15" t="n">
        <v>0.00233644859813076</v>
      </c>
      <c r="U427" s="32" t="n">
        <v>8598421539.15</v>
      </c>
      <c r="V427" s="14" t="n">
        <v>9.42992118410118</v>
      </c>
      <c r="W427" s="13" t="n">
        <v>0.1</v>
      </c>
      <c r="X427" s="15" t="n">
        <v>0.0955710955710956</v>
      </c>
      <c r="Y427" s="13" t="n">
        <v>0.00876260744577317</v>
      </c>
      <c r="Z427" s="13" t="n">
        <v>0.0613392853317796</v>
      </c>
      <c r="AA427" s="30" t="s">
        <v>96</v>
      </c>
      <c r="AB427" s="28" t="s">
        <v>93</v>
      </c>
      <c r="AC427" s="28" t="s">
        <v>102</v>
      </c>
      <c r="AD427" s="28" t="s">
        <v>108</v>
      </c>
      <c r="AE427" s="28" t="s">
        <v>112</v>
      </c>
      <c r="AF427" s="28" t="s">
        <v>119</v>
      </c>
      <c r="AG427" s="30" t="s">
        <v>122</v>
      </c>
    </row>
    <row r="428" customFormat="false" ht="15" hidden="false" customHeight="false" outlineLevel="0" collapsed="false">
      <c r="A428" s="10" t="n">
        <v>2025</v>
      </c>
      <c r="B428" s="28" t="s">
        <v>66</v>
      </c>
      <c r="C428" s="29" t="n">
        <v>45763</v>
      </c>
      <c r="D428" s="30" t="s">
        <v>127</v>
      </c>
      <c r="E428" s="28" t="s">
        <v>739</v>
      </c>
      <c r="F428" s="30" t="s">
        <v>740</v>
      </c>
      <c r="G428" s="31" t="n">
        <v>8789</v>
      </c>
      <c r="H428" s="31" t="n">
        <v>11</v>
      </c>
      <c r="I428" s="31" t="n">
        <v>96677</v>
      </c>
      <c r="J428" s="29" t="n">
        <v>45765</v>
      </c>
      <c r="K428" s="31" t="n">
        <v>8362</v>
      </c>
      <c r="L428" s="30" t="s">
        <v>32</v>
      </c>
      <c r="M428" s="10" t="n">
        <v>2</v>
      </c>
      <c r="N428" s="12" t="n">
        <v>-4865</v>
      </c>
      <c r="O428" s="13" t="n">
        <v>-0.0503215470747931</v>
      </c>
      <c r="P428" s="15" t="n">
        <v>0.0046900707492965</v>
      </c>
      <c r="Q428" s="13" t="n">
        <v>-0.0635787902302708</v>
      </c>
      <c r="R428" s="15" t="n">
        <v>0.0707317073170732</v>
      </c>
      <c r="S428" s="32" t="n">
        <v>90678268380</v>
      </c>
      <c r="T428" s="15" t="n">
        <v>0.0209302325581395</v>
      </c>
      <c r="U428" s="32" t="n">
        <v>3382558890.5</v>
      </c>
      <c r="V428" s="14" t="n">
        <v>23.7600957138028</v>
      </c>
      <c r="W428" s="13" t="n">
        <v>0.0502392344497609</v>
      </c>
      <c r="X428" s="15" t="n">
        <v>0.101366742596811</v>
      </c>
      <c r="Y428" s="13" t="n">
        <v>-0.0121013477785268</v>
      </c>
      <c r="Z428" s="13" t="n">
        <v>0.0670227143915945</v>
      </c>
      <c r="AA428" s="30" t="s">
        <v>96</v>
      </c>
      <c r="AB428" s="28" t="s">
        <v>93</v>
      </c>
      <c r="AC428" s="28" t="s">
        <v>101</v>
      </c>
      <c r="AD428" s="28" t="s">
        <v>108</v>
      </c>
      <c r="AE428" s="28" t="s">
        <v>113</v>
      </c>
      <c r="AF428" s="28" t="s">
        <v>120</v>
      </c>
      <c r="AG428" s="30" t="s">
        <v>122</v>
      </c>
    </row>
    <row r="429" customFormat="false" ht="15" hidden="false" customHeight="false" outlineLevel="0" collapsed="false">
      <c r="A429" s="10" t="n">
        <v>2025</v>
      </c>
      <c r="B429" s="28" t="s">
        <v>66</v>
      </c>
      <c r="C429" s="29" t="n">
        <v>45763</v>
      </c>
      <c r="D429" s="30" t="s">
        <v>127</v>
      </c>
      <c r="E429" s="28" t="s">
        <v>465</v>
      </c>
      <c r="F429" s="28" t="s">
        <v>466</v>
      </c>
      <c r="G429" s="31" t="n">
        <v>57858</v>
      </c>
      <c r="H429" s="31" t="n">
        <v>1</v>
      </c>
      <c r="I429" s="31" t="n">
        <v>57858</v>
      </c>
      <c r="J429" s="29" t="n">
        <v>45775</v>
      </c>
      <c r="K429" s="31" t="n">
        <v>55045</v>
      </c>
      <c r="L429" s="30" t="s">
        <v>32</v>
      </c>
      <c r="M429" s="10" t="n">
        <v>8</v>
      </c>
      <c r="N429" s="12" t="n">
        <v>-2912</v>
      </c>
      <c r="O429" s="13" t="n">
        <v>-0.0503372536632917</v>
      </c>
      <c r="P429" s="15" t="n">
        <v>0.0162847533089749</v>
      </c>
      <c r="Q429" s="13" t="n">
        <v>-0.0856893971080822</v>
      </c>
      <c r="R429" s="15" t="n">
        <v>0.0284697508896796</v>
      </c>
      <c r="S429" s="32" t="n">
        <v>51718862000</v>
      </c>
      <c r="T429" s="15" t="n">
        <v>0.0194003527336861</v>
      </c>
      <c r="U429" s="32" t="n">
        <v>25730631430</v>
      </c>
      <c r="V429" s="14" t="n">
        <v>1.93934158097335</v>
      </c>
      <c r="W429" s="13" t="n">
        <v>0.0248226950354611</v>
      </c>
      <c r="X429" s="15" t="n">
        <v>0</v>
      </c>
      <c r="Y429" s="13" t="n">
        <v>-0.0121013477785268</v>
      </c>
      <c r="Z429" s="13" t="n">
        <v>0.0670227143915945</v>
      </c>
      <c r="AA429" s="30" t="s">
        <v>96</v>
      </c>
      <c r="AB429" s="28" t="s">
        <v>93</v>
      </c>
      <c r="AC429" s="28" t="s">
        <v>99</v>
      </c>
      <c r="AD429" s="28" t="s">
        <v>108</v>
      </c>
      <c r="AE429" s="28" t="s">
        <v>112</v>
      </c>
      <c r="AF429" s="28" t="s">
        <v>116</v>
      </c>
      <c r="AG429" s="30" t="s">
        <v>122</v>
      </c>
    </row>
    <row r="430" customFormat="false" ht="15" hidden="false" customHeight="false" outlineLevel="0" collapsed="false">
      <c r="A430" s="10" t="n">
        <v>2025</v>
      </c>
      <c r="B430" s="28" t="s">
        <v>66</v>
      </c>
      <c r="C430" s="29" t="n">
        <v>45764</v>
      </c>
      <c r="D430" s="30" t="s">
        <v>128</v>
      </c>
      <c r="E430" s="28" t="s">
        <v>653</v>
      </c>
      <c r="F430" s="30" t="s">
        <v>654</v>
      </c>
      <c r="G430" s="31" t="n">
        <v>20867</v>
      </c>
      <c r="H430" s="31" t="n">
        <v>4</v>
      </c>
      <c r="I430" s="31" t="n">
        <v>83466</v>
      </c>
      <c r="J430" s="29" t="n">
        <v>45771</v>
      </c>
      <c r="K430" s="31" t="n">
        <v>25050</v>
      </c>
      <c r="L430" s="30" t="s">
        <v>31</v>
      </c>
      <c r="M430" s="10" t="n">
        <v>5</v>
      </c>
      <c r="N430" s="12" t="n">
        <v>16556</v>
      </c>
      <c r="O430" s="13" t="n">
        <v>0.198356788884598</v>
      </c>
      <c r="P430" s="15" t="n">
        <v>0.243100790612103</v>
      </c>
      <c r="Q430" s="13" t="n">
        <v>-0.0190804670442679</v>
      </c>
      <c r="R430" s="15" t="n">
        <v>0.105</v>
      </c>
      <c r="S430" s="32" t="n">
        <v>146937463400</v>
      </c>
      <c r="T430" s="15" t="n">
        <v>0.04739336492891</v>
      </c>
      <c r="U430" s="32" t="n">
        <v>22604446483</v>
      </c>
      <c r="V430" s="14" t="n">
        <v>5.87406238690035</v>
      </c>
      <c r="W430" s="13" t="n">
        <v>0.0702179176755449</v>
      </c>
      <c r="X430" s="15" t="n">
        <v>0.0203619909502262</v>
      </c>
      <c r="Y430" s="13" t="n">
        <v>0.00938944116889973</v>
      </c>
      <c r="Z430" s="13" t="n">
        <v>0.0103678437338961</v>
      </c>
      <c r="AA430" s="30" t="s">
        <v>96</v>
      </c>
      <c r="AB430" s="28" t="s">
        <v>93</v>
      </c>
      <c r="AC430" s="28" t="s">
        <v>102</v>
      </c>
      <c r="AD430" s="28" t="s">
        <v>109</v>
      </c>
      <c r="AE430" s="28" t="s">
        <v>113</v>
      </c>
      <c r="AF430" s="28" t="s">
        <v>119</v>
      </c>
      <c r="AG430" s="30" t="s">
        <v>122</v>
      </c>
    </row>
    <row r="431" customFormat="false" ht="15" hidden="false" customHeight="false" outlineLevel="0" collapsed="false">
      <c r="A431" s="10" t="n">
        <v>2025</v>
      </c>
      <c r="B431" s="28" t="s">
        <v>66</v>
      </c>
      <c r="C431" s="29" t="n">
        <v>45765</v>
      </c>
      <c r="D431" s="30" t="s">
        <v>129</v>
      </c>
      <c r="E431" s="28" t="s">
        <v>741</v>
      </c>
      <c r="F431" s="30" t="s">
        <v>742</v>
      </c>
      <c r="G431" s="31" t="n">
        <v>14880</v>
      </c>
      <c r="H431" s="31" t="n">
        <v>6</v>
      </c>
      <c r="I431" s="31" t="n">
        <v>89279</v>
      </c>
      <c r="J431" s="29" t="n">
        <v>45779</v>
      </c>
      <c r="K431" s="31" t="n">
        <v>17860</v>
      </c>
      <c r="L431" s="30" t="s">
        <v>31</v>
      </c>
      <c r="M431" s="10" t="n">
        <v>9</v>
      </c>
      <c r="N431" s="12" t="n">
        <v>17691</v>
      </c>
      <c r="O431" s="13" t="n">
        <v>0.198155321644131</v>
      </c>
      <c r="P431" s="15" t="n">
        <v>0.268092177183086</v>
      </c>
      <c r="Q431" s="13" t="n">
        <v>-0.0363172181353998</v>
      </c>
      <c r="R431" s="15" t="n">
        <v>0.164705882352941</v>
      </c>
      <c r="S431" s="32" t="n">
        <v>116307160200</v>
      </c>
      <c r="T431" s="15" t="n">
        <v>0.146718146718147</v>
      </c>
      <c r="U431" s="32" t="n">
        <v>6545558705</v>
      </c>
      <c r="V431" s="14" t="n">
        <v>14.2788708360072</v>
      </c>
      <c r="W431" s="13" t="n">
        <v>0.068345323741007</v>
      </c>
      <c r="X431" s="15" t="n">
        <v>0.0437710437710439</v>
      </c>
      <c r="Y431" s="13" t="n">
        <v>0.00526633230921192</v>
      </c>
      <c r="Z431" s="13" t="n">
        <v>0.0208408694794307</v>
      </c>
      <c r="AA431" s="30" t="s">
        <v>96</v>
      </c>
      <c r="AB431" s="28" t="s">
        <v>93</v>
      </c>
      <c r="AC431" s="28" t="s">
        <v>103</v>
      </c>
      <c r="AD431" s="28" t="s">
        <v>109</v>
      </c>
      <c r="AE431" s="28" t="s">
        <v>114</v>
      </c>
      <c r="AF431" s="28" t="s">
        <v>120</v>
      </c>
      <c r="AG431" s="30" t="s">
        <v>122</v>
      </c>
    </row>
    <row r="432" customFormat="false" ht="15" hidden="false" customHeight="false" outlineLevel="0" collapsed="false">
      <c r="A432" s="10" t="n">
        <v>2025</v>
      </c>
      <c r="B432" s="28" t="s">
        <v>66</v>
      </c>
      <c r="C432" s="29" t="n">
        <v>45765</v>
      </c>
      <c r="D432" s="30" t="s">
        <v>129</v>
      </c>
      <c r="E432" s="28" t="s">
        <v>399</v>
      </c>
      <c r="F432" s="28" t="s">
        <v>400</v>
      </c>
      <c r="G432" s="31" t="n">
        <v>82482</v>
      </c>
      <c r="H432" s="31" t="n">
        <v>1</v>
      </c>
      <c r="I432" s="31" t="n">
        <v>82482</v>
      </c>
      <c r="J432" s="29" t="n">
        <v>45800</v>
      </c>
      <c r="K432" s="31" t="n">
        <v>99000</v>
      </c>
      <c r="L432" s="30" t="s">
        <v>31</v>
      </c>
      <c r="M432" s="10" t="n">
        <v>22</v>
      </c>
      <c r="N432" s="12" t="n">
        <v>16342</v>
      </c>
      <c r="O432" s="13" t="n">
        <v>0.198125632134856</v>
      </c>
      <c r="P432" s="15" t="n">
        <v>0.207530333743926</v>
      </c>
      <c r="Q432" s="13" t="n">
        <v>-0.0131227995305665</v>
      </c>
      <c r="R432" s="15" t="n">
        <v>0.0261519302615194</v>
      </c>
      <c r="S432" s="32" t="n">
        <v>98854373600</v>
      </c>
      <c r="T432" s="15" t="n">
        <v>0.00610500610500608</v>
      </c>
      <c r="U432" s="32" t="n">
        <v>98911047995</v>
      </c>
      <c r="V432" s="14" t="n">
        <v>0.939962176302308</v>
      </c>
      <c r="W432" s="13" t="n">
        <v>0.0312891113892366</v>
      </c>
      <c r="X432" s="15" t="n">
        <v>0.00242718446601953</v>
      </c>
      <c r="Y432" s="13" t="n">
        <v>0.00526633230921192</v>
      </c>
      <c r="Z432" s="13" t="n">
        <v>0.0208408694794307</v>
      </c>
      <c r="AA432" s="30" t="s">
        <v>96</v>
      </c>
      <c r="AB432" s="28" t="s">
        <v>93</v>
      </c>
      <c r="AC432" s="28" t="s">
        <v>99</v>
      </c>
      <c r="AD432" s="28" t="s">
        <v>108</v>
      </c>
      <c r="AE432" s="28" t="s">
        <v>112</v>
      </c>
      <c r="AF432" s="28" t="s">
        <v>116</v>
      </c>
      <c r="AG432" s="30" t="s">
        <v>122</v>
      </c>
    </row>
    <row r="433" customFormat="false" ht="15" hidden="false" customHeight="false" outlineLevel="0" collapsed="false">
      <c r="A433" s="10" t="n">
        <v>2025</v>
      </c>
      <c r="B433" s="28" t="s">
        <v>66</v>
      </c>
      <c r="C433" s="29" t="n">
        <v>45765</v>
      </c>
      <c r="D433" s="30" t="s">
        <v>129</v>
      </c>
      <c r="E433" s="28" t="s">
        <v>743</v>
      </c>
      <c r="F433" s="30" t="s">
        <v>744</v>
      </c>
      <c r="G433" s="31" t="n">
        <v>62562</v>
      </c>
      <c r="H433" s="31" t="n">
        <v>1</v>
      </c>
      <c r="I433" s="31" t="n">
        <v>62562</v>
      </c>
      <c r="J433" s="29" t="n">
        <v>45784</v>
      </c>
      <c r="K433" s="31" t="n">
        <v>59540</v>
      </c>
      <c r="L433" s="30" t="s">
        <v>32</v>
      </c>
      <c r="M433" s="10" t="n">
        <v>10</v>
      </c>
      <c r="N433" s="12" t="n">
        <v>-3130</v>
      </c>
      <c r="O433" s="13" t="n">
        <v>-0.0500255909690309</v>
      </c>
      <c r="P433" s="15" t="n">
        <v>0.136463536463537</v>
      </c>
      <c r="Q433" s="13" t="n">
        <v>-0.0489510489510489</v>
      </c>
      <c r="R433" s="15" t="n">
        <v>0.0907504363001745</v>
      </c>
      <c r="S433" s="32" t="n">
        <v>20587812500</v>
      </c>
      <c r="T433" s="15" t="n">
        <v>0.0195758564437194</v>
      </c>
      <c r="U433" s="32" t="n">
        <v>4958602005</v>
      </c>
      <c r="V433" s="14" t="n">
        <v>3.73953946692505</v>
      </c>
      <c r="W433" s="13" t="n">
        <v>0.0647359454855196</v>
      </c>
      <c r="X433" s="15" t="n">
        <v>0.024</v>
      </c>
      <c r="Y433" s="13" t="n">
        <v>0.00526633230921192</v>
      </c>
      <c r="Z433" s="13" t="n">
        <v>0.0208408694794307</v>
      </c>
      <c r="AA433" s="30" t="s">
        <v>96</v>
      </c>
      <c r="AB433" s="28" t="s">
        <v>93</v>
      </c>
      <c r="AC433" s="28" t="s">
        <v>101</v>
      </c>
      <c r="AD433" s="28" t="s">
        <v>106</v>
      </c>
      <c r="AE433" s="28" t="s">
        <v>112</v>
      </c>
      <c r="AF433" s="28" t="s">
        <v>118</v>
      </c>
      <c r="AG433" s="30" t="s">
        <v>122</v>
      </c>
    </row>
    <row r="434" customFormat="false" ht="15" hidden="false" customHeight="false" outlineLevel="0" collapsed="false">
      <c r="A434" s="10" t="n">
        <v>2025</v>
      </c>
      <c r="B434" s="28" t="s">
        <v>66</v>
      </c>
      <c r="C434" s="29" t="n">
        <v>45771</v>
      </c>
      <c r="D434" s="30" t="s">
        <v>128</v>
      </c>
      <c r="E434" s="28" t="s">
        <v>589</v>
      </c>
      <c r="F434" s="30" t="s">
        <v>590</v>
      </c>
      <c r="G434" s="31" t="n">
        <v>80981</v>
      </c>
      <c r="H434" s="31" t="n">
        <v>1</v>
      </c>
      <c r="I434" s="31" t="n">
        <v>80981</v>
      </c>
      <c r="J434" s="29" t="n">
        <v>45777</v>
      </c>
      <c r="K434" s="31" t="n">
        <v>77023</v>
      </c>
      <c r="L434" s="30" t="s">
        <v>32</v>
      </c>
      <c r="M434" s="10" t="n">
        <v>4</v>
      </c>
      <c r="N434" s="12" t="n">
        <v>-4097</v>
      </c>
      <c r="O434" s="13" t="n">
        <v>-0.0505950776047192</v>
      </c>
      <c r="P434" s="15" t="n">
        <v>0.176820707105009</v>
      </c>
      <c r="Q434" s="13" t="n">
        <v>-0.0578025188655595</v>
      </c>
      <c r="R434" s="15" t="n">
        <v>0.0125156445556947</v>
      </c>
      <c r="S434" s="32" t="n">
        <v>211683263600</v>
      </c>
      <c r="T434" s="15" t="n">
        <v>0.00998751560549316</v>
      </c>
      <c r="U434" s="32" t="n">
        <v>176656904995</v>
      </c>
      <c r="V434" s="14" t="n">
        <v>1.07810377303606</v>
      </c>
      <c r="W434" s="13" t="n">
        <v>0.00496894409937898</v>
      </c>
      <c r="X434" s="15" t="n">
        <v>0.0185414091470952</v>
      </c>
      <c r="Y434" s="13" t="n">
        <v>-0.00127892427817988</v>
      </c>
      <c r="Z434" s="13" t="n">
        <v>0.0210167543039415</v>
      </c>
      <c r="AA434" s="30" t="s">
        <v>97</v>
      </c>
      <c r="AB434" s="28" t="s">
        <v>93</v>
      </c>
      <c r="AC434" s="28" t="s">
        <v>99</v>
      </c>
      <c r="AD434" s="28" t="s">
        <v>110</v>
      </c>
      <c r="AE434" s="28" t="s">
        <v>112</v>
      </c>
      <c r="AF434" s="28" t="s">
        <v>116</v>
      </c>
      <c r="AG434" s="30" t="s">
        <v>122</v>
      </c>
    </row>
    <row r="435" customFormat="false" ht="15" hidden="false" customHeight="false" outlineLevel="0" collapsed="false">
      <c r="A435" s="10" t="n">
        <v>2025</v>
      </c>
      <c r="B435" s="28" t="s">
        <v>66</v>
      </c>
      <c r="C435" s="29" t="n">
        <v>45771</v>
      </c>
      <c r="D435" s="30" t="s">
        <v>128</v>
      </c>
      <c r="E435" s="28" t="s">
        <v>477</v>
      </c>
      <c r="F435" s="30" t="s">
        <v>478</v>
      </c>
      <c r="G435" s="31" t="n">
        <v>26927</v>
      </c>
      <c r="H435" s="31" t="n">
        <v>3</v>
      </c>
      <c r="I435" s="31" t="n">
        <v>80781</v>
      </c>
      <c r="J435" s="29" t="n">
        <v>45784</v>
      </c>
      <c r="K435" s="31" t="n">
        <v>25125</v>
      </c>
      <c r="L435" s="30" t="s">
        <v>32</v>
      </c>
      <c r="M435" s="10" t="n">
        <v>6</v>
      </c>
      <c r="N435" s="12" t="n">
        <v>-5543</v>
      </c>
      <c r="O435" s="13" t="n">
        <v>-0.0686133582959794</v>
      </c>
      <c r="P435" s="15" t="n">
        <v>0.110413749818954</v>
      </c>
      <c r="Q435" s="13" t="n">
        <v>-0.0659897723094748</v>
      </c>
      <c r="R435" s="15" t="n">
        <v>0.0446601941747573</v>
      </c>
      <c r="S435" s="32" t="n">
        <v>192384227000</v>
      </c>
      <c r="T435" s="15" t="n">
        <v>0.0326295585412668</v>
      </c>
      <c r="U435" s="32" t="n">
        <v>112791631932.5</v>
      </c>
      <c r="V435" s="14" t="n">
        <v>1.49671240206275</v>
      </c>
      <c r="W435" s="13" t="n">
        <v>0.0446601941747573</v>
      </c>
      <c r="X435" s="15" t="n">
        <v>0.0018587360594795</v>
      </c>
      <c r="Y435" s="13" t="n">
        <v>-0.00127892427817988</v>
      </c>
      <c r="Z435" s="13" t="n">
        <v>0.0210167543039415</v>
      </c>
      <c r="AA435" s="30" t="s">
        <v>97</v>
      </c>
      <c r="AB435" s="28" t="s">
        <v>93</v>
      </c>
      <c r="AC435" s="28" t="s">
        <v>100</v>
      </c>
      <c r="AD435" s="28" t="s">
        <v>109</v>
      </c>
      <c r="AE435" s="28" t="s">
        <v>113</v>
      </c>
      <c r="AF435" s="28" t="s">
        <v>116</v>
      </c>
      <c r="AG435" s="30" t="s">
        <v>122</v>
      </c>
    </row>
    <row r="436" customFormat="false" ht="15" hidden="false" customHeight="false" outlineLevel="0" collapsed="false">
      <c r="A436" s="10" t="n">
        <v>2025</v>
      </c>
      <c r="B436" s="28" t="s">
        <v>66</v>
      </c>
      <c r="C436" s="29" t="n">
        <v>45775</v>
      </c>
      <c r="D436" s="30" t="s">
        <v>125</v>
      </c>
      <c r="E436" s="28" t="s">
        <v>745</v>
      </c>
      <c r="F436" s="30" t="s">
        <v>746</v>
      </c>
      <c r="G436" s="31" t="n">
        <v>60060</v>
      </c>
      <c r="H436" s="31" t="n">
        <v>1</v>
      </c>
      <c r="I436" s="31" t="n">
        <v>60060</v>
      </c>
      <c r="J436" s="29" t="n">
        <v>45776</v>
      </c>
      <c r="K436" s="31" t="n">
        <v>57143</v>
      </c>
      <c r="L436" s="30" t="s">
        <v>32</v>
      </c>
      <c r="M436" s="10" t="n">
        <v>1</v>
      </c>
      <c r="N436" s="12" t="n">
        <v>-3020</v>
      </c>
      <c r="O436" s="13" t="n">
        <v>-0.0502912857142856</v>
      </c>
      <c r="P436" s="15" t="n">
        <v>0.00399600399600408</v>
      </c>
      <c r="Q436" s="13" t="n">
        <v>-0.0592740592740592</v>
      </c>
      <c r="R436" s="15" t="n">
        <v>0.0676156583629892</v>
      </c>
      <c r="S436" s="32" t="n">
        <v>186164280000</v>
      </c>
      <c r="T436" s="15" t="n">
        <v>0.0526315789473684</v>
      </c>
      <c r="U436" s="32" t="n">
        <v>67280010270</v>
      </c>
      <c r="V436" s="14" t="n">
        <v>2.45925879543608</v>
      </c>
      <c r="W436" s="13" t="n">
        <v>0.0600706713780919</v>
      </c>
      <c r="X436" s="15" t="n">
        <v>0.0366666666666666</v>
      </c>
      <c r="Y436" s="13" t="n">
        <v>0.00100538035581033</v>
      </c>
      <c r="Z436" s="13" t="n">
        <v>0.0242885043521592</v>
      </c>
      <c r="AA436" s="30" t="s">
        <v>97</v>
      </c>
      <c r="AB436" s="28" t="s">
        <v>93</v>
      </c>
      <c r="AC436" s="28" t="s">
        <v>101</v>
      </c>
      <c r="AD436" s="28" t="s">
        <v>109</v>
      </c>
      <c r="AE436" s="28" t="s">
        <v>101</v>
      </c>
      <c r="AF436" s="28" t="s">
        <v>117</v>
      </c>
      <c r="AG436" s="30" t="s">
        <v>122</v>
      </c>
    </row>
    <row r="437" customFormat="false" ht="15" hidden="false" customHeight="false" outlineLevel="0" collapsed="false">
      <c r="A437" s="10" t="n">
        <v>2025</v>
      </c>
      <c r="B437" s="28" t="s">
        <v>66</v>
      </c>
      <c r="C437" s="29" t="n">
        <v>45775</v>
      </c>
      <c r="D437" s="30" t="s">
        <v>125</v>
      </c>
      <c r="E437" s="28" t="s">
        <v>747</v>
      </c>
      <c r="F437" s="30" t="s">
        <v>748</v>
      </c>
      <c r="G437" s="31" t="n">
        <v>44144</v>
      </c>
      <c r="H437" s="31" t="n">
        <v>2</v>
      </c>
      <c r="I437" s="31" t="n">
        <v>88288</v>
      </c>
      <c r="J437" s="29" t="n">
        <v>45819</v>
      </c>
      <c r="K437" s="31" t="n">
        <v>53000</v>
      </c>
      <c r="L437" s="30" t="s">
        <v>31</v>
      </c>
      <c r="M437" s="10" t="n">
        <v>27</v>
      </c>
      <c r="N437" s="12" t="n">
        <v>17524</v>
      </c>
      <c r="O437" s="13" t="n">
        <v>0.198482433326311</v>
      </c>
      <c r="P437" s="15" t="n">
        <v>0.200613445511405</v>
      </c>
      <c r="Q437" s="13" t="n">
        <v>-0.0361112810092402</v>
      </c>
      <c r="R437" s="15" t="n">
        <v>0.127877237851662</v>
      </c>
      <c r="S437" s="32" t="n">
        <v>54898414200</v>
      </c>
      <c r="T437" s="15" t="n">
        <v>0.0888888888888888</v>
      </c>
      <c r="U437" s="32" t="n">
        <v>5193464320</v>
      </c>
      <c r="V437" s="14" t="n">
        <v>9.23429217423814</v>
      </c>
      <c r="W437" s="13" t="n">
        <v>0.110831234256927</v>
      </c>
      <c r="X437" s="15" t="n">
        <v>0.00340136054421758</v>
      </c>
      <c r="Y437" s="13" t="n">
        <v>0.00100538035581033</v>
      </c>
      <c r="Z437" s="13" t="n">
        <v>0.0242885043521592</v>
      </c>
      <c r="AA437" s="30" t="s">
        <v>97</v>
      </c>
      <c r="AB437" s="28" t="s">
        <v>93</v>
      </c>
      <c r="AC437" s="28" t="s">
        <v>102</v>
      </c>
      <c r="AD437" s="28" t="s">
        <v>108</v>
      </c>
      <c r="AE437" s="28" t="s">
        <v>101</v>
      </c>
      <c r="AF437" s="28" t="s">
        <v>119</v>
      </c>
      <c r="AG437" s="30" t="s">
        <v>122</v>
      </c>
    </row>
    <row r="438" customFormat="false" ht="15" hidden="false" customHeight="false" outlineLevel="0" collapsed="false">
      <c r="A438" s="10" t="n">
        <v>2025</v>
      </c>
      <c r="B438" s="28" t="s">
        <v>66</v>
      </c>
      <c r="C438" s="29" t="n">
        <v>45775</v>
      </c>
      <c r="D438" s="30" t="s">
        <v>125</v>
      </c>
      <c r="E438" s="28" t="s">
        <v>401</v>
      </c>
      <c r="F438" s="30" t="s">
        <v>402</v>
      </c>
      <c r="G438" s="31" t="n">
        <v>62062</v>
      </c>
      <c r="H438" s="31" t="n">
        <v>1</v>
      </c>
      <c r="I438" s="31" t="n">
        <v>62062</v>
      </c>
      <c r="J438" s="29" t="n">
        <v>45812</v>
      </c>
      <c r="K438" s="31" t="n">
        <v>74500</v>
      </c>
      <c r="L438" s="30" t="s">
        <v>31</v>
      </c>
      <c r="M438" s="10" t="n">
        <v>23</v>
      </c>
      <c r="N438" s="12" t="n">
        <v>12306</v>
      </c>
      <c r="O438" s="13" t="n">
        <v>0.198281810125359</v>
      </c>
      <c r="P438" s="15" t="n">
        <v>0.200412490735072</v>
      </c>
      <c r="Q438" s="13" t="n">
        <v>-0.00422158486674606</v>
      </c>
      <c r="R438" s="15" t="n">
        <v>0.0130718954248366</v>
      </c>
      <c r="S438" s="32" t="n">
        <v>38680560000</v>
      </c>
      <c r="T438" s="15" t="n">
        <v>0.00977198697068404</v>
      </c>
      <c r="U438" s="32" t="n">
        <v>51195314915</v>
      </c>
      <c r="V438" s="14" t="n">
        <v>0.694695834508549</v>
      </c>
      <c r="W438" s="13" t="n">
        <v>0.00649350649350655</v>
      </c>
      <c r="X438" s="15" t="n">
        <v>0.00322580645161286</v>
      </c>
      <c r="Y438" s="13" t="n">
        <v>0.00100538035581033</v>
      </c>
      <c r="Z438" s="13" t="n">
        <v>0.0242885043521592</v>
      </c>
      <c r="AA438" s="30" t="s">
        <v>97</v>
      </c>
      <c r="AB438" s="28" t="s">
        <v>93</v>
      </c>
      <c r="AC438" s="28" t="s">
        <v>99</v>
      </c>
      <c r="AD438" s="28" t="s">
        <v>107</v>
      </c>
      <c r="AE438" s="28" t="s">
        <v>112</v>
      </c>
      <c r="AF438" s="28" t="s">
        <v>116</v>
      </c>
      <c r="AG438" s="30" t="s">
        <v>122</v>
      </c>
    </row>
    <row r="439" customFormat="false" ht="15" hidden="false" customHeight="false" outlineLevel="0" collapsed="false">
      <c r="A439" s="10" t="n">
        <v>2025</v>
      </c>
      <c r="B439" s="28" t="s">
        <v>66</v>
      </c>
      <c r="C439" s="29" t="n">
        <v>45776</v>
      </c>
      <c r="D439" s="30" t="s">
        <v>126</v>
      </c>
      <c r="E439" s="28" t="s">
        <v>749</v>
      </c>
      <c r="F439" s="30" t="s">
        <v>750</v>
      </c>
      <c r="G439" s="31" t="n">
        <v>13904</v>
      </c>
      <c r="H439" s="31" t="n">
        <v>7</v>
      </c>
      <c r="I439" s="31" t="n">
        <v>97327</v>
      </c>
      <c r="J439" s="29" t="n">
        <v>45785</v>
      </c>
      <c r="K439" s="31" t="n">
        <v>16690</v>
      </c>
      <c r="L439" s="30" t="s">
        <v>31</v>
      </c>
      <c r="M439" s="10" t="n">
        <v>4</v>
      </c>
      <c r="N439" s="12" t="n">
        <v>19295</v>
      </c>
      <c r="O439" s="13" t="n">
        <v>0.198252857042166</v>
      </c>
      <c r="P439" s="15" t="n">
        <v>0.285971048390055</v>
      </c>
      <c r="Q439" s="13" t="n">
        <v>-0.0182603573532297</v>
      </c>
      <c r="R439" s="15" t="n">
        <v>0.0792540792540792</v>
      </c>
      <c r="S439" s="32" t="n">
        <v>112938367680</v>
      </c>
      <c r="T439" s="15" t="n">
        <v>0.00216450216450226</v>
      </c>
      <c r="U439" s="32" t="n">
        <v>11737820864</v>
      </c>
      <c r="V439" s="14" t="n">
        <v>9.14773950452602</v>
      </c>
      <c r="W439" s="13" t="n">
        <v>0.0311804008908685</v>
      </c>
      <c r="X439" s="15" t="n">
        <v>0.0446364290856731</v>
      </c>
      <c r="Y439" s="13" t="n">
        <v>0.00649702219815906</v>
      </c>
      <c r="Z439" s="13" t="n">
        <v>0.0316813048933502</v>
      </c>
      <c r="AA439" s="30" t="s">
        <v>97</v>
      </c>
      <c r="AB439" s="28" t="s">
        <v>93</v>
      </c>
      <c r="AC439" s="28" t="s">
        <v>101</v>
      </c>
      <c r="AD439" s="28" t="s">
        <v>109</v>
      </c>
      <c r="AE439" s="28" t="s">
        <v>112</v>
      </c>
      <c r="AF439" s="28" t="s">
        <v>119</v>
      </c>
      <c r="AG439" s="30" t="s">
        <v>122</v>
      </c>
    </row>
    <row r="440" customFormat="false" ht="15" hidden="false" customHeight="false" outlineLevel="0" collapsed="false">
      <c r="A440" s="10" t="n">
        <v>2025</v>
      </c>
      <c r="B440" s="28" t="s">
        <v>67</v>
      </c>
      <c r="C440" s="29" t="n">
        <v>45779</v>
      </c>
      <c r="D440" s="30" t="s">
        <v>129</v>
      </c>
      <c r="E440" s="28" t="s">
        <v>215</v>
      </c>
      <c r="F440" s="30" t="s">
        <v>216</v>
      </c>
      <c r="G440" s="31" t="n">
        <v>36737</v>
      </c>
      <c r="H440" s="31" t="n">
        <v>2</v>
      </c>
      <c r="I440" s="31" t="n">
        <v>73473</v>
      </c>
      <c r="J440" s="29" t="n">
        <v>45819</v>
      </c>
      <c r="K440" s="31" t="n">
        <v>44100</v>
      </c>
      <c r="L440" s="30" t="s">
        <v>31</v>
      </c>
      <c r="M440" s="10" t="n">
        <v>24</v>
      </c>
      <c r="N440" s="12" t="n">
        <v>14570</v>
      </c>
      <c r="O440" s="13" t="n">
        <v>0.198303726110402</v>
      </c>
      <c r="P440" s="15" t="n">
        <v>0.242626583226038</v>
      </c>
      <c r="Q440" s="13" t="n">
        <v>-0.00916522169928158</v>
      </c>
      <c r="R440" s="15" t="n">
        <v>0.152276295133438</v>
      </c>
      <c r="S440" s="32" t="n">
        <v>142225198200</v>
      </c>
      <c r="T440" s="15" t="n">
        <v>0.0338028169014084</v>
      </c>
      <c r="U440" s="32" t="n">
        <v>28566771387.5</v>
      </c>
      <c r="V440" s="14" t="n">
        <v>4.39082091049677</v>
      </c>
      <c r="W440" s="13" t="n">
        <v>0.112121212121212</v>
      </c>
      <c r="X440" s="15" t="n">
        <v>0.0163487738419619</v>
      </c>
      <c r="Y440" s="13" t="n">
        <v>0.00124383460911126</v>
      </c>
      <c r="Z440" s="13" t="n">
        <v>0.0148513477617918</v>
      </c>
      <c r="AA440" s="30" t="s">
        <v>97</v>
      </c>
      <c r="AB440" s="28" t="s">
        <v>93</v>
      </c>
      <c r="AC440" s="28" t="s">
        <v>103</v>
      </c>
      <c r="AD440" s="28" t="s">
        <v>109</v>
      </c>
      <c r="AE440" s="28" t="s">
        <v>113</v>
      </c>
      <c r="AF440" s="28" t="s">
        <v>118</v>
      </c>
      <c r="AG440" s="30" t="s">
        <v>122</v>
      </c>
    </row>
    <row r="441" customFormat="false" ht="15" hidden="false" customHeight="false" outlineLevel="0" collapsed="false">
      <c r="A441" s="10" t="n">
        <v>2025</v>
      </c>
      <c r="B441" s="28" t="s">
        <v>67</v>
      </c>
      <c r="C441" s="29" t="n">
        <v>45784</v>
      </c>
      <c r="D441" s="30" t="s">
        <v>127</v>
      </c>
      <c r="E441" s="28" t="s">
        <v>751</v>
      </c>
      <c r="F441" s="30" t="s">
        <v>752</v>
      </c>
      <c r="G441" s="31" t="n">
        <v>22673</v>
      </c>
      <c r="H441" s="31" t="n">
        <v>4</v>
      </c>
      <c r="I441" s="31" t="n">
        <v>90691</v>
      </c>
      <c r="J441" s="29" t="n">
        <v>45821</v>
      </c>
      <c r="K441" s="31" t="n">
        <v>21578</v>
      </c>
      <c r="L441" s="30" t="s">
        <v>32</v>
      </c>
      <c r="M441" s="10" t="n">
        <v>25</v>
      </c>
      <c r="N441" s="12" t="n">
        <v>-4533</v>
      </c>
      <c r="O441" s="13" t="n">
        <v>-0.049983361340646</v>
      </c>
      <c r="P441" s="15" t="n">
        <v>0.0364911027162684</v>
      </c>
      <c r="Q441" s="13" t="n">
        <v>-0.062747407118268</v>
      </c>
      <c r="R441" s="15" t="n">
        <v>0.0785714285714285</v>
      </c>
      <c r="S441" s="32" t="n">
        <v>116146391400</v>
      </c>
      <c r="T441" s="15" t="n">
        <v>0.0510440835266821</v>
      </c>
      <c r="U441" s="32" t="n">
        <v>18784391112.5</v>
      </c>
      <c r="V441" s="14" t="n">
        <v>5.66201585446942</v>
      </c>
      <c r="W441" s="13" t="n">
        <v>0.0272108843537415</v>
      </c>
      <c r="X441" s="15" t="n">
        <v>0.0132450331125829</v>
      </c>
      <c r="Y441" s="13" t="n">
        <v>0.00547310521566224</v>
      </c>
      <c r="Z441" s="13" t="n">
        <v>0.0107999842909319</v>
      </c>
      <c r="AA441" s="30" t="s">
        <v>97</v>
      </c>
      <c r="AB441" s="28" t="s">
        <v>93</v>
      </c>
      <c r="AC441" s="28" t="s">
        <v>101</v>
      </c>
      <c r="AD441" s="28" t="s">
        <v>109</v>
      </c>
      <c r="AE441" s="28" t="s">
        <v>101</v>
      </c>
      <c r="AF441" s="28" t="s">
        <v>119</v>
      </c>
      <c r="AG441" s="30" t="s">
        <v>122</v>
      </c>
    </row>
    <row r="442" customFormat="false" ht="15" hidden="false" customHeight="false" outlineLevel="0" collapsed="false">
      <c r="A442" s="10" t="n">
        <v>2025</v>
      </c>
      <c r="B442" s="28" t="s">
        <v>67</v>
      </c>
      <c r="C442" s="29" t="n">
        <v>45784</v>
      </c>
      <c r="D442" s="30" t="s">
        <v>127</v>
      </c>
      <c r="E442" s="28" t="s">
        <v>469</v>
      </c>
      <c r="F442" s="28" t="s">
        <v>470</v>
      </c>
      <c r="G442" s="31" t="n">
        <v>58859</v>
      </c>
      <c r="H442" s="31" t="n">
        <v>1</v>
      </c>
      <c r="I442" s="31" t="n">
        <v>58859</v>
      </c>
      <c r="J442" s="29" t="n">
        <v>45793</v>
      </c>
      <c r="K442" s="31" t="n">
        <v>55944</v>
      </c>
      <c r="L442" s="30" t="s">
        <v>32</v>
      </c>
      <c r="M442" s="10" t="n">
        <v>7</v>
      </c>
      <c r="N442" s="12" t="n">
        <v>-3016</v>
      </c>
      <c r="O442" s="13" t="n">
        <v>-0.0512401955187668</v>
      </c>
      <c r="P442" s="15" t="n">
        <v>0.0125928493275433</v>
      </c>
      <c r="Q442" s="13" t="n">
        <v>-0.0587643648868138</v>
      </c>
      <c r="R442" s="15" t="n">
        <v>0.0243902439024391</v>
      </c>
      <c r="S442" s="32" t="n">
        <v>33011907600</v>
      </c>
      <c r="T442" s="15" t="n">
        <v>0.0208333333333333</v>
      </c>
      <c r="U442" s="32" t="n">
        <v>29895451810</v>
      </c>
      <c r="V442" s="14" t="n">
        <v>1.02662025946972</v>
      </c>
      <c r="W442" s="13" t="n">
        <v>0.0137931034482759</v>
      </c>
      <c r="X442" s="15" t="n">
        <v>0.00680272108843538</v>
      </c>
      <c r="Y442" s="13" t="n">
        <v>0.00547310521566224</v>
      </c>
      <c r="Z442" s="13" t="n">
        <v>0.0107999842909319</v>
      </c>
      <c r="AA442" s="30" t="s">
        <v>97</v>
      </c>
      <c r="AB442" s="28" t="s">
        <v>93</v>
      </c>
      <c r="AC442" s="28" t="s">
        <v>99</v>
      </c>
      <c r="AD442" s="28" t="s">
        <v>107</v>
      </c>
      <c r="AE442" s="28" t="s">
        <v>113</v>
      </c>
      <c r="AF442" s="28" t="s">
        <v>116</v>
      </c>
      <c r="AG442" s="30" t="s">
        <v>122</v>
      </c>
    </row>
    <row r="443" customFormat="false" ht="15" hidden="false" customHeight="false" outlineLevel="0" collapsed="false">
      <c r="A443" s="10" t="n">
        <v>2025</v>
      </c>
      <c r="B443" s="28" t="s">
        <v>67</v>
      </c>
      <c r="C443" s="29" t="n">
        <v>45784</v>
      </c>
      <c r="D443" s="30" t="s">
        <v>127</v>
      </c>
      <c r="E443" s="28" t="s">
        <v>753</v>
      </c>
      <c r="F443" s="28" t="s">
        <v>754</v>
      </c>
      <c r="G443" s="31" t="n">
        <v>92392</v>
      </c>
      <c r="H443" s="31" t="n">
        <v>1</v>
      </c>
      <c r="I443" s="31" t="n">
        <v>92392</v>
      </c>
      <c r="J443" s="29" t="n">
        <v>45805</v>
      </c>
      <c r="K443" s="31" t="n">
        <v>110900</v>
      </c>
      <c r="L443" s="30" t="s">
        <v>31</v>
      </c>
      <c r="M443" s="10" t="n">
        <v>15</v>
      </c>
      <c r="N443" s="12" t="n">
        <v>18311</v>
      </c>
      <c r="O443" s="13" t="n">
        <v>0.198185954403127</v>
      </c>
      <c r="P443" s="15" t="n">
        <v>0.220339790220614</v>
      </c>
      <c r="Q443" s="13" t="n">
        <v>-0.00316368355371588</v>
      </c>
      <c r="R443" s="15" t="n">
        <v>0.0109529025191675</v>
      </c>
      <c r="S443" s="32" t="n">
        <v>25430680600</v>
      </c>
      <c r="T443" s="15" t="n">
        <v>0.0109529025191675</v>
      </c>
      <c r="U443" s="32" t="n">
        <v>24707052675</v>
      </c>
      <c r="V443" s="14" t="n">
        <v>0.93506849635853</v>
      </c>
      <c r="W443" s="13" t="n">
        <v>-0.0253431890179514</v>
      </c>
      <c r="X443" s="15" t="n">
        <v>0.0260021668472372</v>
      </c>
      <c r="Y443" s="13" t="n">
        <v>0.00547310521566224</v>
      </c>
      <c r="Z443" s="13" t="n">
        <v>0.0107999842909319</v>
      </c>
      <c r="AA443" s="30" t="s">
        <v>97</v>
      </c>
      <c r="AB443" s="28" t="s">
        <v>93</v>
      </c>
      <c r="AC443" s="28" t="s">
        <v>99</v>
      </c>
      <c r="AD443" s="28" t="s">
        <v>106</v>
      </c>
      <c r="AE443" s="28" t="s">
        <v>112</v>
      </c>
      <c r="AF443" s="28" t="s">
        <v>116</v>
      </c>
      <c r="AG443" s="30" t="s">
        <v>123</v>
      </c>
    </row>
    <row r="444" customFormat="false" ht="15" hidden="false" customHeight="false" outlineLevel="0" collapsed="false">
      <c r="A444" s="10" t="n">
        <v>2025</v>
      </c>
      <c r="B444" s="28" t="s">
        <v>67</v>
      </c>
      <c r="C444" s="29" t="n">
        <v>45785</v>
      </c>
      <c r="D444" s="30" t="s">
        <v>128</v>
      </c>
      <c r="E444" s="28" t="s">
        <v>537</v>
      </c>
      <c r="F444" s="30" t="s">
        <v>538</v>
      </c>
      <c r="G444" s="31" t="n">
        <v>12452</v>
      </c>
      <c r="H444" s="31" t="n">
        <v>7</v>
      </c>
      <c r="I444" s="31" t="n">
        <v>87167</v>
      </c>
      <c r="J444" s="29" t="n">
        <v>45789</v>
      </c>
      <c r="K444" s="31" t="n">
        <v>11848</v>
      </c>
      <c r="L444" s="30" t="s">
        <v>32</v>
      </c>
      <c r="M444" s="10" t="n">
        <v>2</v>
      </c>
      <c r="N444" s="12" t="n">
        <v>-4380</v>
      </c>
      <c r="O444" s="13" t="n">
        <v>-0.0502485695172992</v>
      </c>
      <c r="P444" s="15" t="n">
        <v>-0.00822650018791482</v>
      </c>
      <c r="Q444" s="13" t="n">
        <v>-0.0556067726485732</v>
      </c>
      <c r="R444" s="15" t="n">
        <v>0.139194139194139</v>
      </c>
      <c r="S444" s="32" t="n">
        <v>86795235960</v>
      </c>
      <c r="T444" s="15" t="n">
        <v>0.0941072999120494</v>
      </c>
      <c r="U444" s="32" t="n">
        <v>3762393438</v>
      </c>
      <c r="V444" s="14" t="n">
        <v>19.9145204613007</v>
      </c>
      <c r="W444" s="13" t="n">
        <v>0.139194139194139</v>
      </c>
      <c r="X444" s="15" t="n">
        <v>0.0659163987138263</v>
      </c>
      <c r="Y444" s="13" t="n">
        <v>0.00220685367938445</v>
      </c>
      <c r="Z444" s="13" t="n">
        <v>0.0120132137504609</v>
      </c>
      <c r="AA444" s="30" t="s">
        <v>97</v>
      </c>
      <c r="AB444" s="28" t="s">
        <v>93</v>
      </c>
      <c r="AC444" s="28" t="s">
        <v>102</v>
      </c>
      <c r="AD444" s="28" t="s">
        <v>108</v>
      </c>
      <c r="AE444" s="28" t="s">
        <v>101</v>
      </c>
      <c r="AF444" s="28" t="s">
        <v>120</v>
      </c>
      <c r="AG444" s="30" t="s">
        <v>122</v>
      </c>
    </row>
    <row r="445" customFormat="false" ht="15" hidden="false" customHeight="false" outlineLevel="0" collapsed="false">
      <c r="A445" s="10" t="n">
        <v>2025</v>
      </c>
      <c r="B445" s="28" t="s">
        <v>67</v>
      </c>
      <c r="C445" s="29" t="n">
        <v>45785</v>
      </c>
      <c r="D445" s="30" t="s">
        <v>128</v>
      </c>
      <c r="E445" s="28" t="s">
        <v>379</v>
      </c>
      <c r="F445" s="30" t="s">
        <v>380</v>
      </c>
      <c r="G445" s="31" t="n">
        <v>20020</v>
      </c>
      <c r="H445" s="31" t="n">
        <v>4</v>
      </c>
      <c r="I445" s="31" t="n">
        <v>80080</v>
      </c>
      <c r="J445" s="29" t="n">
        <v>45842</v>
      </c>
      <c r="K445" s="31" t="n">
        <v>24050</v>
      </c>
      <c r="L445" s="30" t="s">
        <v>31</v>
      </c>
      <c r="M445" s="10" t="n">
        <v>39</v>
      </c>
      <c r="N445" s="12" t="n">
        <v>15949</v>
      </c>
      <c r="O445" s="13" t="n">
        <v>0.199166558441559</v>
      </c>
      <c r="P445" s="15" t="n">
        <v>0.243756243756244</v>
      </c>
      <c r="Q445" s="13" t="n">
        <v>-0.0159840159840158</v>
      </c>
      <c r="R445" s="15" t="n">
        <v>0.0266940451745379</v>
      </c>
      <c r="S445" s="32" t="n">
        <v>21290980000</v>
      </c>
      <c r="T445" s="15" t="n">
        <v>0.015744032503809</v>
      </c>
      <c r="U445" s="32" t="n">
        <v>14042728958.5</v>
      </c>
      <c r="V445" s="14" t="n">
        <v>1.44090386872664</v>
      </c>
      <c r="W445" s="13" t="n">
        <v>0.0245901639344262</v>
      </c>
      <c r="X445" s="15" t="n">
        <v>0.01</v>
      </c>
      <c r="Y445" s="13" t="n">
        <v>0.00220685367938445</v>
      </c>
      <c r="Z445" s="13" t="n">
        <v>0.0120132137504609</v>
      </c>
      <c r="AA445" s="30" t="s">
        <v>97</v>
      </c>
      <c r="AB445" s="28" t="s">
        <v>93</v>
      </c>
      <c r="AC445" s="28" t="s">
        <v>99</v>
      </c>
      <c r="AD445" s="28" t="s">
        <v>106</v>
      </c>
      <c r="AE445" s="28" t="s">
        <v>112</v>
      </c>
      <c r="AF445" s="28" t="s">
        <v>116</v>
      </c>
      <c r="AG445" s="30" t="s">
        <v>122</v>
      </c>
    </row>
    <row r="446" customFormat="false" ht="15" hidden="false" customHeight="false" outlineLevel="0" collapsed="false">
      <c r="A446" s="10" t="n">
        <v>2025</v>
      </c>
      <c r="B446" s="28" t="s">
        <v>67</v>
      </c>
      <c r="C446" s="29" t="n">
        <v>45789</v>
      </c>
      <c r="D446" s="30" t="s">
        <v>125</v>
      </c>
      <c r="E446" s="28" t="s">
        <v>327</v>
      </c>
      <c r="F446" s="30" t="s">
        <v>328</v>
      </c>
      <c r="G446" s="31" t="n">
        <v>57658</v>
      </c>
      <c r="H446" s="31" t="n">
        <v>1</v>
      </c>
      <c r="I446" s="31" t="n">
        <v>57658</v>
      </c>
      <c r="J446" s="29" t="n">
        <v>45799</v>
      </c>
      <c r="K446" s="31" t="n">
        <v>54845</v>
      </c>
      <c r="L446" s="30" t="s">
        <v>32</v>
      </c>
      <c r="M446" s="10" t="n">
        <v>8</v>
      </c>
      <c r="N446" s="12" t="n">
        <v>-2912</v>
      </c>
      <c r="O446" s="13" t="n">
        <v>-0.0504988597340159</v>
      </c>
      <c r="P446" s="15" t="n">
        <v>0.0163447663447665</v>
      </c>
      <c r="Q446" s="13" t="n">
        <v>-0.0547646797646796</v>
      </c>
      <c r="R446" s="15" t="n">
        <v>0.051094890510949</v>
      </c>
      <c r="S446" s="32" t="n">
        <v>887886835200</v>
      </c>
      <c r="T446" s="15" t="n">
        <v>0.0176678445229681</v>
      </c>
      <c r="U446" s="32" t="n">
        <v>706601922475</v>
      </c>
      <c r="V446" s="14" t="n">
        <v>1.20322423651283</v>
      </c>
      <c r="W446" s="13" t="n">
        <v>0.0434782608695652</v>
      </c>
      <c r="X446" s="15" t="n">
        <v>0</v>
      </c>
      <c r="Y446" s="13" t="n">
        <v>0.0116635044058246</v>
      </c>
      <c r="Z446" s="13" t="n">
        <v>0.019838770872366</v>
      </c>
      <c r="AA446" s="30" t="s">
        <v>97</v>
      </c>
      <c r="AB446" s="28" t="s">
        <v>93</v>
      </c>
      <c r="AC446" s="28" t="s">
        <v>101</v>
      </c>
      <c r="AD446" s="28" t="s">
        <v>110</v>
      </c>
      <c r="AE446" s="28" t="s">
        <v>112</v>
      </c>
      <c r="AF446" s="28" t="s">
        <v>116</v>
      </c>
      <c r="AG446" s="30" t="s">
        <v>122</v>
      </c>
    </row>
    <row r="447" customFormat="false" ht="15" hidden="false" customHeight="false" outlineLevel="0" collapsed="false">
      <c r="A447" s="10" t="n">
        <v>2025</v>
      </c>
      <c r="B447" s="28" t="s">
        <v>67</v>
      </c>
      <c r="C447" s="29" t="n">
        <v>45799</v>
      </c>
      <c r="D447" s="30" t="s">
        <v>128</v>
      </c>
      <c r="E447" s="28" t="s">
        <v>755</v>
      </c>
      <c r="F447" s="30" t="s">
        <v>756</v>
      </c>
      <c r="G447" s="31" t="n">
        <v>49600</v>
      </c>
      <c r="H447" s="31" t="n">
        <v>2</v>
      </c>
      <c r="I447" s="31" t="n">
        <v>99199</v>
      </c>
      <c r="J447" s="29" t="n">
        <v>45826</v>
      </c>
      <c r="K447" s="31" t="n">
        <v>59600</v>
      </c>
      <c r="L447" s="30" t="s">
        <v>31</v>
      </c>
      <c r="M447" s="10" t="n">
        <v>17</v>
      </c>
      <c r="N447" s="12" t="n">
        <v>19789</v>
      </c>
      <c r="O447" s="13" t="n">
        <v>0.199491125776343</v>
      </c>
      <c r="P447" s="15" t="n">
        <v>0.215736836322104</v>
      </c>
      <c r="Q447" s="13" t="n">
        <v>-0.033257358181677</v>
      </c>
      <c r="R447" s="15" t="n">
        <v>0.112233445566779</v>
      </c>
      <c r="S447" s="32" t="n">
        <v>27299126550</v>
      </c>
      <c r="T447" s="15" t="n">
        <v>0.034446764091858</v>
      </c>
      <c r="U447" s="32" t="n">
        <v>5776612747.5</v>
      </c>
      <c r="V447" s="14" t="n">
        <v>4.24132571403937</v>
      </c>
      <c r="W447" s="13" t="n">
        <v>0.117249154453213</v>
      </c>
      <c r="X447" s="15" t="n">
        <v>0.0191725529767912</v>
      </c>
      <c r="Y447" s="13" t="n">
        <v>-0.012153505130295</v>
      </c>
      <c r="Z447" s="13" t="n">
        <v>-0.0105632190923796</v>
      </c>
      <c r="AA447" s="30" t="s">
        <v>97</v>
      </c>
      <c r="AB447" s="28" t="s">
        <v>94</v>
      </c>
      <c r="AC447" s="28" t="s">
        <v>102</v>
      </c>
      <c r="AD447" s="28" t="s">
        <v>106</v>
      </c>
      <c r="AE447" s="28" t="s">
        <v>113</v>
      </c>
      <c r="AF447" s="28" t="s">
        <v>118</v>
      </c>
      <c r="AG447" s="30" t="s">
        <v>122</v>
      </c>
    </row>
    <row r="448" customFormat="false" ht="15" hidden="false" customHeight="false" outlineLevel="0" collapsed="false">
      <c r="A448" s="10" t="n">
        <v>2025</v>
      </c>
      <c r="B448" s="28" t="s">
        <v>67</v>
      </c>
      <c r="C448" s="29" t="n">
        <v>45803</v>
      </c>
      <c r="D448" s="30" t="s">
        <v>125</v>
      </c>
      <c r="E448" s="28" t="s">
        <v>757</v>
      </c>
      <c r="F448" s="30" t="s">
        <v>758</v>
      </c>
      <c r="G448" s="31" t="n">
        <v>15465</v>
      </c>
      <c r="H448" s="31" t="n">
        <v>6</v>
      </c>
      <c r="I448" s="31" t="n">
        <v>92793</v>
      </c>
      <c r="J448" s="29" t="n">
        <v>45807</v>
      </c>
      <c r="K448" s="31" t="n">
        <v>14715</v>
      </c>
      <c r="L448" s="30" t="s">
        <v>32</v>
      </c>
      <c r="M448" s="10" t="n">
        <v>4</v>
      </c>
      <c r="N448" s="12" t="n">
        <v>-4661</v>
      </c>
      <c r="O448" s="13" t="n">
        <v>-0.0502267966984472</v>
      </c>
      <c r="P448" s="15" t="n">
        <v>0.0183990766515039</v>
      </c>
      <c r="Q448" s="13" t="n">
        <v>-0.0482009899485627</v>
      </c>
      <c r="R448" s="15" t="n">
        <v>0.0655172413793104</v>
      </c>
      <c r="S448" s="32" t="n">
        <v>21661069950</v>
      </c>
      <c r="T448" s="15" t="n">
        <v>0.0124508519003932</v>
      </c>
      <c r="U448" s="32" t="n">
        <v>8117041251</v>
      </c>
      <c r="V448" s="14" t="n">
        <v>2.38788340918608</v>
      </c>
      <c r="W448" s="13" t="n">
        <v>0.0647829083390765</v>
      </c>
      <c r="X448" s="15" t="n">
        <v>0.00453074433656964</v>
      </c>
      <c r="Y448" s="13" t="n">
        <v>0.0201806264442979</v>
      </c>
      <c r="Z448" s="13" t="n">
        <v>0.0157408332116984</v>
      </c>
      <c r="AA448" s="30" t="s">
        <v>97</v>
      </c>
      <c r="AB448" s="28" t="s">
        <v>93</v>
      </c>
      <c r="AC448" s="28" t="s">
        <v>101</v>
      </c>
      <c r="AD448" s="28" t="s">
        <v>106</v>
      </c>
      <c r="AE448" s="28" t="s">
        <v>112</v>
      </c>
      <c r="AF448" s="28" t="s">
        <v>117</v>
      </c>
      <c r="AG448" s="30" t="s">
        <v>122</v>
      </c>
    </row>
    <row r="449" customFormat="false" ht="15" hidden="false" customHeight="false" outlineLevel="0" collapsed="false">
      <c r="A449" s="10" t="n">
        <v>2025</v>
      </c>
      <c r="B449" s="28" t="s">
        <v>67</v>
      </c>
      <c r="C449" s="29" t="n">
        <v>45803</v>
      </c>
      <c r="D449" s="30" t="s">
        <v>125</v>
      </c>
      <c r="E449" s="28" t="s">
        <v>261</v>
      </c>
      <c r="F449" s="28" t="s">
        <v>262</v>
      </c>
      <c r="G449" s="31" t="n">
        <v>53654</v>
      </c>
      <c r="H449" s="31" t="n">
        <v>1</v>
      </c>
      <c r="I449" s="31" t="n">
        <v>53654</v>
      </c>
      <c r="J449" s="29" t="n">
        <v>45821</v>
      </c>
      <c r="K449" s="31" t="n">
        <v>64400</v>
      </c>
      <c r="L449" s="30" t="s">
        <v>31</v>
      </c>
      <c r="M449" s="10" t="n">
        <v>12</v>
      </c>
      <c r="N449" s="12" t="n">
        <v>10632</v>
      </c>
      <c r="O449" s="13" t="n">
        <v>0.198161762864002</v>
      </c>
      <c r="P449" s="15" t="n">
        <v>0.246887440917292</v>
      </c>
      <c r="Q449" s="13" t="n">
        <v>0.00832003817078464</v>
      </c>
      <c r="R449" s="15" t="n">
        <v>0.057199211045365</v>
      </c>
      <c r="S449" s="32" t="n">
        <v>21659063200</v>
      </c>
      <c r="T449" s="15" t="n">
        <v>0.0151515151515151</v>
      </c>
      <c r="U449" s="32" t="n">
        <v>7380243365</v>
      </c>
      <c r="V449" s="14" t="n">
        <v>2.83841515668331</v>
      </c>
      <c r="W449" s="13" t="n">
        <v>0.057199211045365</v>
      </c>
      <c r="X449" s="15" t="n">
        <v>0</v>
      </c>
      <c r="Y449" s="13" t="n">
        <v>0.0201806264442979</v>
      </c>
      <c r="Z449" s="13" t="n">
        <v>0.0157408332116984</v>
      </c>
      <c r="AA449" s="30" t="s">
        <v>97</v>
      </c>
      <c r="AB449" s="28" t="s">
        <v>93</v>
      </c>
      <c r="AC449" s="28" t="s">
        <v>101</v>
      </c>
      <c r="AD449" s="28" t="s">
        <v>106</v>
      </c>
      <c r="AE449" s="28" t="s">
        <v>112</v>
      </c>
      <c r="AF449" s="28" t="s">
        <v>117</v>
      </c>
      <c r="AG449" s="30" t="s">
        <v>122</v>
      </c>
    </row>
    <row r="450" customFormat="false" ht="15" hidden="false" customHeight="false" outlineLevel="0" collapsed="false">
      <c r="A450" s="10" t="n">
        <v>2025</v>
      </c>
      <c r="B450" s="28" t="s">
        <v>67</v>
      </c>
      <c r="C450" s="29" t="n">
        <v>45804</v>
      </c>
      <c r="D450" s="30" t="s">
        <v>126</v>
      </c>
      <c r="E450" s="28" t="s">
        <v>289</v>
      </c>
      <c r="F450" s="30" t="s">
        <v>290</v>
      </c>
      <c r="G450" s="31" t="n">
        <v>82683</v>
      </c>
      <c r="H450" s="31" t="n">
        <v>1</v>
      </c>
      <c r="I450" s="31" t="n">
        <v>82683</v>
      </c>
      <c r="J450" s="29" t="n">
        <v>45806</v>
      </c>
      <c r="K450" s="31" t="n">
        <v>78621</v>
      </c>
      <c r="L450" s="30" t="s">
        <v>32</v>
      </c>
      <c r="M450" s="10" t="n">
        <v>2</v>
      </c>
      <c r="N450" s="12" t="n">
        <v>-4203</v>
      </c>
      <c r="O450" s="13" t="n">
        <v>-0.0508381150931391</v>
      </c>
      <c r="P450" s="15" t="n">
        <v>0.00504822054458876</v>
      </c>
      <c r="Q450" s="13" t="n">
        <v>-0.0820317696831013</v>
      </c>
      <c r="R450" s="15" t="n">
        <v>0.225519287833828</v>
      </c>
      <c r="S450" s="32" t="n">
        <v>341363250200</v>
      </c>
      <c r="T450" s="15" t="n">
        <v>0.197101449275362</v>
      </c>
      <c r="U450" s="32" t="n">
        <v>52810040870</v>
      </c>
      <c r="V450" s="14" t="n">
        <v>5.02744475193402</v>
      </c>
      <c r="W450" s="13" t="n">
        <v>0.211143695014663</v>
      </c>
      <c r="X450" s="15" t="n">
        <v>0.0169491525423728</v>
      </c>
      <c r="Y450" s="13" t="n">
        <v>-0.00271517168355784</v>
      </c>
      <c r="Z450" s="13" t="n">
        <v>0.0136136520870165</v>
      </c>
      <c r="AA450" s="30" t="s">
        <v>97</v>
      </c>
      <c r="AB450" s="28" t="s">
        <v>93</v>
      </c>
      <c r="AC450" s="28" t="s">
        <v>104</v>
      </c>
      <c r="AD450" s="28" t="s">
        <v>110</v>
      </c>
      <c r="AE450" s="28" t="s">
        <v>114</v>
      </c>
      <c r="AF450" s="28" t="s">
        <v>119</v>
      </c>
      <c r="AG450" s="30" t="s">
        <v>122</v>
      </c>
    </row>
    <row r="451" customFormat="false" ht="15" hidden="false" customHeight="false" outlineLevel="0" collapsed="false">
      <c r="A451" s="10" t="n">
        <v>2025</v>
      </c>
      <c r="B451" s="28" t="s">
        <v>67</v>
      </c>
      <c r="C451" s="29" t="n">
        <v>45807</v>
      </c>
      <c r="D451" s="30" t="s">
        <v>129</v>
      </c>
      <c r="E451" s="28" t="s">
        <v>759</v>
      </c>
      <c r="F451" s="30" t="s">
        <v>760</v>
      </c>
      <c r="G451" s="31" t="n">
        <v>54354</v>
      </c>
      <c r="H451" s="31" t="n">
        <v>1</v>
      </c>
      <c r="I451" s="31" t="n">
        <v>54354</v>
      </c>
      <c r="J451" s="29" t="n">
        <v>45810</v>
      </c>
      <c r="K451" s="31" t="n">
        <v>51648</v>
      </c>
      <c r="L451" s="30" t="s">
        <v>32</v>
      </c>
      <c r="M451" s="10" t="n">
        <v>1</v>
      </c>
      <c r="N451" s="12" t="n">
        <v>-2799</v>
      </c>
      <c r="O451" s="13" t="n">
        <v>-0.0515023252990103</v>
      </c>
      <c r="P451" s="15" t="n">
        <v>0.0486750818242532</v>
      </c>
      <c r="Q451" s="13" t="n">
        <v>-0.0617117688940893</v>
      </c>
      <c r="R451" s="15" t="n">
        <v>0.0838323353293413</v>
      </c>
      <c r="S451" s="32" t="n">
        <v>78894587700</v>
      </c>
      <c r="T451" s="15" t="n">
        <v>0.0442307692307693</v>
      </c>
      <c r="U451" s="32" t="n">
        <v>22969641947.5</v>
      </c>
      <c r="V451" s="14" t="n">
        <v>3.01997350501138</v>
      </c>
      <c r="W451" s="13" t="n">
        <v>0.0710059171597632</v>
      </c>
      <c r="X451" s="15" t="n">
        <v>0.00920810313075515</v>
      </c>
      <c r="Y451" s="13" t="n">
        <v>-0.00844286638438008</v>
      </c>
      <c r="Z451" s="13" t="n">
        <v>0.0407316103993303</v>
      </c>
      <c r="AA451" s="30" t="s">
        <v>97</v>
      </c>
      <c r="AB451" s="28" t="s">
        <v>93</v>
      </c>
      <c r="AC451" s="28" t="s">
        <v>101</v>
      </c>
      <c r="AD451" s="28" t="s">
        <v>108</v>
      </c>
      <c r="AE451" s="28" t="s">
        <v>113</v>
      </c>
      <c r="AF451" s="28" t="s">
        <v>118</v>
      </c>
      <c r="AG451" s="30" t="s">
        <v>122</v>
      </c>
    </row>
    <row r="452" customFormat="false" ht="15" hidden="false" customHeight="false" outlineLevel="0" collapsed="false">
      <c r="A452" s="10" t="n">
        <v>2025</v>
      </c>
      <c r="B452" s="28" t="s">
        <v>67</v>
      </c>
      <c r="C452" s="29" t="n">
        <v>45807</v>
      </c>
      <c r="D452" s="30" t="s">
        <v>129</v>
      </c>
      <c r="E452" s="28" t="s">
        <v>761</v>
      </c>
      <c r="F452" s="30" t="s">
        <v>762</v>
      </c>
      <c r="G452" s="31" t="n">
        <v>4865</v>
      </c>
      <c r="H452" s="31" t="n">
        <v>20</v>
      </c>
      <c r="I452" s="31" t="n">
        <v>97297</v>
      </c>
      <c r="J452" s="29" t="n">
        <v>45810</v>
      </c>
      <c r="K452" s="31" t="n">
        <v>4630</v>
      </c>
      <c r="L452" s="30" t="s">
        <v>32</v>
      </c>
      <c r="M452" s="10" t="n">
        <v>1</v>
      </c>
      <c r="N452" s="12" t="n">
        <v>-4857</v>
      </c>
      <c r="O452" s="13" t="n">
        <v>-0.0499222652347653</v>
      </c>
      <c r="P452" s="15" t="n">
        <v>0.107945552389997</v>
      </c>
      <c r="Q452" s="13" t="n">
        <v>-0.057526835304613</v>
      </c>
      <c r="R452" s="15" t="n">
        <v>0.00309597523219818</v>
      </c>
      <c r="S452" s="32" t="n">
        <v>33101508600</v>
      </c>
      <c r="T452" s="15" t="n">
        <v>0.00309597523219818</v>
      </c>
      <c r="U452" s="32" t="n">
        <v>3952232432</v>
      </c>
      <c r="V452" s="14" t="n">
        <v>7.70896967468275</v>
      </c>
      <c r="W452" s="13" t="n">
        <v>-0.0221327967806841</v>
      </c>
      <c r="X452" s="15" t="n">
        <v>0.181069958847737</v>
      </c>
      <c r="Y452" s="13" t="n">
        <v>-0.00844286638438008</v>
      </c>
      <c r="Z452" s="13" t="n">
        <v>0.0407316103993303</v>
      </c>
      <c r="AA452" s="30" t="s">
        <v>97</v>
      </c>
      <c r="AB452" s="28" t="s">
        <v>93</v>
      </c>
      <c r="AC452" s="28" t="s">
        <v>99</v>
      </c>
      <c r="AD452" s="28" t="s">
        <v>107</v>
      </c>
      <c r="AE452" s="28" t="s">
        <v>112</v>
      </c>
      <c r="AF452" s="28" t="s">
        <v>119</v>
      </c>
      <c r="AG452" s="30" t="s">
        <v>123</v>
      </c>
    </row>
    <row r="453" customFormat="false" ht="15" hidden="false" customHeight="false" outlineLevel="0" collapsed="false">
      <c r="A453" s="10" t="n">
        <v>2025</v>
      </c>
      <c r="B453" s="28" t="s">
        <v>68</v>
      </c>
      <c r="C453" s="29" t="n">
        <v>45810</v>
      </c>
      <c r="D453" s="30" t="s">
        <v>125</v>
      </c>
      <c r="E453" s="28" t="s">
        <v>191</v>
      </c>
      <c r="F453" s="30" t="s">
        <v>192</v>
      </c>
      <c r="G453" s="31" t="n">
        <v>34885</v>
      </c>
      <c r="H453" s="31" t="n">
        <v>2</v>
      </c>
      <c r="I453" s="31" t="n">
        <v>69770</v>
      </c>
      <c r="J453" s="29" t="n">
        <v>45812</v>
      </c>
      <c r="K453" s="31" t="n">
        <v>41900</v>
      </c>
      <c r="L453" s="30" t="s">
        <v>31</v>
      </c>
      <c r="M453" s="10" t="n">
        <v>1</v>
      </c>
      <c r="N453" s="12" t="n">
        <v>13882</v>
      </c>
      <c r="O453" s="13" t="n">
        <v>0.198962652053829</v>
      </c>
      <c r="P453" s="15" t="n">
        <v>0.236926631474695</v>
      </c>
      <c r="Q453" s="13" t="n">
        <v>0.0405663203367652</v>
      </c>
      <c r="R453" s="15" t="n">
        <v>0.118780096308186</v>
      </c>
      <c r="S453" s="32" t="n">
        <v>35837649000</v>
      </c>
      <c r="T453" s="15" t="n">
        <v>0.0130813953488371</v>
      </c>
      <c r="U453" s="32" t="n">
        <v>10079577015</v>
      </c>
      <c r="V453" s="14" t="n">
        <v>3.31591388116927</v>
      </c>
      <c r="W453" s="13" t="n">
        <v>0.0993690851735016</v>
      </c>
      <c r="X453" s="15" t="n">
        <v>0.0157819225251077</v>
      </c>
      <c r="Y453" s="13" t="n">
        <v>0.00048189734103854</v>
      </c>
      <c r="Z453" s="13" t="n">
        <v>0.0206360611102707</v>
      </c>
      <c r="AA453" s="30" t="s">
        <v>97</v>
      </c>
      <c r="AB453" s="28" t="s">
        <v>93</v>
      </c>
      <c r="AC453" s="28" t="s">
        <v>102</v>
      </c>
      <c r="AD453" s="28" t="s">
        <v>107</v>
      </c>
      <c r="AE453" s="28" t="s">
        <v>112</v>
      </c>
      <c r="AF453" s="28" t="s">
        <v>118</v>
      </c>
      <c r="AG453" s="30" t="s">
        <v>122</v>
      </c>
    </row>
    <row r="454" customFormat="false" ht="15" hidden="false" customHeight="false" outlineLevel="0" collapsed="false">
      <c r="A454" s="10" t="n">
        <v>2025</v>
      </c>
      <c r="B454" s="28" t="s">
        <v>68</v>
      </c>
      <c r="C454" s="29" t="n">
        <v>45810</v>
      </c>
      <c r="D454" s="30" t="s">
        <v>125</v>
      </c>
      <c r="E454" s="28" t="s">
        <v>675</v>
      </c>
      <c r="F454" s="28" t="s">
        <v>676</v>
      </c>
      <c r="G454" s="31" t="n">
        <v>42342</v>
      </c>
      <c r="H454" s="31" t="n">
        <v>2</v>
      </c>
      <c r="I454" s="31" t="n">
        <v>84685</v>
      </c>
      <c r="J454" s="29" t="n">
        <v>45910</v>
      </c>
      <c r="K454" s="31" t="n">
        <v>50900</v>
      </c>
      <c r="L454" s="30" t="s">
        <v>31</v>
      </c>
      <c r="M454" s="10" t="n">
        <v>69</v>
      </c>
      <c r="N454" s="12" t="n">
        <v>16935</v>
      </c>
      <c r="O454" s="13" t="n">
        <v>0.199974107570916</v>
      </c>
      <c r="P454" s="15" t="n">
        <v>0.202107585086309</v>
      </c>
      <c r="Q454" s="13" t="n">
        <v>-0.00454155773304699</v>
      </c>
      <c r="R454" s="15" t="n">
        <v>0.0846153846153845</v>
      </c>
      <c r="S454" s="32" t="n">
        <v>34794203400</v>
      </c>
      <c r="T454" s="15" t="n">
        <v>0.0628140703517588</v>
      </c>
      <c r="U454" s="32" t="n">
        <v>3951014897.5</v>
      </c>
      <c r="V454" s="14" t="n">
        <v>8.09520271271044</v>
      </c>
      <c r="W454" s="13" t="n">
        <v>0.0614805520702635</v>
      </c>
      <c r="X454" s="15" t="n">
        <v>0.0472813238770686</v>
      </c>
      <c r="Y454" s="13" t="n">
        <v>0.00048189734103854</v>
      </c>
      <c r="Z454" s="13" t="n">
        <v>0.0206360611102707</v>
      </c>
      <c r="AA454" s="30" t="s">
        <v>97</v>
      </c>
      <c r="AB454" s="28" t="s">
        <v>93</v>
      </c>
      <c r="AC454" s="28" t="s">
        <v>101</v>
      </c>
      <c r="AD454" s="28" t="s">
        <v>107</v>
      </c>
      <c r="AE454" s="28" t="s">
        <v>101</v>
      </c>
      <c r="AF454" s="28" t="s">
        <v>119</v>
      </c>
      <c r="AG454" s="30" t="s">
        <v>122</v>
      </c>
    </row>
    <row r="455" customFormat="false" ht="15" hidden="false" customHeight="false" outlineLevel="0" collapsed="false">
      <c r="A455" s="10" t="n">
        <v>2025</v>
      </c>
      <c r="B455" s="28" t="s">
        <v>68</v>
      </c>
      <c r="C455" s="29" t="n">
        <v>45812</v>
      </c>
      <c r="D455" s="30" t="s">
        <v>127</v>
      </c>
      <c r="E455" s="28" t="s">
        <v>715</v>
      </c>
      <c r="F455" s="30" t="s">
        <v>716</v>
      </c>
      <c r="G455" s="31" t="n">
        <v>27227</v>
      </c>
      <c r="H455" s="31" t="n">
        <v>3</v>
      </c>
      <c r="I455" s="31" t="n">
        <v>81682</v>
      </c>
      <c r="J455" s="29" t="n">
        <v>45813</v>
      </c>
      <c r="K455" s="31" t="n">
        <v>32700</v>
      </c>
      <c r="L455" s="30" t="s">
        <v>31</v>
      </c>
      <c r="M455" s="10" t="n">
        <v>1</v>
      </c>
      <c r="N455" s="12" t="n">
        <v>16244</v>
      </c>
      <c r="O455" s="13" t="n">
        <v>0.198873219427631</v>
      </c>
      <c r="P455" s="15" t="n">
        <v>0.237732855379914</v>
      </c>
      <c r="Q455" s="13" t="n">
        <v>-0.0303813833225597</v>
      </c>
      <c r="R455" s="15" t="n">
        <v>0.119341563786008</v>
      </c>
      <c r="S455" s="32" t="n">
        <v>184544628800</v>
      </c>
      <c r="T455" s="15" t="n">
        <v>0.098989898989899</v>
      </c>
      <c r="U455" s="32" t="n">
        <v>23053094562.5</v>
      </c>
      <c r="V455" s="14" t="n">
        <v>6.75845516761315</v>
      </c>
      <c r="W455" s="13" t="n">
        <v>-0.0422535211267606</v>
      </c>
      <c r="X455" s="15" t="n">
        <v>0.0900735294117647</v>
      </c>
      <c r="Y455" s="13" t="n">
        <v>0.0266286768656192</v>
      </c>
      <c r="Z455" s="13" t="n">
        <v>0.0506669902397223</v>
      </c>
      <c r="AA455" s="30" t="s">
        <v>97</v>
      </c>
      <c r="AB455" s="28" t="s">
        <v>93</v>
      </c>
      <c r="AC455" s="28" t="s">
        <v>102</v>
      </c>
      <c r="AD455" s="28" t="s">
        <v>109</v>
      </c>
      <c r="AE455" s="28" t="s">
        <v>101</v>
      </c>
      <c r="AF455" s="28" t="s">
        <v>119</v>
      </c>
      <c r="AG455" s="30" t="s">
        <v>123</v>
      </c>
    </row>
    <row r="456" customFormat="false" ht="15" hidden="false" customHeight="false" outlineLevel="0" collapsed="false">
      <c r="A456" s="10" t="n">
        <v>2025</v>
      </c>
      <c r="B456" s="28" t="s">
        <v>68</v>
      </c>
      <c r="C456" s="29" t="n">
        <v>45812</v>
      </c>
      <c r="D456" s="30" t="s">
        <v>127</v>
      </c>
      <c r="E456" s="28" t="s">
        <v>763</v>
      </c>
      <c r="F456" s="30" t="s">
        <v>764</v>
      </c>
      <c r="G456" s="31" t="n">
        <v>27527</v>
      </c>
      <c r="H456" s="31" t="n">
        <v>3</v>
      </c>
      <c r="I456" s="31" t="n">
        <v>82582</v>
      </c>
      <c r="J456" s="29" t="n">
        <v>45813</v>
      </c>
      <c r="K456" s="31" t="n">
        <v>33050</v>
      </c>
      <c r="L456" s="30" t="s">
        <v>31</v>
      </c>
      <c r="M456" s="10" t="n">
        <v>1</v>
      </c>
      <c r="N456" s="12" t="n">
        <v>16392</v>
      </c>
      <c r="O456" s="13" t="n">
        <v>0.198486545272909</v>
      </c>
      <c r="P456" s="15" t="n">
        <v>0.298701298701299</v>
      </c>
      <c r="Q456" s="13" t="n">
        <v>-0.0427754064117699</v>
      </c>
      <c r="R456" s="15" t="n">
        <v>0.244343891402715</v>
      </c>
      <c r="S456" s="32" t="n">
        <v>74033190000</v>
      </c>
      <c r="T456" s="15" t="n">
        <v>0.195652173913044</v>
      </c>
      <c r="U456" s="32" t="n">
        <v>3357565206.5</v>
      </c>
      <c r="V456" s="14" t="n">
        <v>17.7561353972302</v>
      </c>
      <c r="W456" s="13" t="n">
        <v>0.122448979591837</v>
      </c>
      <c r="X456" s="15" t="n">
        <v>0.0418181818181818</v>
      </c>
      <c r="Y456" s="13" t="n">
        <v>0.0266286768656192</v>
      </c>
      <c r="Z456" s="13" t="n">
        <v>0.0506669902397223</v>
      </c>
      <c r="AA456" s="30" t="s">
        <v>97</v>
      </c>
      <c r="AB456" s="28" t="s">
        <v>93</v>
      </c>
      <c r="AC456" s="28" t="s">
        <v>104</v>
      </c>
      <c r="AD456" s="28" t="s">
        <v>108</v>
      </c>
      <c r="AE456" s="28" t="s">
        <v>114</v>
      </c>
      <c r="AF456" s="28" t="s">
        <v>120</v>
      </c>
      <c r="AG456" s="30" t="s">
        <v>122</v>
      </c>
    </row>
    <row r="457" customFormat="false" ht="15" hidden="false" customHeight="false" outlineLevel="0" collapsed="false">
      <c r="A457" s="10" t="n">
        <v>2025</v>
      </c>
      <c r="B457" s="28" t="s">
        <v>68</v>
      </c>
      <c r="C457" s="29" t="n">
        <v>45812</v>
      </c>
      <c r="D457" s="30" t="s">
        <v>127</v>
      </c>
      <c r="E457" s="28" t="s">
        <v>193</v>
      </c>
      <c r="F457" s="30" t="s">
        <v>194</v>
      </c>
      <c r="G457" s="31" t="n">
        <v>14765</v>
      </c>
      <c r="H457" s="31" t="n">
        <v>6</v>
      </c>
      <c r="I457" s="31" t="n">
        <v>88588</v>
      </c>
      <c r="J457" s="29" t="n">
        <v>45852</v>
      </c>
      <c r="K457" s="31" t="n">
        <v>14056</v>
      </c>
      <c r="L457" s="30" t="s">
        <v>32</v>
      </c>
      <c r="M457" s="10" t="n">
        <v>27</v>
      </c>
      <c r="N457" s="12" t="n">
        <v>-4405</v>
      </c>
      <c r="O457" s="13" t="n">
        <v>-0.0497283731184069</v>
      </c>
      <c r="P457" s="15" t="n">
        <v>0.133104183951642</v>
      </c>
      <c r="Q457" s="13" t="n">
        <v>-0.0524729507780354</v>
      </c>
      <c r="R457" s="15" t="n">
        <v>0.0829662261380324</v>
      </c>
      <c r="S457" s="32" t="n">
        <v>22791434500</v>
      </c>
      <c r="T457" s="15" t="n">
        <v>0.0336370007007709</v>
      </c>
      <c r="U457" s="32" t="n">
        <v>3524615196.5</v>
      </c>
      <c r="V457" s="14" t="n">
        <v>6.03857629096491</v>
      </c>
      <c r="W457" s="13" t="n">
        <v>0.0221760221760221</v>
      </c>
      <c r="X457" s="15" t="n">
        <v>0.0135593220338983</v>
      </c>
      <c r="Y457" s="13" t="n">
        <v>0.0266286768656192</v>
      </c>
      <c r="Z457" s="13" t="n">
        <v>0.0506669902397223</v>
      </c>
      <c r="AA457" s="30" t="s">
        <v>97</v>
      </c>
      <c r="AB457" s="28" t="s">
        <v>93</v>
      </c>
      <c r="AC457" s="28" t="s">
        <v>101</v>
      </c>
      <c r="AD457" s="28" t="s">
        <v>106</v>
      </c>
      <c r="AE457" s="28" t="s">
        <v>113</v>
      </c>
      <c r="AF457" s="28" t="s">
        <v>119</v>
      </c>
      <c r="AG457" s="30" t="s">
        <v>122</v>
      </c>
    </row>
    <row r="458" customFormat="false" ht="15" hidden="false" customHeight="false" outlineLevel="0" collapsed="false">
      <c r="A458" s="10" t="n">
        <v>2025</v>
      </c>
      <c r="B458" s="28" t="s">
        <v>68</v>
      </c>
      <c r="C458" s="29" t="n">
        <v>45813</v>
      </c>
      <c r="D458" s="30" t="s">
        <v>128</v>
      </c>
      <c r="E458" s="28" t="s">
        <v>725</v>
      </c>
      <c r="F458" s="30" t="s">
        <v>726</v>
      </c>
      <c r="G458" s="31" t="n">
        <v>2658</v>
      </c>
      <c r="H458" s="31" t="n">
        <v>37</v>
      </c>
      <c r="I458" s="31" t="n">
        <v>98333</v>
      </c>
      <c r="J458" s="29" t="n">
        <v>45831</v>
      </c>
      <c r="K458" s="31" t="n">
        <v>2502</v>
      </c>
      <c r="L458" s="30" t="s">
        <v>32</v>
      </c>
      <c r="M458" s="10" t="n">
        <v>11</v>
      </c>
      <c r="N458" s="12" t="n">
        <v>-5908</v>
      </c>
      <c r="O458" s="13" t="n">
        <v>-0.0600859648825749</v>
      </c>
      <c r="P458" s="15" t="n">
        <v>0.132577403763845</v>
      </c>
      <c r="Q458" s="13" t="n">
        <v>-0.0706092401007654</v>
      </c>
      <c r="R458" s="15" t="n">
        <v>0.187919463087248</v>
      </c>
      <c r="S458" s="32" t="n">
        <v>227686882005</v>
      </c>
      <c r="T458" s="15" t="n">
        <v>0.154347826086957</v>
      </c>
      <c r="U458" s="32" t="n">
        <v>6241885918.75</v>
      </c>
      <c r="V458" s="14" t="n">
        <v>30.4244892426183</v>
      </c>
      <c r="W458" s="13" t="n">
        <v>0.187919463087248</v>
      </c>
      <c r="X458" s="15" t="n">
        <v>0.0828625235404896</v>
      </c>
      <c r="Y458" s="13" t="n">
        <v>0.0148727461708362</v>
      </c>
      <c r="Z458" s="13" t="n">
        <v>0.0531430818493344</v>
      </c>
      <c r="AA458" s="30" t="s">
        <v>97</v>
      </c>
      <c r="AB458" s="28" t="s">
        <v>93</v>
      </c>
      <c r="AC458" s="28" t="s">
        <v>103</v>
      </c>
      <c r="AD458" s="28" t="s">
        <v>110</v>
      </c>
      <c r="AE458" s="28" t="s">
        <v>114</v>
      </c>
      <c r="AF458" s="28" t="s">
        <v>120</v>
      </c>
      <c r="AG458" s="30" t="s">
        <v>122</v>
      </c>
    </row>
    <row r="459" customFormat="false" ht="15" hidden="false" customHeight="false" outlineLevel="0" collapsed="false">
      <c r="A459" s="10" t="n">
        <v>2025</v>
      </c>
      <c r="B459" s="28" t="s">
        <v>68</v>
      </c>
      <c r="C459" s="29" t="n">
        <v>45813</v>
      </c>
      <c r="D459" s="30" t="s">
        <v>128</v>
      </c>
      <c r="E459" s="28" t="s">
        <v>743</v>
      </c>
      <c r="F459" s="30" t="s">
        <v>744</v>
      </c>
      <c r="G459" s="31" t="n">
        <v>73273</v>
      </c>
      <c r="H459" s="31" t="n">
        <v>1</v>
      </c>
      <c r="I459" s="31" t="n">
        <v>73273</v>
      </c>
      <c r="J459" s="29" t="n">
        <v>45818</v>
      </c>
      <c r="K459" s="31" t="n">
        <v>69730</v>
      </c>
      <c r="L459" s="30" t="s">
        <v>32</v>
      </c>
      <c r="M459" s="10" t="n">
        <v>2</v>
      </c>
      <c r="N459" s="12" t="n">
        <v>-3669</v>
      </c>
      <c r="O459" s="13" t="n">
        <v>-0.050073503136208</v>
      </c>
      <c r="P459" s="15" t="n">
        <v>0.0754273049355017</v>
      </c>
      <c r="Q459" s="13" t="n">
        <v>-0.0542244640605296</v>
      </c>
      <c r="R459" s="15" t="n">
        <v>0.198036006546645</v>
      </c>
      <c r="S459" s="32" t="n">
        <v>211649821200</v>
      </c>
      <c r="T459" s="15" t="n">
        <v>0.122699386503067</v>
      </c>
      <c r="U459" s="32" t="n">
        <v>17494526695</v>
      </c>
      <c r="V459" s="14" t="n">
        <v>10.4248122408459</v>
      </c>
      <c r="W459" s="13" t="n">
        <v>0.0876671619613669</v>
      </c>
      <c r="X459" s="15" t="n">
        <v>0.034153005464481</v>
      </c>
      <c r="Y459" s="13" t="n">
        <v>0.0148727461708362</v>
      </c>
      <c r="Z459" s="13" t="n">
        <v>0.0531430818493344</v>
      </c>
      <c r="AA459" s="30" t="s">
        <v>97</v>
      </c>
      <c r="AB459" s="28" t="s">
        <v>93</v>
      </c>
      <c r="AC459" s="28" t="s">
        <v>103</v>
      </c>
      <c r="AD459" s="28" t="s">
        <v>110</v>
      </c>
      <c r="AE459" s="28" t="s">
        <v>114</v>
      </c>
      <c r="AF459" s="28" t="s">
        <v>120</v>
      </c>
      <c r="AG459" s="30" t="s">
        <v>122</v>
      </c>
    </row>
    <row r="460" customFormat="false" ht="15" hidden="false" customHeight="false" outlineLevel="0" collapsed="false">
      <c r="A460" s="10" t="n">
        <v>2025</v>
      </c>
      <c r="B460" s="28" t="s">
        <v>68</v>
      </c>
      <c r="C460" s="29" t="n">
        <v>45818</v>
      </c>
      <c r="D460" s="30" t="s">
        <v>126</v>
      </c>
      <c r="E460" s="28" t="s">
        <v>765</v>
      </c>
      <c r="F460" s="30" t="s">
        <v>766</v>
      </c>
      <c r="G460" s="31" t="n">
        <v>14749</v>
      </c>
      <c r="H460" s="31" t="n">
        <v>6</v>
      </c>
      <c r="I460" s="31" t="n">
        <v>88494</v>
      </c>
      <c r="J460" s="29" t="n">
        <v>45821</v>
      </c>
      <c r="K460" s="31" t="n">
        <v>14036</v>
      </c>
      <c r="L460" s="30" t="s">
        <v>32</v>
      </c>
      <c r="M460" s="10" t="n">
        <v>3</v>
      </c>
      <c r="N460" s="12" t="n">
        <v>-4431</v>
      </c>
      <c r="O460" s="13" t="n">
        <v>-0.0500697354334859</v>
      </c>
      <c r="P460" s="15" t="n">
        <v>0.0244424505884608</v>
      </c>
      <c r="Q460" s="13" t="n">
        <v>-0.0739311622163913</v>
      </c>
      <c r="R460" s="15" t="n">
        <v>0.0593525179856116</v>
      </c>
      <c r="S460" s="32" t="n">
        <v>66143265785</v>
      </c>
      <c r="T460" s="15" t="n">
        <v>0.0155172413793103</v>
      </c>
      <c r="U460" s="32" t="n">
        <v>4981476229.75</v>
      </c>
      <c r="V460" s="14" t="n">
        <v>12.336234040681</v>
      </c>
      <c r="W460" s="13" t="n">
        <v>-0.00841750841750844</v>
      </c>
      <c r="X460" s="15" t="n">
        <v>0.219015280135823</v>
      </c>
      <c r="Y460" s="13" t="n">
        <v>0.00563070555401879</v>
      </c>
      <c r="Z460" s="13" t="n">
        <v>0.0645668298939455</v>
      </c>
      <c r="AA460" s="30" t="s">
        <v>97</v>
      </c>
      <c r="AB460" s="28" t="s">
        <v>93</v>
      </c>
      <c r="AC460" s="28" t="s">
        <v>101</v>
      </c>
      <c r="AD460" s="28" t="s">
        <v>108</v>
      </c>
      <c r="AE460" s="28" t="s">
        <v>112</v>
      </c>
      <c r="AF460" s="28" t="s">
        <v>120</v>
      </c>
      <c r="AG460" s="30" t="s">
        <v>123</v>
      </c>
    </row>
    <row r="461" customFormat="false" ht="15" hidden="false" customHeight="false" outlineLevel="0" collapsed="false">
      <c r="A461" s="10" t="n">
        <v>2025</v>
      </c>
      <c r="B461" s="28" t="s">
        <v>68</v>
      </c>
      <c r="C461" s="29" t="n">
        <v>45819</v>
      </c>
      <c r="D461" s="30" t="s">
        <v>127</v>
      </c>
      <c r="E461" s="28" t="s">
        <v>465</v>
      </c>
      <c r="F461" s="28" t="s">
        <v>466</v>
      </c>
      <c r="G461" s="31" t="n">
        <v>53754</v>
      </c>
      <c r="H461" s="31" t="n">
        <v>1</v>
      </c>
      <c r="I461" s="31" t="n">
        <v>53754</v>
      </c>
      <c r="J461" s="29"/>
      <c r="K461" s="31"/>
      <c r="L461" s="30" t="s">
        <v>33</v>
      </c>
      <c r="M461" s="10" t="n">
        <v>137</v>
      </c>
      <c r="N461" s="12" t="n">
        <v>33147</v>
      </c>
      <c r="O461" s="13" t="n">
        <v>0.620353575660838</v>
      </c>
      <c r="P461" s="15" t="n">
        <v>1.59517019293556</v>
      </c>
      <c r="Q461" s="13" t="n">
        <v>-0.04378675328396</v>
      </c>
      <c r="R461" s="15" t="n">
        <v>0.0170454545454546</v>
      </c>
      <c r="S461" s="32" t="n">
        <v>64455841500</v>
      </c>
      <c r="T461" s="15" t="n">
        <v>0.0112994350282485</v>
      </c>
      <c r="U461" s="32" t="n">
        <v>52349202710</v>
      </c>
      <c r="V461" s="14" t="n">
        <v>1.18559018422457</v>
      </c>
      <c r="W461" s="13" t="n">
        <v>0.0151228733459357</v>
      </c>
      <c r="X461" s="15" t="n">
        <v>0.00186219739292359</v>
      </c>
      <c r="Y461" s="13" t="n">
        <v>0.0122534254922786</v>
      </c>
      <c r="Z461" s="13" t="n">
        <v>0.0770923722753496</v>
      </c>
      <c r="AA461" s="30" t="s">
        <v>97</v>
      </c>
      <c r="AB461" s="28" t="s">
        <v>93</v>
      </c>
      <c r="AC461" s="28" t="s">
        <v>99</v>
      </c>
      <c r="AD461" s="28" t="s">
        <v>108</v>
      </c>
      <c r="AE461" s="28" t="s">
        <v>112</v>
      </c>
      <c r="AF461" s="28" t="s">
        <v>116</v>
      </c>
      <c r="AG461" s="30" t="s">
        <v>122</v>
      </c>
    </row>
    <row r="462" customFormat="false" ht="15" hidden="false" customHeight="false" outlineLevel="0" collapsed="false">
      <c r="A462" s="10" t="n">
        <v>2025</v>
      </c>
      <c r="B462" s="28" t="s">
        <v>68</v>
      </c>
      <c r="C462" s="29" t="n">
        <v>45819</v>
      </c>
      <c r="D462" s="30" t="s">
        <v>127</v>
      </c>
      <c r="E462" s="28" t="s">
        <v>431</v>
      </c>
      <c r="F462" s="28" t="s">
        <v>432</v>
      </c>
      <c r="G462" s="31" t="n">
        <v>27728</v>
      </c>
      <c r="H462" s="31" t="n">
        <v>3</v>
      </c>
      <c r="I462" s="31" t="n">
        <v>83183</v>
      </c>
      <c r="J462" s="29" t="n">
        <v>45846</v>
      </c>
      <c r="K462" s="31" t="n">
        <v>26374</v>
      </c>
      <c r="L462" s="30" t="s">
        <v>32</v>
      </c>
      <c r="M462" s="10" t="n">
        <v>19</v>
      </c>
      <c r="N462" s="12" t="n">
        <v>-4205</v>
      </c>
      <c r="O462" s="13" t="n">
        <v>-0.0505550620859285</v>
      </c>
      <c r="P462" s="15" t="n">
        <v>0.118015558448772</v>
      </c>
      <c r="Q462" s="13" t="n">
        <v>-0.0478835244178204</v>
      </c>
      <c r="R462" s="15" t="n">
        <v>0.146997929606625</v>
      </c>
      <c r="S462" s="32" t="n">
        <v>55415650500</v>
      </c>
      <c r="T462" s="15" t="n">
        <v>0.135245901639344</v>
      </c>
      <c r="U462" s="32" t="n">
        <v>8597861902.5</v>
      </c>
      <c r="V462" s="14" t="n">
        <v>5.32239765359194</v>
      </c>
      <c r="W462" s="13" t="n">
        <v>0.135245901639344</v>
      </c>
      <c r="X462" s="15" t="n">
        <v>0</v>
      </c>
      <c r="Y462" s="13" t="n">
        <v>0.0122534254922786</v>
      </c>
      <c r="Z462" s="13" t="n">
        <v>0.0770923722753496</v>
      </c>
      <c r="AA462" s="30" t="s">
        <v>97</v>
      </c>
      <c r="AB462" s="28" t="s">
        <v>93</v>
      </c>
      <c r="AC462" s="28" t="s">
        <v>102</v>
      </c>
      <c r="AD462" s="28" t="s">
        <v>108</v>
      </c>
      <c r="AE462" s="28" t="s">
        <v>114</v>
      </c>
      <c r="AF462" s="28" t="s">
        <v>119</v>
      </c>
      <c r="AG462" s="30" t="s">
        <v>122</v>
      </c>
    </row>
    <row r="463" customFormat="false" ht="15" hidden="false" customHeight="false" outlineLevel="0" collapsed="false">
      <c r="A463" s="10" t="n">
        <v>2025</v>
      </c>
      <c r="B463" s="28" t="s">
        <v>68</v>
      </c>
      <c r="C463" s="29" t="n">
        <v>45821</v>
      </c>
      <c r="D463" s="30" t="s">
        <v>129</v>
      </c>
      <c r="E463" s="28" t="s">
        <v>397</v>
      </c>
      <c r="F463" s="30" t="s">
        <v>398</v>
      </c>
      <c r="G463" s="31" t="n">
        <v>97798</v>
      </c>
      <c r="H463" s="31" t="n">
        <v>1</v>
      </c>
      <c r="I463" s="31" t="n">
        <v>97798</v>
      </c>
      <c r="J463" s="29" t="n">
        <v>45832</v>
      </c>
      <c r="K463" s="31" t="n">
        <v>92707</v>
      </c>
      <c r="L463" s="30" t="s">
        <v>32</v>
      </c>
      <c r="M463" s="10" t="n">
        <v>7</v>
      </c>
      <c r="N463" s="12" t="n">
        <v>-5258</v>
      </c>
      <c r="O463" s="13" t="n">
        <v>-0.053765441671941</v>
      </c>
      <c r="P463" s="15" t="n">
        <v>0.0409242753152683</v>
      </c>
      <c r="Q463" s="13" t="n">
        <v>-0.0838230346930448</v>
      </c>
      <c r="R463" s="15" t="n">
        <v>0.0795580110497238</v>
      </c>
      <c r="S463" s="32" t="n">
        <v>283278121300</v>
      </c>
      <c r="T463" s="15" t="n">
        <v>0.0783664459161149</v>
      </c>
      <c r="U463" s="32" t="n">
        <v>75145041545</v>
      </c>
      <c r="V463" s="14" t="n">
        <v>3.38238238804583</v>
      </c>
      <c r="W463" s="13" t="n">
        <v>0.0855555555555556</v>
      </c>
      <c r="X463" s="15" t="n">
        <v>0.0112589559877174</v>
      </c>
      <c r="Y463" s="13" t="n">
        <v>-0.00870196539076662</v>
      </c>
      <c r="Z463" s="13" t="n">
        <v>0.0293629202894685</v>
      </c>
      <c r="AA463" s="30" t="s">
        <v>97</v>
      </c>
      <c r="AB463" s="28" t="s">
        <v>93</v>
      </c>
      <c r="AC463" s="28" t="s">
        <v>101</v>
      </c>
      <c r="AD463" s="28" t="s">
        <v>110</v>
      </c>
      <c r="AE463" s="28" t="s">
        <v>101</v>
      </c>
      <c r="AF463" s="28" t="s">
        <v>118</v>
      </c>
      <c r="AG463" s="30" t="s">
        <v>122</v>
      </c>
    </row>
    <row r="464" customFormat="false" ht="15" hidden="false" customHeight="false" outlineLevel="0" collapsed="false">
      <c r="A464" s="10" t="n">
        <v>2025</v>
      </c>
      <c r="B464" s="28" t="s">
        <v>68</v>
      </c>
      <c r="C464" s="29" t="n">
        <v>45821</v>
      </c>
      <c r="D464" s="30" t="s">
        <v>129</v>
      </c>
      <c r="E464" s="28" t="s">
        <v>489</v>
      </c>
      <c r="F464" s="30" t="s">
        <v>490</v>
      </c>
      <c r="G464" s="31" t="n">
        <v>29379</v>
      </c>
      <c r="H464" s="31" t="n">
        <v>3</v>
      </c>
      <c r="I464" s="31" t="n">
        <v>88138</v>
      </c>
      <c r="J464" s="29" t="n">
        <v>45833</v>
      </c>
      <c r="K464" s="31" t="n">
        <v>27922</v>
      </c>
      <c r="L464" s="30" t="s">
        <v>32</v>
      </c>
      <c r="M464" s="10" t="n">
        <v>8</v>
      </c>
      <c r="N464" s="12" t="n">
        <v>-4523</v>
      </c>
      <c r="O464" s="13" t="n">
        <v>-0.0513210225889953</v>
      </c>
      <c r="P464" s="15" t="n">
        <v>0.101113537229381</v>
      </c>
      <c r="Q464" s="13" t="n">
        <v>-0.0639683995731696</v>
      </c>
      <c r="R464" s="15" t="n">
        <v>0.0103270223752152</v>
      </c>
      <c r="S464" s="32" t="n">
        <v>45918573950</v>
      </c>
      <c r="T464" s="15" t="n">
        <v>0.00170648464163814</v>
      </c>
      <c r="U464" s="32" t="n">
        <v>22601170107.5</v>
      </c>
      <c r="V464" s="14" t="n">
        <v>1.95554786149822</v>
      </c>
      <c r="W464" s="13" t="n">
        <v>0.00859106529209619</v>
      </c>
      <c r="X464" s="15" t="n">
        <v>0.0153321976149914</v>
      </c>
      <c r="Y464" s="13" t="n">
        <v>-0.00870196539076662</v>
      </c>
      <c r="Z464" s="13" t="n">
        <v>0.0293629202894685</v>
      </c>
      <c r="AA464" s="30" t="s">
        <v>97</v>
      </c>
      <c r="AB464" s="28" t="s">
        <v>93</v>
      </c>
      <c r="AC464" s="28" t="s">
        <v>99</v>
      </c>
      <c r="AD464" s="28" t="s">
        <v>107</v>
      </c>
      <c r="AE464" s="28" t="s">
        <v>112</v>
      </c>
      <c r="AF464" s="28" t="s">
        <v>116</v>
      </c>
      <c r="AG464" s="30" t="s">
        <v>122</v>
      </c>
    </row>
    <row r="465" customFormat="false" ht="15" hidden="false" customHeight="false" outlineLevel="0" collapsed="false">
      <c r="A465" s="10" t="n">
        <v>2025</v>
      </c>
      <c r="B465" s="28" t="s">
        <v>68</v>
      </c>
      <c r="C465" s="29" t="n">
        <v>45821</v>
      </c>
      <c r="D465" s="30" t="s">
        <v>129</v>
      </c>
      <c r="E465" s="28" t="s">
        <v>767</v>
      </c>
      <c r="F465" s="30" t="s">
        <v>768</v>
      </c>
      <c r="G465" s="31" t="n">
        <v>3654</v>
      </c>
      <c r="H465" s="31" t="n">
        <v>27</v>
      </c>
      <c r="I465" s="31" t="n">
        <v>98649</v>
      </c>
      <c r="J465" s="29" t="n">
        <v>45825</v>
      </c>
      <c r="K465" s="31" t="n">
        <v>4385</v>
      </c>
      <c r="L465" s="30" t="s">
        <v>31</v>
      </c>
      <c r="M465" s="10" t="n">
        <v>2</v>
      </c>
      <c r="N465" s="12" t="n">
        <v>19536</v>
      </c>
      <c r="O465" s="13" t="n">
        <v>0.1980394133264</v>
      </c>
      <c r="P465" s="15" t="n">
        <v>0.2453300124533</v>
      </c>
      <c r="Q465" s="13" t="n">
        <v>0.0126859441927936</v>
      </c>
      <c r="R465" s="15" t="n">
        <v>0.00412654745529584</v>
      </c>
      <c r="S465" s="32" t="n">
        <v>42894248850</v>
      </c>
      <c r="T465" s="15" t="n">
        <v>0.00412654745529584</v>
      </c>
      <c r="U465" s="32" t="n">
        <v>23516504188.5</v>
      </c>
      <c r="V465" s="14" t="n">
        <v>1.67733184343094</v>
      </c>
      <c r="W465" s="13" t="n">
        <v>-0.0507152145643693</v>
      </c>
      <c r="X465" s="15" t="n">
        <v>0.0849315068493151</v>
      </c>
      <c r="Y465" s="13" t="n">
        <v>-0.00870196539076662</v>
      </c>
      <c r="Z465" s="13" t="n">
        <v>0.0293629202894685</v>
      </c>
      <c r="AA465" s="30" t="s">
        <v>97</v>
      </c>
      <c r="AB465" s="28" t="s">
        <v>93</v>
      </c>
      <c r="AC465" s="28" t="s">
        <v>99</v>
      </c>
      <c r="AD465" s="28" t="s">
        <v>107</v>
      </c>
      <c r="AE465" s="28" t="s">
        <v>112</v>
      </c>
      <c r="AF465" s="28" t="s">
        <v>116</v>
      </c>
      <c r="AG465" s="30" t="s">
        <v>123</v>
      </c>
    </row>
    <row r="466" customFormat="false" ht="15" hidden="false" customHeight="false" outlineLevel="0" collapsed="false">
      <c r="A466" s="10" t="n">
        <v>2025</v>
      </c>
      <c r="B466" s="28" t="s">
        <v>68</v>
      </c>
      <c r="C466" s="29" t="n">
        <v>45825</v>
      </c>
      <c r="D466" s="30" t="s">
        <v>126</v>
      </c>
      <c r="E466" s="28" t="s">
        <v>769</v>
      </c>
      <c r="F466" s="28" t="s">
        <v>770</v>
      </c>
      <c r="G466" s="31" t="n">
        <v>98228</v>
      </c>
      <c r="H466" s="31" t="n">
        <v>1</v>
      </c>
      <c r="I466" s="31" t="n">
        <v>98228</v>
      </c>
      <c r="J466" s="29" t="n">
        <v>45855</v>
      </c>
      <c r="K466" s="31" t="n">
        <v>93506</v>
      </c>
      <c r="L466" s="30" t="s">
        <v>32</v>
      </c>
      <c r="M466" s="10" t="n">
        <v>22</v>
      </c>
      <c r="N466" s="12" t="n">
        <v>-4890</v>
      </c>
      <c r="O466" s="13" t="n">
        <v>-0.0497838896877051</v>
      </c>
      <c r="P466" s="15" t="n">
        <v>0.136794240242516</v>
      </c>
      <c r="Q466" s="13" t="n">
        <v>-0.0765939041801108</v>
      </c>
      <c r="R466" s="15" t="n">
        <v>0.154867256637168</v>
      </c>
      <c r="S466" s="32" t="n">
        <v>201280694400</v>
      </c>
      <c r="T466" s="15" t="n">
        <v>0.0577507598784195</v>
      </c>
      <c r="U466" s="32" t="n">
        <v>22687506260</v>
      </c>
      <c r="V466" s="14" t="n">
        <v>7.85495210375184</v>
      </c>
      <c r="W466" s="13" t="n">
        <v>0.147252747252747</v>
      </c>
      <c r="X466" s="15" t="n">
        <v>0.0296934865900385</v>
      </c>
      <c r="Y466" s="13" t="n">
        <v>0.00123529691243651</v>
      </c>
      <c r="Z466" s="13" t="n">
        <v>0.0273168863276285</v>
      </c>
      <c r="AA466" s="30" t="s">
        <v>97</v>
      </c>
      <c r="AB466" s="28" t="s">
        <v>93</v>
      </c>
      <c r="AC466" s="28" t="s">
        <v>103</v>
      </c>
      <c r="AD466" s="28" t="s">
        <v>110</v>
      </c>
      <c r="AE466" s="28" t="s">
        <v>101</v>
      </c>
      <c r="AF466" s="28" t="s">
        <v>119</v>
      </c>
      <c r="AG466" s="30" t="s">
        <v>122</v>
      </c>
    </row>
    <row r="467" customFormat="false" ht="15" hidden="false" customHeight="false" outlineLevel="0" collapsed="false">
      <c r="A467" s="10" t="n">
        <v>2025</v>
      </c>
      <c r="B467" s="28" t="s">
        <v>68</v>
      </c>
      <c r="C467" s="29" t="n">
        <v>45826</v>
      </c>
      <c r="D467" s="30" t="s">
        <v>127</v>
      </c>
      <c r="E467" s="28" t="s">
        <v>297</v>
      </c>
      <c r="F467" s="30" t="s">
        <v>298</v>
      </c>
      <c r="G467" s="31" t="n">
        <v>6136</v>
      </c>
      <c r="H467" s="31" t="n">
        <v>16</v>
      </c>
      <c r="I467" s="31" t="n">
        <v>98178</v>
      </c>
      <c r="J467" s="29" t="n">
        <v>45867</v>
      </c>
      <c r="K467" s="31" t="n">
        <v>5834</v>
      </c>
      <c r="L467" s="30" t="s">
        <v>32</v>
      </c>
      <c r="M467" s="10" t="n">
        <v>29</v>
      </c>
      <c r="N467" s="12" t="n">
        <v>-5000</v>
      </c>
      <c r="O467" s="13" t="n">
        <v>-0.0509306001502575</v>
      </c>
      <c r="P467" s="15" t="n">
        <v>0.145673250077818</v>
      </c>
      <c r="Q467" s="13" t="n">
        <v>-0.0482600596793091</v>
      </c>
      <c r="R467" s="15" t="n">
        <v>0.0587219343696028</v>
      </c>
      <c r="S467" s="32" t="n">
        <v>21317534750</v>
      </c>
      <c r="T467" s="15" t="n">
        <v>0.0285234899328859</v>
      </c>
      <c r="U467" s="32" t="n">
        <v>3088281545</v>
      </c>
      <c r="V467" s="14" t="n">
        <v>6.41021328176764</v>
      </c>
      <c r="W467" s="13" t="n">
        <v>0.0642361111111112</v>
      </c>
      <c r="X467" s="15" t="n">
        <v>0.0358890701468189</v>
      </c>
      <c r="Y467" s="13" t="n">
        <v>0.00741958444903901</v>
      </c>
      <c r="Z467" s="13" t="n">
        <v>0.0224111123341957</v>
      </c>
      <c r="AA467" s="30" t="s">
        <v>97</v>
      </c>
      <c r="AB467" s="28" t="s">
        <v>93</v>
      </c>
      <c r="AC467" s="28" t="s">
        <v>101</v>
      </c>
      <c r="AD467" s="28" t="s">
        <v>106</v>
      </c>
      <c r="AE467" s="28" t="s">
        <v>113</v>
      </c>
      <c r="AF467" s="28" t="s">
        <v>119</v>
      </c>
      <c r="AG467" s="30" t="s">
        <v>122</v>
      </c>
    </row>
    <row r="468" customFormat="false" ht="15" hidden="false" customHeight="false" outlineLevel="0" collapsed="false">
      <c r="A468" s="10" t="n">
        <v>2025</v>
      </c>
      <c r="B468" s="28" t="s">
        <v>68</v>
      </c>
      <c r="C468" s="29" t="n">
        <v>45831</v>
      </c>
      <c r="D468" s="30" t="s">
        <v>125</v>
      </c>
      <c r="E468" s="28" t="s">
        <v>641</v>
      </c>
      <c r="F468" s="30" t="s">
        <v>642</v>
      </c>
      <c r="G468" s="31" t="n">
        <v>18413</v>
      </c>
      <c r="H468" s="31" t="n">
        <v>5</v>
      </c>
      <c r="I468" s="31" t="n">
        <v>92064</v>
      </c>
      <c r="J468" s="29" t="n">
        <v>45832</v>
      </c>
      <c r="K468" s="31" t="n">
        <v>22100</v>
      </c>
      <c r="L468" s="30" t="s">
        <v>31</v>
      </c>
      <c r="M468" s="10" t="n">
        <v>1</v>
      </c>
      <c r="N468" s="12" t="n">
        <v>18240</v>
      </c>
      <c r="O468" s="13" t="n">
        <v>0.198121148218451</v>
      </c>
      <c r="P468" s="15" t="n">
        <v>0.216600083747355</v>
      </c>
      <c r="Q468" s="13" t="n">
        <v>0.072562864529909</v>
      </c>
      <c r="R468" s="15" t="n">
        <v>0.0953186689227299</v>
      </c>
      <c r="S468" s="32" t="n">
        <v>111200823160</v>
      </c>
      <c r="T468" s="15" t="n">
        <v>0.0446476600322754</v>
      </c>
      <c r="U468" s="32" t="n">
        <v>8051340872.5</v>
      </c>
      <c r="V468" s="14" t="n">
        <v>12.6774991083173</v>
      </c>
      <c r="W468" s="13" t="n">
        <v>0.107183580387685</v>
      </c>
      <c r="X468" s="15" t="n">
        <v>0.0762100926879505</v>
      </c>
      <c r="Y468" s="13" t="n">
        <v>-0.00243891139173491</v>
      </c>
      <c r="Z468" s="13" t="n">
        <v>0.0230124955033835</v>
      </c>
      <c r="AA468" s="30" t="s">
        <v>97</v>
      </c>
      <c r="AB468" s="28" t="s">
        <v>93</v>
      </c>
      <c r="AC468" s="28" t="s">
        <v>101</v>
      </c>
      <c r="AD468" s="28" t="s">
        <v>109</v>
      </c>
      <c r="AE468" s="28" t="s">
        <v>113</v>
      </c>
      <c r="AF468" s="28" t="s">
        <v>120</v>
      </c>
      <c r="AG468" s="30" t="s">
        <v>122</v>
      </c>
    </row>
    <row r="469" customFormat="false" ht="15" hidden="false" customHeight="false" outlineLevel="0" collapsed="false">
      <c r="A469" s="10" t="n">
        <v>2025</v>
      </c>
      <c r="B469" s="28" t="s">
        <v>68</v>
      </c>
      <c r="C469" s="29" t="n">
        <v>45832</v>
      </c>
      <c r="D469" s="30" t="s">
        <v>126</v>
      </c>
      <c r="E469" s="28" t="s">
        <v>549</v>
      </c>
      <c r="F469" s="30" t="s">
        <v>550</v>
      </c>
      <c r="G469" s="31" t="n">
        <v>48949</v>
      </c>
      <c r="H469" s="31" t="n">
        <v>2</v>
      </c>
      <c r="I469" s="31" t="n">
        <v>97898</v>
      </c>
      <c r="J469" s="29" t="n">
        <v>45835</v>
      </c>
      <c r="K469" s="31" t="n">
        <v>46553</v>
      </c>
      <c r="L469" s="30" t="s">
        <v>32</v>
      </c>
      <c r="M469" s="10" t="n">
        <v>3</v>
      </c>
      <c r="N469" s="12" t="n">
        <v>-4959</v>
      </c>
      <c r="O469" s="13" t="n">
        <v>-0.0506580422644838</v>
      </c>
      <c r="P469" s="15" t="n">
        <v>0.003086892657445</v>
      </c>
      <c r="Q469" s="13" t="n">
        <v>-0.0878242411984742</v>
      </c>
      <c r="R469" s="15" t="n">
        <v>0.141190198366394</v>
      </c>
      <c r="S469" s="32" t="n">
        <v>172115579400</v>
      </c>
      <c r="T469" s="15" t="n">
        <v>0.0782800441014333</v>
      </c>
      <c r="U469" s="32" t="n">
        <v>38844280677.5</v>
      </c>
      <c r="V469" s="14" t="n">
        <v>3.86657083030824</v>
      </c>
      <c r="W469" s="13" t="n">
        <v>0.103837471783296</v>
      </c>
      <c r="X469" s="15" t="n">
        <v>0.0327198364008181</v>
      </c>
      <c r="Y469" s="13" t="n">
        <v>0.0295806559693743</v>
      </c>
      <c r="Z469" s="13" t="n">
        <v>0.0519743754872384</v>
      </c>
      <c r="AA469" s="30" t="s">
        <v>97</v>
      </c>
      <c r="AB469" s="28" t="s">
        <v>93</v>
      </c>
      <c r="AC469" s="28" t="s">
        <v>102</v>
      </c>
      <c r="AD469" s="28" t="s">
        <v>109</v>
      </c>
      <c r="AE469" s="28" t="s">
        <v>101</v>
      </c>
      <c r="AF469" s="28" t="s">
        <v>118</v>
      </c>
      <c r="AG469" s="30" t="s">
        <v>122</v>
      </c>
    </row>
    <row r="470" customFormat="false" ht="15" hidden="false" customHeight="false" outlineLevel="0" collapsed="false">
      <c r="A470" s="10" t="n">
        <v>2025</v>
      </c>
      <c r="B470" s="28" t="s">
        <v>68</v>
      </c>
      <c r="C470" s="29" t="n">
        <v>45832</v>
      </c>
      <c r="D470" s="30" t="s">
        <v>126</v>
      </c>
      <c r="E470" s="28" t="s">
        <v>527</v>
      </c>
      <c r="F470" s="30" t="s">
        <v>528</v>
      </c>
      <c r="G470" s="31" t="n">
        <v>49499</v>
      </c>
      <c r="H470" s="31" t="n">
        <v>2</v>
      </c>
      <c r="I470" s="31" t="n">
        <v>98999</v>
      </c>
      <c r="J470" s="29" t="n">
        <v>45834</v>
      </c>
      <c r="K470" s="31" t="n">
        <v>47103</v>
      </c>
      <c r="L470" s="30" t="s">
        <v>32</v>
      </c>
      <c r="M470" s="10" t="n">
        <v>2</v>
      </c>
      <c r="N470" s="12" t="n">
        <v>-4963</v>
      </c>
      <c r="O470" s="13" t="n">
        <v>-0.0501368120251842</v>
      </c>
      <c r="P470" s="15" t="n">
        <v>0.00607178463599101</v>
      </c>
      <c r="Q470" s="13" t="n">
        <v>-0.0535248371446551</v>
      </c>
      <c r="R470" s="15" t="n">
        <v>0.160798122065728</v>
      </c>
      <c r="S470" s="32" t="n">
        <v>121158087850</v>
      </c>
      <c r="T470" s="15" t="n">
        <v>0.0657327586206897</v>
      </c>
      <c r="U470" s="32" t="n">
        <v>33448743667.5</v>
      </c>
      <c r="V470" s="14" t="n">
        <v>3.23636507975192</v>
      </c>
      <c r="W470" s="13" t="n">
        <v>0.126423690205011</v>
      </c>
      <c r="X470" s="15" t="n">
        <v>0.00101112234580381</v>
      </c>
      <c r="Y470" s="13" t="n">
        <v>0.0295806559693743</v>
      </c>
      <c r="Z470" s="13" t="n">
        <v>0.0519743754872384</v>
      </c>
      <c r="AA470" s="30" t="s">
        <v>97</v>
      </c>
      <c r="AB470" s="28" t="s">
        <v>93</v>
      </c>
      <c r="AC470" s="28" t="s">
        <v>103</v>
      </c>
      <c r="AD470" s="28" t="s">
        <v>109</v>
      </c>
      <c r="AE470" s="28" t="s">
        <v>101</v>
      </c>
      <c r="AF470" s="28" t="s">
        <v>118</v>
      </c>
      <c r="AG470" s="30" t="s">
        <v>122</v>
      </c>
    </row>
    <row r="471" customFormat="false" ht="15" hidden="false" customHeight="false" outlineLevel="0" collapsed="false">
      <c r="A471" s="10" t="n">
        <v>2025</v>
      </c>
      <c r="B471" s="28" t="s">
        <v>68</v>
      </c>
      <c r="C471" s="29" t="n">
        <v>45833</v>
      </c>
      <c r="D471" s="30" t="s">
        <v>127</v>
      </c>
      <c r="E471" s="28" t="s">
        <v>217</v>
      </c>
      <c r="F471" s="28" t="s">
        <v>218</v>
      </c>
      <c r="G471" s="31" t="n">
        <v>62062</v>
      </c>
      <c r="H471" s="31" t="n">
        <v>1</v>
      </c>
      <c r="I471" s="31" t="n">
        <v>62062</v>
      </c>
      <c r="J471" s="29" t="n">
        <v>45835</v>
      </c>
      <c r="K471" s="31" t="n">
        <v>59041</v>
      </c>
      <c r="L471" s="30" t="s">
        <v>32</v>
      </c>
      <c r="M471" s="10" t="n">
        <v>2</v>
      </c>
      <c r="N471" s="12" t="n">
        <v>-3128</v>
      </c>
      <c r="O471" s="13" t="n">
        <v>-0.050398420692211</v>
      </c>
      <c r="P471" s="15" t="n">
        <v>0.01833650220747</v>
      </c>
      <c r="Q471" s="13" t="n">
        <v>-0.054171634816796</v>
      </c>
      <c r="R471" s="15" t="n">
        <v>0.161048689138577</v>
      </c>
      <c r="S471" s="32" t="n">
        <v>50119312000</v>
      </c>
      <c r="T471" s="15" t="n">
        <v>0.0934744268077601</v>
      </c>
      <c r="U471" s="32" t="n">
        <v>7502178590</v>
      </c>
      <c r="V471" s="14" t="n">
        <v>5.75350236349706</v>
      </c>
      <c r="W471" s="13" t="n">
        <v>0.0992907801418439</v>
      </c>
      <c r="X471" s="15" t="n">
        <v>0</v>
      </c>
      <c r="Y471" s="13" t="n">
        <v>0.00148535268265659</v>
      </c>
      <c r="Z471" s="13" t="n">
        <v>0.045777692543209</v>
      </c>
      <c r="AA471" s="30" t="s">
        <v>97</v>
      </c>
      <c r="AB471" s="28" t="s">
        <v>93</v>
      </c>
      <c r="AC471" s="28" t="s">
        <v>103</v>
      </c>
      <c r="AD471" s="28" t="s">
        <v>108</v>
      </c>
      <c r="AE471" s="28" t="s">
        <v>101</v>
      </c>
      <c r="AF471" s="28" t="s">
        <v>119</v>
      </c>
      <c r="AG471" s="30" t="s">
        <v>122</v>
      </c>
    </row>
    <row r="472" customFormat="false" ht="15" hidden="false" customHeight="false" outlineLevel="0" collapsed="false">
      <c r="A472" s="10" t="n">
        <v>2025</v>
      </c>
      <c r="B472" s="28" t="s">
        <v>68</v>
      </c>
      <c r="C472" s="29" t="n">
        <v>45834</v>
      </c>
      <c r="D472" s="30" t="s">
        <v>128</v>
      </c>
      <c r="E472" s="28" t="s">
        <v>771</v>
      </c>
      <c r="F472" s="30" t="s">
        <v>772</v>
      </c>
      <c r="G472" s="31" t="n">
        <v>4264</v>
      </c>
      <c r="H472" s="31" t="n">
        <v>23</v>
      </c>
      <c r="I472" s="31" t="n">
        <v>98078</v>
      </c>
      <c r="J472" s="29" t="n">
        <v>45835</v>
      </c>
      <c r="K472" s="31" t="n">
        <v>4056</v>
      </c>
      <c r="L472" s="30" t="s">
        <v>32</v>
      </c>
      <c r="M472" s="10" t="n">
        <v>1</v>
      </c>
      <c r="N472" s="12" t="n">
        <v>-4960</v>
      </c>
      <c r="O472" s="13" t="n">
        <v>-0.0505719491775828</v>
      </c>
      <c r="P472" s="15" t="n">
        <v>0.0107263628390391</v>
      </c>
      <c r="Q472" s="13" t="n">
        <v>-0.0596258201892004</v>
      </c>
      <c r="R472" s="15" t="n">
        <v>0.0327272727272727</v>
      </c>
      <c r="S472" s="32" t="n">
        <v>96030943500</v>
      </c>
      <c r="T472" s="15" t="n">
        <v>0.0154946364719906</v>
      </c>
      <c r="U472" s="32" t="n">
        <v>5111637328.75</v>
      </c>
      <c r="V472" s="14" t="n">
        <v>18.3426896682392</v>
      </c>
      <c r="W472" s="13" t="n">
        <v>0.0179211469534051</v>
      </c>
      <c r="X472" s="15" t="n">
        <v>0.146713615023474</v>
      </c>
      <c r="Y472" s="13" t="n">
        <v>-0.00923027427008771</v>
      </c>
      <c r="Z472" s="13" t="n">
        <v>0.0341937173829818</v>
      </c>
      <c r="AA472" s="30" t="s">
        <v>97</v>
      </c>
      <c r="AB472" s="28" t="s">
        <v>93</v>
      </c>
      <c r="AC472" s="28" t="s">
        <v>100</v>
      </c>
      <c r="AD472" s="28" t="s">
        <v>108</v>
      </c>
      <c r="AE472" s="28" t="s">
        <v>112</v>
      </c>
      <c r="AF472" s="28" t="s">
        <v>120</v>
      </c>
      <c r="AG472" s="30" t="s">
        <v>122</v>
      </c>
    </row>
    <row r="473" customFormat="false" ht="15" hidden="false" customHeight="false" outlineLevel="0" collapsed="false">
      <c r="A473" s="10" t="n">
        <v>2025</v>
      </c>
      <c r="B473" s="28" t="s">
        <v>69</v>
      </c>
      <c r="C473" s="29" t="n">
        <v>45839</v>
      </c>
      <c r="D473" s="30" t="s">
        <v>126</v>
      </c>
      <c r="E473" s="28" t="s">
        <v>245</v>
      </c>
      <c r="F473" s="30" t="s">
        <v>246</v>
      </c>
      <c r="G473" s="31" t="n">
        <v>95195</v>
      </c>
      <c r="H473" s="31" t="n">
        <v>1</v>
      </c>
      <c r="I473" s="31" t="n">
        <v>95195</v>
      </c>
      <c r="J473" s="29" t="n">
        <v>45840</v>
      </c>
      <c r="K473" s="31" t="n">
        <v>90609</v>
      </c>
      <c r="L473" s="30" t="s">
        <v>32</v>
      </c>
      <c r="M473" s="10" t="n">
        <v>1</v>
      </c>
      <c r="N473" s="12" t="n">
        <v>-4750</v>
      </c>
      <c r="O473" s="13" t="n">
        <v>-0.0498931626732888</v>
      </c>
      <c r="P473" s="15" t="n">
        <v>-0.00730184641856557</v>
      </c>
      <c r="Q473" s="13" t="n">
        <v>-0.0482703416457359</v>
      </c>
      <c r="R473" s="15" t="n">
        <v>0.113583138173302</v>
      </c>
      <c r="S473" s="32" t="n">
        <v>60427681200</v>
      </c>
      <c r="T473" s="15" t="n">
        <v>0.0416210295728368</v>
      </c>
      <c r="U473" s="32" t="n">
        <v>20560187405</v>
      </c>
      <c r="V473" s="14" t="n">
        <v>2.61863319736947</v>
      </c>
      <c r="W473" s="13" t="n">
        <v>0.108391608391608</v>
      </c>
      <c r="X473" s="15" t="n">
        <v>0.00630914826498419</v>
      </c>
      <c r="Y473" s="13" t="n">
        <v>0.00584366962919569</v>
      </c>
      <c r="Z473" s="13" t="n">
        <v>-0.00450761041873404</v>
      </c>
      <c r="AA473" s="30" t="s">
        <v>97</v>
      </c>
      <c r="AB473" s="28" t="s">
        <v>94</v>
      </c>
      <c r="AC473" s="28" t="s">
        <v>102</v>
      </c>
      <c r="AD473" s="28" t="s">
        <v>108</v>
      </c>
      <c r="AE473" s="28" t="s">
        <v>113</v>
      </c>
      <c r="AF473" s="28" t="s">
        <v>117</v>
      </c>
      <c r="AG473" s="30" t="s">
        <v>122</v>
      </c>
    </row>
    <row r="474" customFormat="false" ht="15" hidden="false" customHeight="false" outlineLevel="0" collapsed="false">
      <c r="A474" s="10" t="n">
        <v>2025</v>
      </c>
      <c r="B474" s="28" t="s">
        <v>69</v>
      </c>
      <c r="C474" s="29" t="n">
        <v>45840</v>
      </c>
      <c r="D474" s="30" t="s">
        <v>127</v>
      </c>
      <c r="E474" s="28" t="s">
        <v>773</v>
      </c>
      <c r="F474" s="30" t="s">
        <v>774</v>
      </c>
      <c r="G474" s="31" t="n">
        <v>12292</v>
      </c>
      <c r="H474" s="31" t="n">
        <v>8</v>
      </c>
      <c r="I474" s="31" t="n">
        <v>98338</v>
      </c>
      <c r="J474" s="29" t="n">
        <v>45841</v>
      </c>
      <c r="K474" s="31" t="n">
        <v>11698</v>
      </c>
      <c r="L474" s="30" t="s">
        <v>32</v>
      </c>
      <c r="M474" s="10" t="n">
        <v>1</v>
      </c>
      <c r="N474" s="12" t="n">
        <v>-4921</v>
      </c>
      <c r="O474" s="13" t="n">
        <v>-0.0500424673453582</v>
      </c>
      <c r="P474" s="15" t="n">
        <v>-0.00181251972782903</v>
      </c>
      <c r="Q474" s="13" t="n">
        <v>-0.0595723494746295</v>
      </c>
      <c r="R474" s="15" t="n">
        <v>0.1661918328585</v>
      </c>
      <c r="S474" s="32" t="n">
        <v>127539269520</v>
      </c>
      <c r="T474" s="15" t="n">
        <v>0.0687554395126198</v>
      </c>
      <c r="U474" s="32" t="n">
        <v>16293344554</v>
      </c>
      <c r="V474" s="14" t="n">
        <v>7.11064747149356</v>
      </c>
      <c r="W474" s="13" t="n">
        <v>-0.0330708661417323</v>
      </c>
      <c r="X474" s="15" t="n">
        <v>0.0887622149837133</v>
      </c>
      <c r="Y474" s="13" t="n">
        <v>-0.00472221772692705</v>
      </c>
      <c r="Z474" s="13" t="n">
        <v>-0.0106780342636532</v>
      </c>
      <c r="AA474" s="30" t="s">
        <v>97</v>
      </c>
      <c r="AB474" s="28" t="s">
        <v>94</v>
      </c>
      <c r="AC474" s="28" t="s">
        <v>103</v>
      </c>
      <c r="AD474" s="28" t="s">
        <v>109</v>
      </c>
      <c r="AE474" s="28" t="s">
        <v>101</v>
      </c>
      <c r="AF474" s="28" t="s">
        <v>119</v>
      </c>
      <c r="AG474" s="30" t="s">
        <v>123</v>
      </c>
    </row>
    <row r="475" customFormat="false" ht="15" hidden="false" customHeight="false" outlineLevel="0" collapsed="false">
      <c r="A475" s="10" t="n">
        <v>2025</v>
      </c>
      <c r="B475" s="28" t="s">
        <v>69</v>
      </c>
      <c r="C475" s="29" t="n">
        <v>45841</v>
      </c>
      <c r="D475" s="30" t="s">
        <v>128</v>
      </c>
      <c r="E475" s="28" t="s">
        <v>775</v>
      </c>
      <c r="F475" s="30" t="s">
        <v>776</v>
      </c>
      <c r="G475" s="31" t="n">
        <v>38639</v>
      </c>
      <c r="H475" s="31" t="n">
        <v>2</v>
      </c>
      <c r="I475" s="31" t="n">
        <v>77277</v>
      </c>
      <c r="J475" s="29" t="n">
        <v>45845</v>
      </c>
      <c r="K475" s="31" t="n">
        <v>36763</v>
      </c>
      <c r="L475" s="30" t="s">
        <v>32</v>
      </c>
      <c r="M475" s="10" t="n">
        <v>2</v>
      </c>
      <c r="N475" s="12" t="n">
        <v>-3884</v>
      </c>
      <c r="O475" s="13" t="n">
        <v>-0.0502568692965067</v>
      </c>
      <c r="P475" s="15" t="n">
        <v>0.0119414264491986</v>
      </c>
      <c r="Q475" s="13" t="n">
        <v>-0.0579368817710786</v>
      </c>
      <c r="R475" s="15" t="n">
        <v>0.106017191977077</v>
      </c>
      <c r="S475" s="32" t="n">
        <v>35354936600</v>
      </c>
      <c r="T475" s="15" t="n">
        <v>0.061898211829436</v>
      </c>
      <c r="U475" s="32" t="n">
        <v>11909773952.5</v>
      </c>
      <c r="V475" s="14" t="n">
        <v>2.64640550031522</v>
      </c>
      <c r="W475" s="13" t="n">
        <v>0.0950354609929078</v>
      </c>
      <c r="X475" s="15" t="n">
        <v>0</v>
      </c>
      <c r="Y475" s="13" t="n">
        <v>0.0134013645262205</v>
      </c>
      <c r="Z475" s="13" t="n">
        <v>0.0119205341022743</v>
      </c>
      <c r="AA475" s="30" t="s">
        <v>97</v>
      </c>
      <c r="AB475" s="28" t="s">
        <v>93</v>
      </c>
      <c r="AC475" s="28" t="s">
        <v>102</v>
      </c>
      <c r="AD475" s="28" t="s">
        <v>107</v>
      </c>
      <c r="AE475" s="28" t="s">
        <v>101</v>
      </c>
      <c r="AF475" s="28" t="s">
        <v>117</v>
      </c>
      <c r="AG475" s="30" t="s">
        <v>122</v>
      </c>
    </row>
    <row r="476" customFormat="false" ht="15" hidden="false" customHeight="false" outlineLevel="0" collapsed="false">
      <c r="A476" s="10" t="n">
        <v>2025</v>
      </c>
      <c r="B476" s="28" t="s">
        <v>69</v>
      </c>
      <c r="C476" s="29" t="n">
        <v>45841</v>
      </c>
      <c r="D476" s="30" t="s">
        <v>128</v>
      </c>
      <c r="E476" s="28" t="s">
        <v>777</v>
      </c>
      <c r="F476" s="28" t="s">
        <v>778</v>
      </c>
      <c r="G476" s="31" t="n">
        <v>21271</v>
      </c>
      <c r="H476" s="31" t="n">
        <v>4</v>
      </c>
      <c r="I476" s="31" t="n">
        <v>85085</v>
      </c>
      <c r="J476" s="29" t="n">
        <v>45845</v>
      </c>
      <c r="K476" s="31" t="n">
        <v>20180</v>
      </c>
      <c r="L476" s="30" t="s">
        <v>32</v>
      </c>
      <c r="M476" s="10" t="n">
        <v>2</v>
      </c>
      <c r="N476" s="12" t="n">
        <v>-4512</v>
      </c>
      <c r="O476" s="13" t="n">
        <v>-0.0530263786801434</v>
      </c>
      <c r="P476" s="15" t="n">
        <v>0.0107539519304227</v>
      </c>
      <c r="Q476" s="13" t="n">
        <v>-0.116177939707351</v>
      </c>
      <c r="R476" s="15" t="n">
        <v>0.051980198019802</v>
      </c>
      <c r="S476" s="32" t="n">
        <v>28960520000</v>
      </c>
      <c r="T476" s="15" t="n">
        <v>0.039119804400978</v>
      </c>
      <c r="U476" s="32" t="n">
        <v>10598236877</v>
      </c>
      <c r="V476" s="14" t="n">
        <v>2.50719496194452</v>
      </c>
      <c r="W476" s="13" t="n">
        <v>0.0493827160493827</v>
      </c>
      <c r="X476" s="15" t="n">
        <v>0.016470588235294</v>
      </c>
      <c r="Y476" s="13" t="n">
        <v>0.0134013645262205</v>
      </c>
      <c r="Z476" s="13" t="n">
        <v>0.0119205341022743</v>
      </c>
      <c r="AA476" s="30" t="s">
        <v>97</v>
      </c>
      <c r="AB476" s="28" t="s">
        <v>93</v>
      </c>
      <c r="AC476" s="28" t="s">
        <v>101</v>
      </c>
      <c r="AD476" s="28" t="s">
        <v>106</v>
      </c>
      <c r="AE476" s="28" t="s">
        <v>113</v>
      </c>
      <c r="AF476" s="28" t="s">
        <v>117</v>
      </c>
      <c r="AG476" s="30" t="s">
        <v>122</v>
      </c>
    </row>
    <row r="477" customFormat="false" ht="15" hidden="false" customHeight="false" outlineLevel="0" collapsed="false">
      <c r="A477" s="10" t="n">
        <v>2025</v>
      </c>
      <c r="B477" s="28" t="s">
        <v>69</v>
      </c>
      <c r="C477" s="29" t="n">
        <v>45841</v>
      </c>
      <c r="D477" s="30" t="s">
        <v>128</v>
      </c>
      <c r="E477" s="28" t="s">
        <v>405</v>
      </c>
      <c r="F477" s="28" t="s">
        <v>406</v>
      </c>
      <c r="G477" s="31" t="n">
        <v>34935</v>
      </c>
      <c r="H477" s="31" t="n">
        <v>2</v>
      </c>
      <c r="I477" s="31" t="n">
        <v>69870</v>
      </c>
      <c r="J477" s="29" t="n">
        <v>45846</v>
      </c>
      <c r="K477" s="31" t="n">
        <v>33217</v>
      </c>
      <c r="L477" s="30" t="s">
        <v>32</v>
      </c>
      <c r="M477" s="10" t="n">
        <v>3</v>
      </c>
      <c r="N477" s="12" t="n">
        <v>-3556</v>
      </c>
      <c r="O477" s="13" t="n">
        <v>-0.050900328110285</v>
      </c>
      <c r="P477" s="15" t="n">
        <v>-0.00243023452192492</v>
      </c>
      <c r="Q477" s="13" t="n">
        <v>-0.0582483419159635</v>
      </c>
      <c r="R477" s="15" t="n">
        <v>0.0294985250737463</v>
      </c>
      <c r="S477" s="32" t="n">
        <v>21339919100</v>
      </c>
      <c r="T477" s="15" t="n">
        <v>0.00287356321839072</v>
      </c>
      <c r="U477" s="32" t="n">
        <v>12495481295</v>
      </c>
      <c r="V477" s="14" t="n">
        <v>1.6432140250398</v>
      </c>
      <c r="W477" s="13" t="n">
        <v>0.0249632892804699</v>
      </c>
      <c r="X477" s="15" t="n">
        <v>0</v>
      </c>
      <c r="Y477" s="13" t="n">
        <v>0.0134013645262205</v>
      </c>
      <c r="Z477" s="13" t="n">
        <v>0.0119205341022743</v>
      </c>
      <c r="AA477" s="30" t="s">
        <v>97</v>
      </c>
      <c r="AB477" s="28" t="s">
        <v>93</v>
      </c>
      <c r="AC477" s="28" t="s">
        <v>99</v>
      </c>
      <c r="AD477" s="28" t="s">
        <v>106</v>
      </c>
      <c r="AE477" s="28" t="s">
        <v>112</v>
      </c>
      <c r="AF477" s="28" t="s">
        <v>116</v>
      </c>
      <c r="AG477" s="30" t="s">
        <v>122</v>
      </c>
    </row>
    <row r="478" customFormat="false" ht="15" hidden="false" customHeight="false" outlineLevel="0" collapsed="false">
      <c r="A478" s="10" t="n">
        <v>2025</v>
      </c>
      <c r="B478" s="28" t="s">
        <v>69</v>
      </c>
      <c r="C478" s="29" t="n">
        <v>45845</v>
      </c>
      <c r="D478" s="30" t="s">
        <v>125</v>
      </c>
      <c r="E478" s="28" t="s">
        <v>779</v>
      </c>
      <c r="F478" s="30" t="s">
        <v>780</v>
      </c>
      <c r="G478" s="31" t="n">
        <v>92592</v>
      </c>
      <c r="H478" s="31" t="n">
        <v>1</v>
      </c>
      <c r="I478" s="31" t="n">
        <v>92592</v>
      </c>
      <c r="J478" s="29" t="n">
        <v>45854</v>
      </c>
      <c r="K478" s="31" t="n">
        <v>88112</v>
      </c>
      <c r="L478" s="30" t="s">
        <v>32</v>
      </c>
      <c r="M478" s="10" t="n">
        <v>7</v>
      </c>
      <c r="N478" s="12" t="n">
        <v>-4640</v>
      </c>
      <c r="O478" s="13" t="n">
        <v>-0.050111762237762</v>
      </c>
      <c r="P478" s="15" t="n">
        <v>0.0184410184410186</v>
      </c>
      <c r="Q478" s="13" t="n">
        <v>-0.0517590517590516</v>
      </c>
      <c r="R478" s="15" t="n">
        <v>0.0583524027459954</v>
      </c>
      <c r="S478" s="32" t="n">
        <v>22969785000</v>
      </c>
      <c r="T478" s="15" t="n">
        <v>0.0277777777777777</v>
      </c>
      <c r="U478" s="32" t="n">
        <v>4896177005</v>
      </c>
      <c r="V478" s="14" t="n">
        <v>4.36520695101575</v>
      </c>
      <c r="W478" s="13" t="n">
        <v>0.0209713024282561</v>
      </c>
      <c r="X478" s="15" t="n">
        <v>0.0367567567567568</v>
      </c>
      <c r="Y478" s="13" t="n">
        <v>0.00169925481619226</v>
      </c>
      <c r="Z478" s="13" t="n">
        <v>-0.00398150861086699</v>
      </c>
      <c r="AA478" s="30" t="s">
        <v>97</v>
      </c>
      <c r="AB478" s="28" t="s">
        <v>94</v>
      </c>
      <c r="AC478" s="28" t="s">
        <v>101</v>
      </c>
      <c r="AD478" s="28" t="s">
        <v>106</v>
      </c>
      <c r="AE478" s="28" t="s">
        <v>113</v>
      </c>
      <c r="AF478" s="28" t="s">
        <v>118</v>
      </c>
      <c r="AG478" s="30" t="s">
        <v>122</v>
      </c>
    </row>
    <row r="479" customFormat="false" ht="15" hidden="false" customHeight="false" outlineLevel="0" collapsed="false">
      <c r="A479" s="10" t="n">
        <v>2025</v>
      </c>
      <c r="B479" s="28" t="s">
        <v>69</v>
      </c>
      <c r="C479" s="29" t="n">
        <v>45846</v>
      </c>
      <c r="D479" s="30" t="s">
        <v>126</v>
      </c>
      <c r="E479" s="28" t="s">
        <v>781</v>
      </c>
      <c r="F479" s="30" t="s">
        <v>782</v>
      </c>
      <c r="G479" s="31" t="n">
        <v>8198</v>
      </c>
      <c r="H479" s="31" t="n">
        <v>12</v>
      </c>
      <c r="I479" s="31" t="n">
        <v>98378</v>
      </c>
      <c r="J479" s="29" t="n">
        <v>45848</v>
      </c>
      <c r="K479" s="31" t="n">
        <v>7802</v>
      </c>
      <c r="L479" s="30" t="s">
        <v>32</v>
      </c>
      <c r="M479" s="10" t="n">
        <v>2</v>
      </c>
      <c r="N479" s="12" t="n">
        <v>-4921</v>
      </c>
      <c r="O479" s="13" t="n">
        <v>-0.0500236444873807</v>
      </c>
      <c r="P479" s="15" t="n">
        <v>0.0673087596164521</v>
      </c>
      <c r="Q479" s="13" t="n">
        <v>-0.0644276358562071</v>
      </c>
      <c r="R479" s="15" t="n">
        <v>0.161702127659575</v>
      </c>
      <c r="S479" s="32" t="n">
        <v>88234293420</v>
      </c>
      <c r="T479" s="15" t="n">
        <v>0.0862068965517242</v>
      </c>
      <c r="U479" s="32" t="n">
        <v>5650292415</v>
      </c>
      <c r="V479" s="14" t="n">
        <v>13.4651869742338</v>
      </c>
      <c r="W479" s="13" t="n">
        <v>0.171673819742489</v>
      </c>
      <c r="X479" s="15" t="n">
        <v>0.106227106227106</v>
      </c>
      <c r="Y479" s="13" t="n">
        <v>0.0181338597861722</v>
      </c>
      <c r="Z479" s="13" t="n">
        <v>0.00818862978007218</v>
      </c>
      <c r="AA479" s="30" t="s">
        <v>97</v>
      </c>
      <c r="AB479" s="28" t="s">
        <v>93</v>
      </c>
      <c r="AC479" s="28" t="s">
        <v>103</v>
      </c>
      <c r="AD479" s="28" t="s">
        <v>108</v>
      </c>
      <c r="AE479" s="28" t="s">
        <v>101</v>
      </c>
      <c r="AF479" s="28" t="s">
        <v>120</v>
      </c>
      <c r="AG479" s="30" t="s">
        <v>122</v>
      </c>
    </row>
    <row r="480" customFormat="false" ht="15" hidden="false" customHeight="false" outlineLevel="0" collapsed="false">
      <c r="A480" s="10" t="n">
        <v>2025</v>
      </c>
      <c r="B480" s="28" t="s">
        <v>69</v>
      </c>
      <c r="C480" s="29" t="n">
        <v>45846</v>
      </c>
      <c r="D480" s="30" t="s">
        <v>126</v>
      </c>
      <c r="E480" s="28" t="s">
        <v>783</v>
      </c>
      <c r="F480" s="30" t="s">
        <v>784</v>
      </c>
      <c r="G480" s="31" t="n">
        <v>4504</v>
      </c>
      <c r="H480" s="31" t="n">
        <v>22</v>
      </c>
      <c r="I480" s="31" t="n">
        <v>99099</v>
      </c>
      <c r="J480" s="29" t="n">
        <v>45848</v>
      </c>
      <c r="K480" s="31" t="n">
        <v>4286</v>
      </c>
      <c r="L480" s="30" t="s">
        <v>32</v>
      </c>
      <c r="M480" s="10" t="n">
        <v>2</v>
      </c>
      <c r="N480" s="12" t="n">
        <v>-4984</v>
      </c>
      <c r="O480" s="13" t="n">
        <v>-0.0502912857142857</v>
      </c>
      <c r="P480" s="15" t="n">
        <v>-0.00210900210900189</v>
      </c>
      <c r="Q480" s="13" t="n">
        <v>-0.0631590631590629</v>
      </c>
      <c r="R480" s="15" t="n">
        <v>0.146496815286624</v>
      </c>
      <c r="S480" s="32" t="n">
        <v>83819223000</v>
      </c>
      <c r="T480" s="15" t="n">
        <v>0.0404624277456647</v>
      </c>
      <c r="U480" s="32" t="n">
        <v>3040530527.25</v>
      </c>
      <c r="V480" s="14" t="n">
        <v>25.34835060115</v>
      </c>
      <c r="W480" s="13" t="n">
        <v>0.149425287356322</v>
      </c>
      <c r="X480" s="15" t="n">
        <v>0.0744444444444445</v>
      </c>
      <c r="Y480" s="13" t="n">
        <v>0.0181338597861722</v>
      </c>
      <c r="Z480" s="13" t="n">
        <v>0.00818862978007218</v>
      </c>
      <c r="AA480" s="30" t="s">
        <v>97</v>
      </c>
      <c r="AB480" s="28" t="s">
        <v>93</v>
      </c>
      <c r="AC480" s="28" t="s">
        <v>102</v>
      </c>
      <c r="AD480" s="28" t="s">
        <v>108</v>
      </c>
      <c r="AE480" s="28" t="s">
        <v>113</v>
      </c>
      <c r="AF480" s="28" t="s">
        <v>120</v>
      </c>
      <c r="AG480" s="30" t="s">
        <v>122</v>
      </c>
    </row>
    <row r="481" customFormat="false" ht="15" hidden="false" customHeight="false" outlineLevel="0" collapsed="false">
      <c r="A481" s="10" t="n">
        <v>2025</v>
      </c>
      <c r="B481" s="28" t="s">
        <v>69</v>
      </c>
      <c r="C481" s="29" t="n">
        <v>45847</v>
      </c>
      <c r="D481" s="30" t="s">
        <v>127</v>
      </c>
      <c r="E481" s="28" t="s">
        <v>785</v>
      </c>
      <c r="F481" s="30" t="s">
        <v>786</v>
      </c>
      <c r="G481" s="31" t="n">
        <v>35235</v>
      </c>
      <c r="H481" s="31" t="n">
        <v>2</v>
      </c>
      <c r="I481" s="31" t="n">
        <v>70470</v>
      </c>
      <c r="J481" s="29" t="n">
        <v>45848</v>
      </c>
      <c r="K481" s="31" t="n">
        <v>33516</v>
      </c>
      <c r="L481" s="30" t="s">
        <v>32</v>
      </c>
      <c r="M481" s="10" t="n">
        <v>1</v>
      </c>
      <c r="N481" s="12" t="n">
        <v>-3559</v>
      </c>
      <c r="O481" s="13" t="n">
        <v>-0.050498859734016</v>
      </c>
      <c r="P481" s="15" t="n">
        <v>0.0245436381800019</v>
      </c>
      <c r="Q481" s="13" t="n">
        <v>-0.0577604213967849</v>
      </c>
      <c r="R481" s="15" t="n">
        <v>0.209621993127148</v>
      </c>
      <c r="S481" s="32" t="n">
        <v>136959398400</v>
      </c>
      <c r="T481" s="15" t="n">
        <v>0.163636363636364</v>
      </c>
      <c r="U481" s="32" t="n">
        <v>18987073807.5</v>
      </c>
      <c r="V481" s="14" t="n">
        <v>5.80490805097152</v>
      </c>
      <c r="W481" s="13" t="n">
        <v>0.148450244698205</v>
      </c>
      <c r="X481" s="15" t="n">
        <v>0.00426136363636354</v>
      </c>
      <c r="Y481" s="13" t="n">
        <v>0.00603219955376488</v>
      </c>
      <c r="Z481" s="13" t="n">
        <v>0.0190825544867417</v>
      </c>
      <c r="AA481" s="30" t="s">
        <v>97</v>
      </c>
      <c r="AB481" s="28" t="s">
        <v>93</v>
      </c>
      <c r="AC481" s="28" t="s">
        <v>104</v>
      </c>
      <c r="AD481" s="28" t="s">
        <v>109</v>
      </c>
      <c r="AE481" s="28" t="s">
        <v>114</v>
      </c>
      <c r="AF481" s="28" t="s">
        <v>119</v>
      </c>
      <c r="AG481" s="30" t="s">
        <v>122</v>
      </c>
    </row>
    <row r="482" customFormat="false" ht="15" hidden="false" customHeight="false" outlineLevel="0" collapsed="false">
      <c r="A482" s="10" t="n">
        <v>2025</v>
      </c>
      <c r="B482" s="28" t="s">
        <v>69</v>
      </c>
      <c r="C482" s="29" t="n">
        <v>45847</v>
      </c>
      <c r="D482" s="30" t="s">
        <v>127</v>
      </c>
      <c r="E482" s="28" t="s">
        <v>763</v>
      </c>
      <c r="F482" s="30" t="s">
        <v>764</v>
      </c>
      <c r="G482" s="31" t="n">
        <v>36787</v>
      </c>
      <c r="H482" s="31" t="n">
        <v>2</v>
      </c>
      <c r="I482" s="31" t="n">
        <v>73573</v>
      </c>
      <c r="J482" s="29" t="n">
        <v>45852</v>
      </c>
      <c r="K482" s="31" t="n">
        <v>44150</v>
      </c>
      <c r="L482" s="30" t="s">
        <v>31</v>
      </c>
      <c r="M482" s="10" t="n">
        <v>3</v>
      </c>
      <c r="N482" s="12" t="n">
        <v>14570</v>
      </c>
      <c r="O482" s="13" t="n">
        <v>0.198030119200528</v>
      </c>
      <c r="P482" s="15" t="n">
        <v>0.205597123964471</v>
      </c>
      <c r="Q482" s="13" t="n">
        <v>-0.040415366945979</v>
      </c>
      <c r="R482" s="15" t="n">
        <v>0.0381355932203389</v>
      </c>
      <c r="S482" s="32" t="n">
        <v>20490513750</v>
      </c>
      <c r="T482" s="15" t="n">
        <v>0.026536312849162</v>
      </c>
      <c r="U482" s="32" t="n">
        <v>16696589577.5</v>
      </c>
      <c r="V482" s="14" t="n">
        <v>1.08521961116492</v>
      </c>
      <c r="W482" s="13" t="n">
        <v>0.00136239782016356</v>
      </c>
      <c r="X482" s="15" t="n">
        <v>0.00952380952380949</v>
      </c>
      <c r="Y482" s="13" t="n">
        <v>0.00603219955376488</v>
      </c>
      <c r="Z482" s="13" t="n">
        <v>0.0190825544867417</v>
      </c>
      <c r="AA482" s="30" t="s">
        <v>97</v>
      </c>
      <c r="AB482" s="28" t="s">
        <v>93</v>
      </c>
      <c r="AC482" s="28" t="s">
        <v>100</v>
      </c>
      <c r="AD482" s="28" t="s">
        <v>106</v>
      </c>
      <c r="AE482" s="28" t="s">
        <v>113</v>
      </c>
      <c r="AF482" s="28" t="s">
        <v>116</v>
      </c>
      <c r="AG482" s="30" t="s">
        <v>122</v>
      </c>
    </row>
    <row r="483" customFormat="false" ht="15" hidden="false" customHeight="false" outlineLevel="0" collapsed="false">
      <c r="A483" s="10" t="n">
        <v>2025</v>
      </c>
      <c r="B483" s="28" t="s">
        <v>69</v>
      </c>
      <c r="C483" s="29" t="n">
        <v>45848</v>
      </c>
      <c r="D483" s="30" t="s">
        <v>128</v>
      </c>
      <c r="E483" s="28" t="s">
        <v>267</v>
      </c>
      <c r="F483" s="30" t="s">
        <v>268</v>
      </c>
      <c r="G483" s="31" t="n">
        <v>10380</v>
      </c>
      <c r="H483" s="31" t="n">
        <v>9</v>
      </c>
      <c r="I483" s="31" t="n">
        <v>93423</v>
      </c>
      <c r="J483" s="29" t="n">
        <v>45852</v>
      </c>
      <c r="K483" s="31" t="n">
        <v>12460</v>
      </c>
      <c r="L483" s="30" t="s">
        <v>31</v>
      </c>
      <c r="M483" s="10" t="n">
        <v>2</v>
      </c>
      <c r="N483" s="12" t="n">
        <v>18518</v>
      </c>
      <c r="O483" s="13" t="n">
        <v>0.198212004437222</v>
      </c>
      <c r="P483" s="15" t="n">
        <v>0.204195996867164</v>
      </c>
      <c r="Q483" s="13" t="n">
        <v>0.0201948485458612</v>
      </c>
      <c r="R483" s="15" t="n">
        <v>0.0390781563126252</v>
      </c>
      <c r="S483" s="32" t="n">
        <v>173671699440</v>
      </c>
      <c r="T483" s="15" t="n">
        <v>0.0196656833824975</v>
      </c>
      <c r="U483" s="32" t="n">
        <v>27125862944.5</v>
      </c>
      <c r="V483" s="14" t="n">
        <v>5.716484388684</v>
      </c>
      <c r="W483" s="13" t="n">
        <v>-0.0546946216955333</v>
      </c>
      <c r="X483" s="15" t="n">
        <v>0.115718418514947</v>
      </c>
      <c r="Y483" s="13" t="n">
        <v>0.0157926311691463</v>
      </c>
      <c r="Z483" s="13" t="n">
        <v>0.0214872267165553</v>
      </c>
      <c r="AA483" s="30" t="s">
        <v>97</v>
      </c>
      <c r="AB483" s="28" t="s">
        <v>93</v>
      </c>
      <c r="AC483" s="28" t="s">
        <v>100</v>
      </c>
      <c r="AD483" s="28" t="s">
        <v>109</v>
      </c>
      <c r="AE483" s="28" t="s">
        <v>112</v>
      </c>
      <c r="AF483" s="28" t="s">
        <v>119</v>
      </c>
      <c r="AG483" s="30" t="s">
        <v>123</v>
      </c>
    </row>
    <row r="484" customFormat="false" ht="15" hidden="false" customHeight="false" outlineLevel="0" collapsed="false">
      <c r="A484" s="10" t="n">
        <v>2025</v>
      </c>
      <c r="B484" s="28" t="s">
        <v>69</v>
      </c>
      <c r="C484" s="29" t="n">
        <v>45849</v>
      </c>
      <c r="D484" s="30" t="s">
        <v>129</v>
      </c>
      <c r="E484" s="28" t="s">
        <v>787</v>
      </c>
      <c r="F484" s="30" t="s">
        <v>788</v>
      </c>
      <c r="G484" s="31" t="n">
        <v>58058</v>
      </c>
      <c r="H484" s="31" t="n">
        <v>1</v>
      </c>
      <c r="I484" s="31" t="n">
        <v>58058</v>
      </c>
      <c r="J484" s="29" t="n">
        <v>45852</v>
      </c>
      <c r="K484" s="31" t="n">
        <v>55245</v>
      </c>
      <c r="L484" s="30" t="s">
        <v>32</v>
      </c>
      <c r="M484" s="10" t="n">
        <v>1</v>
      </c>
      <c r="N484" s="12" t="n">
        <v>-2913</v>
      </c>
      <c r="O484" s="13" t="n">
        <v>-0.0501767621171931</v>
      </c>
      <c r="P484" s="15" t="n">
        <v>-0.0113334940921147</v>
      </c>
      <c r="Q484" s="13" t="n">
        <v>-0.0492266354335319</v>
      </c>
      <c r="R484" s="15" t="n">
        <v>0.113243761996161</v>
      </c>
      <c r="S484" s="32" t="n">
        <v>72684150000</v>
      </c>
      <c r="T484" s="15" t="n">
        <v>0.0564663023679417</v>
      </c>
      <c r="U484" s="32" t="n">
        <v>18409486827.5</v>
      </c>
      <c r="V484" s="14" t="n">
        <v>3.49192969745944</v>
      </c>
      <c r="W484" s="13" t="n">
        <v>0.0861423220973783</v>
      </c>
      <c r="X484" s="15" t="n">
        <v>0.0327586206896551</v>
      </c>
      <c r="Y484" s="13" t="n">
        <v>-0.00234353157013478</v>
      </c>
      <c r="Z484" s="13" t="n">
        <v>0.0397769687127572</v>
      </c>
      <c r="AA484" s="30" t="s">
        <v>97</v>
      </c>
      <c r="AB484" s="28" t="s">
        <v>93</v>
      </c>
      <c r="AC484" s="28" t="s">
        <v>102</v>
      </c>
      <c r="AD484" s="28" t="s">
        <v>108</v>
      </c>
      <c r="AE484" s="28" t="s">
        <v>101</v>
      </c>
      <c r="AF484" s="28" t="s">
        <v>118</v>
      </c>
      <c r="AG484" s="30" t="s">
        <v>122</v>
      </c>
    </row>
    <row r="485" customFormat="false" ht="15" hidden="false" customHeight="false" outlineLevel="0" collapsed="false">
      <c r="A485" s="10" t="n">
        <v>2025</v>
      </c>
      <c r="B485" s="28" t="s">
        <v>69</v>
      </c>
      <c r="C485" s="29" t="n">
        <v>45849</v>
      </c>
      <c r="D485" s="30" t="s">
        <v>129</v>
      </c>
      <c r="E485" s="28" t="s">
        <v>745</v>
      </c>
      <c r="F485" s="30" t="s">
        <v>746</v>
      </c>
      <c r="G485" s="31" t="n">
        <v>55555</v>
      </c>
      <c r="H485" s="31" t="n">
        <v>1</v>
      </c>
      <c r="I485" s="31" t="n">
        <v>55555</v>
      </c>
      <c r="J485" s="29" t="n">
        <v>45852</v>
      </c>
      <c r="K485" s="31" t="n">
        <v>52847</v>
      </c>
      <c r="L485" s="30" t="s">
        <v>32</v>
      </c>
      <c r="M485" s="10" t="n">
        <v>1</v>
      </c>
      <c r="N485" s="12" t="n">
        <v>-2804</v>
      </c>
      <c r="O485" s="13" t="n">
        <v>-0.0504708091908091</v>
      </c>
      <c r="P485" s="15" t="n">
        <v>-0.0153990153990152</v>
      </c>
      <c r="Q485" s="13" t="n">
        <v>-0.0477990477990476</v>
      </c>
      <c r="R485" s="15" t="n">
        <v>0.0127737226277371</v>
      </c>
      <c r="S485" s="32" t="n">
        <v>65602221000</v>
      </c>
      <c r="T485" s="15" t="n">
        <v>0.00180505415162457</v>
      </c>
      <c r="U485" s="32" t="n">
        <v>49581444375</v>
      </c>
      <c r="V485" s="14" t="n">
        <v>1.24899313689989</v>
      </c>
      <c r="W485" s="13" t="n">
        <v>0.0183486238532109</v>
      </c>
      <c r="X485" s="15" t="n">
        <v>0</v>
      </c>
      <c r="Y485" s="13" t="n">
        <v>-0.00234353157013478</v>
      </c>
      <c r="Z485" s="13" t="n">
        <v>0.0397769687127572</v>
      </c>
      <c r="AA485" s="30" t="s">
        <v>97</v>
      </c>
      <c r="AB485" s="28" t="s">
        <v>93</v>
      </c>
      <c r="AC485" s="28" t="s">
        <v>99</v>
      </c>
      <c r="AD485" s="28" t="s">
        <v>108</v>
      </c>
      <c r="AE485" s="28" t="s">
        <v>112</v>
      </c>
      <c r="AF485" s="28" t="s">
        <v>116</v>
      </c>
      <c r="AG485" s="30" t="s">
        <v>122</v>
      </c>
    </row>
    <row r="486" customFormat="false" ht="15" hidden="false" customHeight="false" outlineLevel="0" collapsed="false">
      <c r="A486" s="10" t="n">
        <v>2025</v>
      </c>
      <c r="B486" s="28" t="s">
        <v>69</v>
      </c>
      <c r="C486" s="29" t="n">
        <v>45852</v>
      </c>
      <c r="D486" s="30" t="s">
        <v>125</v>
      </c>
      <c r="E486" s="28" t="s">
        <v>747</v>
      </c>
      <c r="F486" s="30" t="s">
        <v>748</v>
      </c>
      <c r="G486" s="31" t="n">
        <v>52352</v>
      </c>
      <c r="H486" s="31" t="n">
        <v>1</v>
      </c>
      <c r="I486" s="31" t="n">
        <v>52352</v>
      </c>
      <c r="J486" s="29" t="n">
        <v>45866</v>
      </c>
      <c r="K486" s="31" t="n">
        <v>49800</v>
      </c>
      <c r="L486" s="30" t="s">
        <v>32</v>
      </c>
      <c r="M486" s="10" t="n">
        <v>10</v>
      </c>
      <c r="N486" s="12" t="n">
        <v>-2642</v>
      </c>
      <c r="O486" s="13" t="n">
        <v>-0.0504690929051828</v>
      </c>
      <c r="P486" s="15" t="n">
        <v>0.0352935783146109</v>
      </c>
      <c r="Q486" s="13" t="n">
        <v>-0.10605646743314</v>
      </c>
      <c r="R486" s="15" t="n">
        <v>0.0480961923847696</v>
      </c>
      <c r="S486" s="32" t="n">
        <v>29275761800</v>
      </c>
      <c r="T486" s="15" t="n">
        <v>0.00191570881226055</v>
      </c>
      <c r="U486" s="32" t="n">
        <v>11814574072.5</v>
      </c>
      <c r="V486" s="14" t="n">
        <v>2.40551505772856</v>
      </c>
      <c r="W486" s="13" t="n">
        <v>0.0480961923847696</v>
      </c>
      <c r="X486" s="15" t="n">
        <v>0.00382409177820264</v>
      </c>
      <c r="Y486" s="13" t="n">
        <v>0.00826886078022038</v>
      </c>
      <c r="Z486" s="13" t="n">
        <v>0.0465963058961194</v>
      </c>
      <c r="AA486" s="30" t="s">
        <v>97</v>
      </c>
      <c r="AB486" s="28" t="s">
        <v>93</v>
      </c>
      <c r="AC486" s="28" t="s">
        <v>100</v>
      </c>
      <c r="AD486" s="28" t="s">
        <v>106</v>
      </c>
      <c r="AE486" s="28" t="s">
        <v>112</v>
      </c>
      <c r="AF486" s="28" t="s">
        <v>117</v>
      </c>
      <c r="AG486" s="30" t="s">
        <v>122</v>
      </c>
    </row>
    <row r="487" customFormat="false" ht="15" hidden="false" customHeight="false" outlineLevel="0" collapsed="false">
      <c r="A487" s="10" t="n">
        <v>2025</v>
      </c>
      <c r="B487" s="28" t="s">
        <v>69</v>
      </c>
      <c r="C487" s="29" t="n">
        <v>45853</v>
      </c>
      <c r="D487" s="30" t="s">
        <v>126</v>
      </c>
      <c r="E487" s="28" t="s">
        <v>591</v>
      </c>
      <c r="F487" s="30" t="s">
        <v>592</v>
      </c>
      <c r="G487" s="31" t="n">
        <v>18058</v>
      </c>
      <c r="H487" s="31" t="n">
        <v>5</v>
      </c>
      <c r="I487" s="31" t="n">
        <v>90290</v>
      </c>
      <c r="J487" s="29" t="n">
        <v>45896</v>
      </c>
      <c r="K487" s="31" t="n">
        <v>21700</v>
      </c>
      <c r="L487" s="30" t="s">
        <v>31</v>
      </c>
      <c r="M487" s="10" t="n">
        <v>30</v>
      </c>
      <c r="N487" s="12" t="n">
        <v>18017</v>
      </c>
      <c r="O487" s="13" t="n">
        <v>0.199548029243484</v>
      </c>
      <c r="P487" s="15" t="n">
        <v>0.218293901220731</v>
      </c>
      <c r="Q487" s="13" t="n">
        <v>-0.0198271794724122</v>
      </c>
      <c r="R487" s="15" t="n">
        <v>0.0344036697247707</v>
      </c>
      <c r="S487" s="32" t="n">
        <v>142292718920</v>
      </c>
      <c r="T487" s="15" t="n">
        <v>0.00894854586129745</v>
      </c>
      <c r="U487" s="32" t="n">
        <v>127148205392.5</v>
      </c>
      <c r="V487" s="14" t="n">
        <v>1.05554015818028</v>
      </c>
      <c r="W487" s="13" t="n">
        <v>0.0367816091954023</v>
      </c>
      <c r="X487" s="15" t="n">
        <v>0.00277161862527708</v>
      </c>
      <c r="Y487" s="13" t="n">
        <v>0.00413799995627784</v>
      </c>
      <c r="Z487" s="13" t="n">
        <v>0.0322091847381179</v>
      </c>
      <c r="AA487" s="30" t="s">
        <v>97</v>
      </c>
      <c r="AB487" s="28" t="s">
        <v>93</v>
      </c>
      <c r="AC487" s="28" t="s">
        <v>100</v>
      </c>
      <c r="AD487" s="28" t="s">
        <v>109</v>
      </c>
      <c r="AE487" s="28" t="s">
        <v>112</v>
      </c>
      <c r="AF487" s="28" t="s">
        <v>116</v>
      </c>
      <c r="AG487" s="30" t="s">
        <v>122</v>
      </c>
    </row>
    <row r="488" customFormat="false" ht="15" hidden="false" customHeight="false" outlineLevel="0" collapsed="false">
      <c r="A488" s="10" t="n">
        <v>2025</v>
      </c>
      <c r="B488" s="28" t="s">
        <v>69</v>
      </c>
      <c r="C488" s="29" t="n">
        <v>45854</v>
      </c>
      <c r="D488" s="30" t="s">
        <v>127</v>
      </c>
      <c r="E488" s="28" t="s">
        <v>789</v>
      </c>
      <c r="F488" s="30" t="s">
        <v>790</v>
      </c>
      <c r="G488" s="31" t="n">
        <v>41341</v>
      </c>
      <c r="H488" s="31" t="n">
        <v>2</v>
      </c>
      <c r="I488" s="31" t="n">
        <v>82683</v>
      </c>
      <c r="J488" s="29" t="n">
        <v>45855</v>
      </c>
      <c r="K488" s="31" t="n">
        <v>39311</v>
      </c>
      <c r="L488" s="30" t="s">
        <v>32</v>
      </c>
      <c r="M488" s="10" t="n">
        <v>1</v>
      </c>
      <c r="N488" s="12" t="n">
        <v>-4203</v>
      </c>
      <c r="O488" s="13" t="n">
        <v>-0.0508381150931391</v>
      </c>
      <c r="P488" s="15" t="n">
        <v>-0.00583677823387252</v>
      </c>
      <c r="Q488" s="13" t="n">
        <v>-0.0542145505825892</v>
      </c>
      <c r="R488" s="15" t="n">
        <v>0.110215053763441</v>
      </c>
      <c r="S488" s="32" t="n">
        <v>44701096300</v>
      </c>
      <c r="T488" s="15" t="n">
        <v>0.101333333333333</v>
      </c>
      <c r="U488" s="32" t="n">
        <v>8240965475</v>
      </c>
      <c r="V488" s="14" t="n">
        <v>4.58063148200971</v>
      </c>
      <c r="W488" s="13" t="n">
        <v>0.058974358974359</v>
      </c>
      <c r="X488" s="15" t="n">
        <v>0.0169491525423728</v>
      </c>
      <c r="Y488" s="13" t="n">
        <v>-0.00898833072080818</v>
      </c>
      <c r="Z488" s="13" t="n">
        <v>0.0167978198574228</v>
      </c>
      <c r="AA488" s="30" t="s">
        <v>97</v>
      </c>
      <c r="AB488" s="28" t="s">
        <v>93</v>
      </c>
      <c r="AC488" s="28" t="s">
        <v>102</v>
      </c>
      <c r="AD488" s="28" t="s">
        <v>107</v>
      </c>
      <c r="AE488" s="28" t="s">
        <v>114</v>
      </c>
      <c r="AF488" s="28" t="s">
        <v>118</v>
      </c>
      <c r="AG488" s="30" t="s">
        <v>122</v>
      </c>
    </row>
    <row r="489" customFormat="false" ht="15" hidden="false" customHeight="false" outlineLevel="0" collapsed="false">
      <c r="A489" s="10" t="n">
        <v>2025</v>
      </c>
      <c r="B489" s="28" t="s">
        <v>69</v>
      </c>
      <c r="C489" s="29" t="n">
        <v>45855</v>
      </c>
      <c r="D489" s="30" t="s">
        <v>128</v>
      </c>
      <c r="E489" s="28" t="s">
        <v>791</v>
      </c>
      <c r="F489" s="30" t="s">
        <v>792</v>
      </c>
      <c r="G489" s="31" t="n">
        <v>2172</v>
      </c>
      <c r="H489" s="31" t="n">
        <v>45</v>
      </c>
      <c r="I489" s="31" t="n">
        <v>97748</v>
      </c>
      <c r="J489" s="29" t="n">
        <v>45856</v>
      </c>
      <c r="K489" s="31" t="n">
        <v>2068</v>
      </c>
      <c r="L489" s="30" t="s">
        <v>32</v>
      </c>
      <c r="M489" s="10" t="n">
        <v>1</v>
      </c>
      <c r="N489" s="12" t="n">
        <v>-4859</v>
      </c>
      <c r="O489" s="13" t="n">
        <v>-0.0497096958341197</v>
      </c>
      <c r="P489" s="15" t="n">
        <v>-0.00560269223863674</v>
      </c>
      <c r="Q489" s="13" t="n">
        <v>-0.101819839147028</v>
      </c>
      <c r="R489" s="15" t="n">
        <v>0.158569140416444</v>
      </c>
      <c r="S489" s="32" t="n">
        <v>143663456860</v>
      </c>
      <c r="T489" s="15" t="n">
        <v>0.156100159829515</v>
      </c>
      <c r="U489" s="32" t="n">
        <v>6947327870.75</v>
      </c>
      <c r="V489" s="14" t="n">
        <v>17.1216680165472</v>
      </c>
      <c r="W489" s="13" t="n">
        <v>0.130208333333333</v>
      </c>
      <c r="X489" s="15" t="n">
        <v>0.0737327188940091</v>
      </c>
      <c r="Y489" s="13" t="n">
        <v>0.00185476936209739</v>
      </c>
      <c r="Z489" s="13" t="n">
        <v>0.00284616568705376</v>
      </c>
      <c r="AA489" s="30" t="s">
        <v>97</v>
      </c>
      <c r="AB489" s="28" t="s">
        <v>93</v>
      </c>
      <c r="AC489" s="28" t="s">
        <v>103</v>
      </c>
      <c r="AD489" s="28" t="s">
        <v>109</v>
      </c>
      <c r="AE489" s="28" t="s">
        <v>114</v>
      </c>
      <c r="AF489" s="28" t="s">
        <v>120</v>
      </c>
      <c r="AG489" s="30" t="s">
        <v>122</v>
      </c>
    </row>
    <row r="490" customFormat="false" ht="15" hidden="false" customHeight="false" outlineLevel="0" collapsed="false">
      <c r="A490" s="10" t="n">
        <v>2025</v>
      </c>
      <c r="B490" s="28" t="s">
        <v>69</v>
      </c>
      <c r="C490" s="29" t="n">
        <v>45855</v>
      </c>
      <c r="D490" s="30" t="s">
        <v>128</v>
      </c>
      <c r="E490" s="28" t="s">
        <v>289</v>
      </c>
      <c r="F490" s="30" t="s">
        <v>290</v>
      </c>
      <c r="G490" s="31" t="n">
        <v>73073</v>
      </c>
      <c r="H490" s="31" t="n">
        <v>1</v>
      </c>
      <c r="I490" s="31" t="n">
        <v>73073</v>
      </c>
      <c r="J490" s="29" t="n">
        <v>45862</v>
      </c>
      <c r="K490" s="31" t="n">
        <v>87700</v>
      </c>
      <c r="L490" s="30" t="s">
        <v>31</v>
      </c>
      <c r="M490" s="10" t="n">
        <v>5</v>
      </c>
      <c r="N490" s="12" t="n">
        <v>14471</v>
      </c>
      <c r="O490" s="13" t="n">
        <v>0.1980394133264</v>
      </c>
      <c r="P490" s="15" t="n">
        <v>0.285016353509505</v>
      </c>
      <c r="Q490" s="13" t="n">
        <v>-0.0434223310935638</v>
      </c>
      <c r="R490" s="15" t="n">
        <v>0.0413694721825964</v>
      </c>
      <c r="S490" s="32" t="n">
        <v>81096211000</v>
      </c>
      <c r="T490" s="15" t="n">
        <v>0.0124826629680999</v>
      </c>
      <c r="U490" s="32" t="n">
        <v>56348699630</v>
      </c>
      <c r="V490" s="14" t="n">
        <v>1.32951408116364</v>
      </c>
      <c r="W490" s="13" t="n">
        <v>0.0252808988764044</v>
      </c>
      <c r="X490" s="15" t="n">
        <v>0.0054794520547945</v>
      </c>
      <c r="Y490" s="13" t="n">
        <v>0.00185476936209739</v>
      </c>
      <c r="Z490" s="13" t="n">
        <v>0.00284616568705376</v>
      </c>
      <c r="AA490" s="30" t="s">
        <v>97</v>
      </c>
      <c r="AB490" s="28" t="s">
        <v>93</v>
      </c>
      <c r="AC490" s="28" t="s">
        <v>100</v>
      </c>
      <c r="AD490" s="28" t="s">
        <v>108</v>
      </c>
      <c r="AE490" s="28" t="s">
        <v>112</v>
      </c>
      <c r="AF490" s="28" t="s">
        <v>116</v>
      </c>
      <c r="AG490" s="30" t="s">
        <v>122</v>
      </c>
    </row>
    <row r="491" customFormat="false" ht="15" hidden="false" customHeight="false" outlineLevel="0" collapsed="false">
      <c r="A491" s="10" t="n">
        <v>2025</v>
      </c>
      <c r="B491" s="28" t="s">
        <v>69</v>
      </c>
      <c r="C491" s="29" t="n">
        <v>45855</v>
      </c>
      <c r="D491" s="30" t="s">
        <v>128</v>
      </c>
      <c r="E491" s="28" t="s">
        <v>565</v>
      </c>
      <c r="F491" s="30" t="s">
        <v>566</v>
      </c>
      <c r="G491" s="31" t="n">
        <v>29930</v>
      </c>
      <c r="H491" s="31" t="n">
        <v>3</v>
      </c>
      <c r="I491" s="31" t="n">
        <v>89790</v>
      </c>
      <c r="J491" s="29" t="n">
        <v>45859</v>
      </c>
      <c r="K491" s="31" t="n">
        <v>28472</v>
      </c>
      <c r="L491" s="30" t="s">
        <v>32</v>
      </c>
      <c r="M491" s="10" t="n">
        <v>2</v>
      </c>
      <c r="N491" s="12" t="n">
        <v>-4530</v>
      </c>
      <c r="O491" s="13" t="n">
        <v>-0.0504467926722107</v>
      </c>
      <c r="P491" s="15" t="n">
        <v>0.00234213946588535</v>
      </c>
      <c r="Q491" s="13" t="n">
        <v>-0.0511161079722952</v>
      </c>
      <c r="R491" s="15" t="n">
        <v>0.13472485768501</v>
      </c>
      <c r="S491" s="32" t="n">
        <v>49915239400</v>
      </c>
      <c r="T491" s="15" t="n">
        <v>0.107407407407407</v>
      </c>
      <c r="U491" s="32" t="n">
        <v>5052676297.5</v>
      </c>
      <c r="V491" s="14" t="n">
        <v>8.505242392678</v>
      </c>
      <c r="W491" s="13" t="n">
        <v>0.128301886792453</v>
      </c>
      <c r="X491" s="15" t="n">
        <v>0.00334448160535117</v>
      </c>
      <c r="Y491" s="13" t="n">
        <v>0.00185476936209739</v>
      </c>
      <c r="Z491" s="13" t="n">
        <v>0.00284616568705376</v>
      </c>
      <c r="AA491" s="30" t="s">
        <v>97</v>
      </c>
      <c r="AB491" s="28" t="s">
        <v>93</v>
      </c>
      <c r="AC491" s="28" t="s">
        <v>102</v>
      </c>
      <c r="AD491" s="28" t="s">
        <v>107</v>
      </c>
      <c r="AE491" s="28" t="s">
        <v>114</v>
      </c>
      <c r="AF491" s="28" t="s">
        <v>119</v>
      </c>
      <c r="AG491" s="30" t="s">
        <v>122</v>
      </c>
    </row>
    <row r="492" customFormat="false" ht="15" hidden="false" customHeight="false" outlineLevel="0" collapsed="false">
      <c r="A492" s="10" t="n">
        <v>2025</v>
      </c>
      <c r="B492" s="28" t="s">
        <v>69</v>
      </c>
      <c r="C492" s="29" t="n">
        <v>45855</v>
      </c>
      <c r="D492" s="30" t="s">
        <v>128</v>
      </c>
      <c r="E492" s="28" t="s">
        <v>469</v>
      </c>
      <c r="F492" s="28" t="s">
        <v>470</v>
      </c>
      <c r="G492" s="31" t="n">
        <v>54054</v>
      </c>
      <c r="H492" s="31" t="n">
        <v>1</v>
      </c>
      <c r="I492" s="31" t="n">
        <v>54054</v>
      </c>
      <c r="J492" s="29" t="n">
        <v>45859</v>
      </c>
      <c r="K492" s="31" t="n">
        <v>51448</v>
      </c>
      <c r="L492" s="30" t="s">
        <v>32</v>
      </c>
      <c r="M492" s="10" t="n">
        <v>2</v>
      </c>
      <c r="N492" s="12" t="n">
        <v>-2698</v>
      </c>
      <c r="O492" s="13" t="n">
        <v>-0.0499222652347651</v>
      </c>
      <c r="P492" s="15" t="n">
        <v>0.00270100270100282</v>
      </c>
      <c r="Q492" s="13" t="n">
        <v>-0.0925740925740924</v>
      </c>
      <c r="R492" s="15" t="n">
        <v>0.0364683301343569</v>
      </c>
      <c r="S492" s="32" t="n">
        <v>32431536000</v>
      </c>
      <c r="T492" s="15" t="n">
        <v>0.00934579439252326</v>
      </c>
      <c r="U492" s="32" t="n">
        <v>30158077997.5</v>
      </c>
      <c r="V492" s="14" t="n">
        <v>1.00975644735151</v>
      </c>
      <c r="W492" s="13" t="n">
        <v>0.0344827586206897</v>
      </c>
      <c r="X492" s="15" t="n">
        <v>0.00370370370370377</v>
      </c>
      <c r="Y492" s="13" t="n">
        <v>0.00185476936209739</v>
      </c>
      <c r="Z492" s="13" t="n">
        <v>0.00284616568705376</v>
      </c>
      <c r="AA492" s="30" t="s">
        <v>97</v>
      </c>
      <c r="AB492" s="28" t="s">
        <v>93</v>
      </c>
      <c r="AC492" s="28" t="s">
        <v>100</v>
      </c>
      <c r="AD492" s="28" t="s">
        <v>107</v>
      </c>
      <c r="AE492" s="28" t="s">
        <v>112</v>
      </c>
      <c r="AF492" s="28" t="s">
        <v>116</v>
      </c>
      <c r="AG492" s="30" t="s">
        <v>122</v>
      </c>
    </row>
    <row r="493" customFormat="false" ht="15" hidden="false" customHeight="false" outlineLevel="0" collapsed="false">
      <c r="A493" s="10" t="n">
        <v>2025</v>
      </c>
      <c r="B493" s="28" t="s">
        <v>69</v>
      </c>
      <c r="C493" s="29" t="n">
        <v>45855</v>
      </c>
      <c r="D493" s="30" t="s">
        <v>128</v>
      </c>
      <c r="E493" s="28" t="s">
        <v>793</v>
      </c>
      <c r="F493" s="30" t="s">
        <v>794</v>
      </c>
      <c r="G493" s="31" t="n">
        <v>17698</v>
      </c>
      <c r="H493" s="31" t="n">
        <v>5</v>
      </c>
      <c r="I493" s="31" t="n">
        <v>88488</v>
      </c>
      <c r="J493" s="29" t="n">
        <v>45860</v>
      </c>
      <c r="K493" s="31" t="n">
        <v>16843</v>
      </c>
      <c r="L493" s="30" t="s">
        <v>32</v>
      </c>
      <c r="M493" s="10" t="n">
        <v>3</v>
      </c>
      <c r="N493" s="12" t="n">
        <v>-4425</v>
      </c>
      <c r="O493" s="13" t="n">
        <v>-0.0500057540310366</v>
      </c>
      <c r="P493" s="15" t="n">
        <v>0.0244280606271559</v>
      </c>
      <c r="Q493" s="13" t="n">
        <v>-0.0478978035539119</v>
      </c>
      <c r="R493" s="15" t="n">
        <v>0.0806845965770171</v>
      </c>
      <c r="S493" s="32" t="n">
        <v>22014923840</v>
      </c>
      <c r="T493" s="15" t="n">
        <v>0.0219653179190751</v>
      </c>
      <c r="U493" s="32" t="n">
        <v>6619027360</v>
      </c>
      <c r="V493" s="14" t="n">
        <v>3.10787541522559</v>
      </c>
      <c r="W493" s="13" t="n">
        <v>0.078048780487805</v>
      </c>
      <c r="X493" s="15" t="n">
        <v>0.00622171945701355</v>
      </c>
      <c r="Y493" s="13" t="n">
        <v>0.00185476936209739</v>
      </c>
      <c r="Z493" s="13" t="n">
        <v>0.00284616568705376</v>
      </c>
      <c r="AA493" s="30" t="s">
        <v>97</v>
      </c>
      <c r="AB493" s="28" t="s">
        <v>93</v>
      </c>
      <c r="AC493" s="28" t="s">
        <v>101</v>
      </c>
      <c r="AD493" s="28" t="s">
        <v>106</v>
      </c>
      <c r="AE493" s="28" t="s">
        <v>113</v>
      </c>
      <c r="AF493" s="28" t="s">
        <v>118</v>
      </c>
      <c r="AG493" s="30" t="s">
        <v>122</v>
      </c>
    </row>
    <row r="494" customFormat="false" ht="15" hidden="false" customHeight="false" outlineLevel="0" collapsed="false">
      <c r="A494" s="10" t="n">
        <v>2025</v>
      </c>
      <c r="B494" s="28" t="s">
        <v>69</v>
      </c>
      <c r="C494" s="29" t="n">
        <v>45856</v>
      </c>
      <c r="D494" s="30" t="s">
        <v>129</v>
      </c>
      <c r="E494" s="28" t="s">
        <v>795</v>
      </c>
      <c r="F494" s="30" t="s">
        <v>796</v>
      </c>
      <c r="G494" s="31" t="n">
        <v>40240</v>
      </c>
      <c r="H494" s="31" t="n">
        <v>2</v>
      </c>
      <c r="I494" s="31" t="n">
        <v>80480</v>
      </c>
      <c r="J494" s="29" t="n">
        <v>45859</v>
      </c>
      <c r="K494" s="31" t="n">
        <v>38262</v>
      </c>
      <c r="L494" s="30" t="s">
        <v>32</v>
      </c>
      <c r="M494" s="10" t="n">
        <v>1</v>
      </c>
      <c r="N494" s="12" t="n">
        <v>-4095</v>
      </c>
      <c r="O494" s="13" t="n">
        <v>-0.0508861246961993</v>
      </c>
      <c r="P494" s="15" t="n">
        <v>-0.0357900805661999</v>
      </c>
      <c r="Q494" s="13" t="n">
        <v>-0.0656110059095133</v>
      </c>
      <c r="R494" s="15" t="n">
        <v>0.122905027932961</v>
      </c>
      <c r="S494" s="32" t="n">
        <v>160918389000</v>
      </c>
      <c r="T494" s="15" t="n">
        <v>0.0734312416555407</v>
      </c>
      <c r="U494" s="32" t="n">
        <v>34163959545</v>
      </c>
      <c r="V494" s="14" t="n">
        <v>4.13150802734243</v>
      </c>
      <c r="W494" s="13" t="n">
        <v>0.0592885375494072</v>
      </c>
      <c r="X494" s="15" t="n">
        <v>0.0310945273631842</v>
      </c>
      <c r="Y494" s="13" t="n">
        <v>-0.00132193503723022</v>
      </c>
      <c r="Z494" s="13" t="n">
        <v>0.00387307645075063</v>
      </c>
      <c r="AA494" s="30" t="s">
        <v>97</v>
      </c>
      <c r="AB494" s="28" t="s">
        <v>93</v>
      </c>
      <c r="AC494" s="28" t="s">
        <v>102</v>
      </c>
      <c r="AD494" s="28" t="s">
        <v>109</v>
      </c>
      <c r="AE494" s="28" t="s">
        <v>101</v>
      </c>
      <c r="AF494" s="28" t="s">
        <v>118</v>
      </c>
      <c r="AG494" s="30" t="s">
        <v>122</v>
      </c>
    </row>
    <row r="495" customFormat="false" ht="15" hidden="false" customHeight="false" outlineLevel="0" collapsed="false">
      <c r="A495" s="10" t="n">
        <v>2025</v>
      </c>
      <c r="B495" s="28" t="s">
        <v>69</v>
      </c>
      <c r="C495" s="29" t="n">
        <v>45859</v>
      </c>
      <c r="D495" s="30" t="s">
        <v>125</v>
      </c>
      <c r="E495" s="28" t="s">
        <v>653</v>
      </c>
      <c r="F495" s="30" t="s">
        <v>654</v>
      </c>
      <c r="G495" s="31" t="n">
        <v>35785</v>
      </c>
      <c r="H495" s="31" t="n">
        <v>2</v>
      </c>
      <c r="I495" s="31" t="n">
        <v>71569</v>
      </c>
      <c r="J495" s="29" t="n">
        <v>45868</v>
      </c>
      <c r="K495" s="31" t="n">
        <v>34066</v>
      </c>
      <c r="L495" s="30" t="s">
        <v>32</v>
      </c>
      <c r="M495" s="10" t="n">
        <v>7</v>
      </c>
      <c r="N495" s="12" t="n">
        <v>-3561</v>
      </c>
      <c r="O495" s="13" t="n">
        <v>-0.0497515942045722</v>
      </c>
      <c r="P495" s="15" t="n">
        <v>0.0345854673031456</v>
      </c>
      <c r="Q495" s="13" t="n">
        <v>-0.157834250182535</v>
      </c>
      <c r="R495" s="15" t="n">
        <v>0.0736543909348442</v>
      </c>
      <c r="S495" s="32" t="n">
        <v>502546647400</v>
      </c>
      <c r="T495" s="15" t="n">
        <v>0.0397805212620026</v>
      </c>
      <c r="U495" s="32" t="n">
        <v>126918085485</v>
      </c>
      <c r="V495" s="14" t="n">
        <v>3.61413964787462</v>
      </c>
      <c r="W495" s="13" t="n">
        <v>0.0571827057182706</v>
      </c>
      <c r="X495" s="15" t="n">
        <v>0.0527704485488127</v>
      </c>
      <c r="Y495" s="13" t="n">
        <v>0.0071328421270549</v>
      </c>
      <c r="Z495" s="13" t="n">
        <v>0.00274201053706547</v>
      </c>
      <c r="AA495" s="30" t="s">
        <v>97</v>
      </c>
      <c r="AB495" s="28" t="s">
        <v>93</v>
      </c>
      <c r="AC495" s="28" t="s">
        <v>101</v>
      </c>
      <c r="AD495" s="28" t="s">
        <v>110</v>
      </c>
      <c r="AE495" s="28" t="s">
        <v>113</v>
      </c>
      <c r="AF495" s="28" t="s">
        <v>118</v>
      </c>
      <c r="AG495" s="30" t="s">
        <v>122</v>
      </c>
    </row>
    <row r="496" customFormat="false" ht="15" hidden="false" customHeight="false" outlineLevel="0" collapsed="false">
      <c r="A496" s="10" t="n">
        <v>2025</v>
      </c>
      <c r="B496" s="28" t="s">
        <v>69</v>
      </c>
      <c r="C496" s="29" t="n">
        <v>45859</v>
      </c>
      <c r="D496" s="30" t="s">
        <v>125</v>
      </c>
      <c r="E496" s="28" t="s">
        <v>425</v>
      </c>
      <c r="F496" s="30" t="s">
        <v>426</v>
      </c>
      <c r="G496" s="31" t="n">
        <v>2813</v>
      </c>
      <c r="H496" s="31" t="n">
        <v>35</v>
      </c>
      <c r="I496" s="31" t="n">
        <v>98448</v>
      </c>
      <c r="J496" s="29" t="n">
        <v>45862</v>
      </c>
      <c r="K496" s="31" t="n">
        <v>3380</v>
      </c>
      <c r="L496" s="30" t="s">
        <v>31</v>
      </c>
      <c r="M496" s="10" t="n">
        <v>3</v>
      </c>
      <c r="N496" s="12" t="n">
        <v>19642</v>
      </c>
      <c r="O496" s="13" t="n">
        <v>0.199512614965106</v>
      </c>
      <c r="P496" s="15" t="n">
        <v>0.313632986230851</v>
      </c>
      <c r="Q496" s="13" t="n">
        <v>-0.0241075650328317</v>
      </c>
      <c r="R496" s="15" t="n">
        <v>0.22707423580786</v>
      </c>
      <c r="S496" s="32" t="n">
        <v>123041520580</v>
      </c>
      <c r="T496" s="15" t="n">
        <v>0.133064516129032</v>
      </c>
      <c r="U496" s="32" t="n">
        <v>9362913859.5</v>
      </c>
      <c r="V496" s="14" t="n">
        <v>10.8498018909056</v>
      </c>
      <c r="W496" s="13" t="n">
        <v>0.22707423580786</v>
      </c>
      <c r="X496" s="15" t="n">
        <v>0.0409252669039146</v>
      </c>
      <c r="Y496" s="13" t="n">
        <v>0.0071328421270549</v>
      </c>
      <c r="Z496" s="13" t="n">
        <v>0.00274201053706547</v>
      </c>
      <c r="AA496" s="30" t="s">
        <v>97</v>
      </c>
      <c r="AB496" s="28" t="s">
        <v>93</v>
      </c>
      <c r="AC496" s="28" t="s">
        <v>104</v>
      </c>
      <c r="AD496" s="28" t="s">
        <v>109</v>
      </c>
      <c r="AE496" s="28" t="s">
        <v>114</v>
      </c>
      <c r="AF496" s="28" t="s">
        <v>120</v>
      </c>
      <c r="AG496" s="30" t="s">
        <v>122</v>
      </c>
    </row>
    <row r="497" customFormat="false" ht="15" hidden="false" customHeight="false" outlineLevel="0" collapsed="false">
      <c r="A497" s="10" t="n">
        <v>2025</v>
      </c>
      <c r="B497" s="28" t="s">
        <v>69</v>
      </c>
      <c r="C497" s="29" t="n">
        <v>45859</v>
      </c>
      <c r="D497" s="30" t="s">
        <v>125</v>
      </c>
      <c r="E497" s="28" t="s">
        <v>355</v>
      </c>
      <c r="F497" s="30" t="s">
        <v>356</v>
      </c>
      <c r="G497" s="31" t="n">
        <v>51652</v>
      </c>
      <c r="H497" s="31" t="n">
        <v>1</v>
      </c>
      <c r="I497" s="31" t="n">
        <v>51652</v>
      </c>
      <c r="J497" s="29" t="n">
        <v>45861</v>
      </c>
      <c r="K497" s="31" t="n">
        <v>49151</v>
      </c>
      <c r="L497" s="30" t="s">
        <v>32</v>
      </c>
      <c r="M497" s="10" t="n">
        <v>2</v>
      </c>
      <c r="N497" s="12" t="n">
        <v>-2590</v>
      </c>
      <c r="O497" s="13" t="n">
        <v>-0.050136812025184</v>
      </c>
      <c r="P497" s="15" t="n">
        <v>-0.00680714634202995</v>
      </c>
      <c r="Q497" s="13" t="n">
        <v>-0.0503682364147479</v>
      </c>
      <c r="R497" s="15" t="n">
        <v>0.100213219616205</v>
      </c>
      <c r="S497" s="32" t="n">
        <v>110560069200</v>
      </c>
      <c r="T497" s="15" t="n">
        <v>0.0455927051671732</v>
      </c>
      <c r="U497" s="32" t="n">
        <v>14519381542.5</v>
      </c>
      <c r="V497" s="14" t="n">
        <v>7.04435704995601</v>
      </c>
      <c r="W497" s="13" t="n">
        <v>0.0817610062893082</v>
      </c>
      <c r="X497" s="15" t="n">
        <v>0.0251937984496125</v>
      </c>
      <c r="Y497" s="13" t="n">
        <v>0.0071328421270549</v>
      </c>
      <c r="Z497" s="13" t="n">
        <v>0.00274201053706547</v>
      </c>
      <c r="AA497" s="30" t="s">
        <v>97</v>
      </c>
      <c r="AB497" s="28" t="s">
        <v>93</v>
      </c>
      <c r="AC497" s="28" t="s">
        <v>102</v>
      </c>
      <c r="AD497" s="28" t="s">
        <v>109</v>
      </c>
      <c r="AE497" s="28" t="s">
        <v>113</v>
      </c>
      <c r="AF497" s="28" t="s">
        <v>119</v>
      </c>
      <c r="AG497" s="30" t="s">
        <v>122</v>
      </c>
    </row>
    <row r="498" customFormat="false" ht="15" hidden="false" customHeight="false" outlineLevel="0" collapsed="false">
      <c r="A498" s="10" t="n">
        <v>2025</v>
      </c>
      <c r="B498" s="28" t="s">
        <v>69</v>
      </c>
      <c r="C498" s="29" t="n">
        <v>45860</v>
      </c>
      <c r="D498" s="30" t="s">
        <v>126</v>
      </c>
      <c r="E498" s="28" t="s">
        <v>797</v>
      </c>
      <c r="F498" s="30" t="s">
        <v>798</v>
      </c>
      <c r="G498" s="31" t="n">
        <v>73073</v>
      </c>
      <c r="H498" s="31" t="n">
        <v>1</v>
      </c>
      <c r="I498" s="31" t="n">
        <v>73073</v>
      </c>
      <c r="J498" s="29" t="n">
        <v>45861</v>
      </c>
      <c r="K498" s="31" t="n">
        <v>69530</v>
      </c>
      <c r="L498" s="30" t="s">
        <v>32</v>
      </c>
      <c r="M498" s="10" t="n">
        <v>1</v>
      </c>
      <c r="N498" s="12" t="n">
        <v>-3668</v>
      </c>
      <c r="O498" s="13" t="n">
        <v>-0.0502002943631711</v>
      </c>
      <c r="P498" s="15" t="n">
        <v>0.0564777688065361</v>
      </c>
      <c r="Q498" s="13" t="n">
        <v>-0.0557387817661789</v>
      </c>
      <c r="R498" s="15" t="n">
        <v>0.260794473229706</v>
      </c>
      <c r="S498" s="32" t="n">
        <v>164365267000</v>
      </c>
      <c r="T498" s="15" t="n">
        <v>0.260794473229706</v>
      </c>
      <c r="U498" s="32" t="n">
        <v>5408782035</v>
      </c>
      <c r="V498" s="14" t="n">
        <v>23.1763269049547</v>
      </c>
      <c r="W498" s="13" t="n">
        <v>0.183144246353323</v>
      </c>
      <c r="X498" s="15" t="n">
        <v>0.0301369863013699</v>
      </c>
      <c r="Y498" s="13" t="n">
        <v>-0.0127288752682344</v>
      </c>
      <c r="Z498" s="13" t="n">
        <v>-0.0141014157398423</v>
      </c>
      <c r="AA498" s="30" t="s">
        <v>97</v>
      </c>
      <c r="AB498" s="28" t="s">
        <v>94</v>
      </c>
      <c r="AC498" s="28" t="s">
        <v>104</v>
      </c>
      <c r="AD498" s="28" t="s">
        <v>109</v>
      </c>
      <c r="AE498" s="28" t="s">
        <v>114</v>
      </c>
      <c r="AF498" s="28" t="s">
        <v>120</v>
      </c>
      <c r="AG498" s="30" t="s">
        <v>122</v>
      </c>
    </row>
    <row r="499" customFormat="false" ht="15" hidden="false" customHeight="false" outlineLevel="0" collapsed="false">
      <c r="A499" s="10" t="n">
        <v>2025</v>
      </c>
      <c r="B499" s="28" t="s">
        <v>69</v>
      </c>
      <c r="C499" s="29" t="n">
        <v>45862</v>
      </c>
      <c r="D499" s="30" t="s">
        <v>128</v>
      </c>
      <c r="E499" s="28" t="s">
        <v>589</v>
      </c>
      <c r="F499" s="30" t="s">
        <v>590</v>
      </c>
      <c r="G499" s="31" t="n">
        <v>88889</v>
      </c>
      <c r="H499" s="31" t="n">
        <v>1</v>
      </c>
      <c r="I499" s="31" t="n">
        <v>88889</v>
      </c>
      <c r="J499" s="29" t="n">
        <v>45869</v>
      </c>
      <c r="K499" s="31" t="n">
        <v>106700</v>
      </c>
      <c r="L499" s="30" t="s">
        <v>31</v>
      </c>
      <c r="M499" s="10" t="n">
        <v>5</v>
      </c>
      <c r="N499" s="12" t="n">
        <v>17622</v>
      </c>
      <c r="O499" s="13" t="n">
        <v>0.19824557964558</v>
      </c>
      <c r="P499" s="15" t="n">
        <v>0.292626292626293</v>
      </c>
      <c r="Q499" s="13" t="n">
        <v>-0.0302490302490301</v>
      </c>
      <c r="R499" s="15" t="n">
        <v>0.0634730538922155</v>
      </c>
      <c r="S499" s="32" t="n">
        <v>564665080800</v>
      </c>
      <c r="T499" s="15" t="n">
        <v>0.0313588850174216</v>
      </c>
      <c r="U499" s="32" t="n">
        <v>140275347845</v>
      </c>
      <c r="V499" s="14" t="n">
        <v>3.59461721019017</v>
      </c>
      <c r="W499" s="13" t="n">
        <v>0.055885850178359</v>
      </c>
      <c r="X499" s="15" t="n">
        <v>0.0135135135135136</v>
      </c>
      <c r="Y499" s="13" t="n">
        <v>0.00209814151147847</v>
      </c>
      <c r="Z499" s="13" t="n">
        <v>-0.000576388736612365</v>
      </c>
      <c r="AA499" s="30" t="s">
        <v>97</v>
      </c>
      <c r="AB499" s="28" t="s">
        <v>94</v>
      </c>
      <c r="AC499" s="28" t="s">
        <v>101</v>
      </c>
      <c r="AD499" s="28" t="s">
        <v>110</v>
      </c>
      <c r="AE499" s="28" t="s">
        <v>113</v>
      </c>
      <c r="AF499" s="28" t="s">
        <v>118</v>
      </c>
      <c r="AG499" s="30" t="s">
        <v>122</v>
      </c>
    </row>
    <row r="500" customFormat="false" ht="15" hidden="false" customHeight="false" outlineLevel="0" collapsed="false">
      <c r="A500" s="10" t="n">
        <v>2025</v>
      </c>
      <c r="B500" s="28" t="s">
        <v>69</v>
      </c>
      <c r="C500" s="29" t="n">
        <v>45862</v>
      </c>
      <c r="D500" s="30" t="s">
        <v>128</v>
      </c>
      <c r="E500" s="28" t="s">
        <v>799</v>
      </c>
      <c r="F500" s="30" t="s">
        <v>800</v>
      </c>
      <c r="G500" s="31" t="n">
        <v>39790</v>
      </c>
      <c r="H500" s="31" t="n">
        <v>2</v>
      </c>
      <c r="I500" s="31" t="n">
        <v>79579</v>
      </c>
      <c r="J500" s="29" t="n">
        <v>45863</v>
      </c>
      <c r="K500" s="31" t="n">
        <v>37862</v>
      </c>
      <c r="L500" s="30" t="s">
        <v>32</v>
      </c>
      <c r="M500" s="10" t="n">
        <v>1</v>
      </c>
      <c r="N500" s="12" t="n">
        <v>-3992</v>
      </c>
      <c r="O500" s="13" t="n">
        <v>-0.0501659580042598</v>
      </c>
      <c r="P500" s="15" t="n">
        <v>-0.00728202614995055</v>
      </c>
      <c r="Q500" s="13" t="n">
        <v>-0.0500065971764083</v>
      </c>
      <c r="R500" s="15" t="n">
        <v>0.113445378151261</v>
      </c>
      <c r="S500" s="32" t="n">
        <v>65129063250</v>
      </c>
      <c r="T500" s="15" t="n">
        <v>0.108786610878661</v>
      </c>
      <c r="U500" s="32" t="n">
        <v>5309666767.5</v>
      </c>
      <c r="V500" s="14" t="n">
        <v>10.5221357829179</v>
      </c>
      <c r="W500" s="13" t="n">
        <v>0.147186147186147</v>
      </c>
      <c r="X500" s="15" t="n">
        <v>0.0251572327044025</v>
      </c>
      <c r="Y500" s="13" t="n">
        <v>0.00209814151147847</v>
      </c>
      <c r="Z500" s="13" t="n">
        <v>-0.000576388736612365</v>
      </c>
      <c r="AA500" s="30" t="s">
        <v>97</v>
      </c>
      <c r="AB500" s="28" t="s">
        <v>94</v>
      </c>
      <c r="AC500" s="28" t="s">
        <v>102</v>
      </c>
      <c r="AD500" s="28" t="s">
        <v>108</v>
      </c>
      <c r="AE500" s="28" t="s">
        <v>114</v>
      </c>
      <c r="AF500" s="28" t="s">
        <v>120</v>
      </c>
      <c r="AG500" s="30" t="s">
        <v>122</v>
      </c>
    </row>
    <row r="501" customFormat="false" ht="15" hidden="false" customHeight="false" outlineLevel="0" collapsed="false">
      <c r="A501" s="10" t="n">
        <v>2025</v>
      </c>
      <c r="B501" s="28" t="s">
        <v>69</v>
      </c>
      <c r="C501" s="29" t="n">
        <v>45862</v>
      </c>
      <c r="D501" s="30" t="s">
        <v>128</v>
      </c>
      <c r="E501" s="28" t="s">
        <v>659</v>
      </c>
      <c r="F501" s="30" t="s">
        <v>660</v>
      </c>
      <c r="G501" s="31" t="n">
        <v>29980</v>
      </c>
      <c r="H501" s="31" t="n">
        <v>3</v>
      </c>
      <c r="I501" s="31" t="n">
        <v>89940</v>
      </c>
      <c r="J501" s="29" t="n">
        <v>45866</v>
      </c>
      <c r="K501" s="31" t="n">
        <v>36000</v>
      </c>
      <c r="L501" s="30" t="s">
        <v>31</v>
      </c>
      <c r="M501" s="10" t="n">
        <v>2</v>
      </c>
      <c r="N501" s="12" t="n">
        <v>17868</v>
      </c>
      <c r="O501" s="13" t="n">
        <v>0.198671212176805</v>
      </c>
      <c r="P501" s="15" t="n">
        <v>0.274184913583912</v>
      </c>
      <c r="Q501" s="13" t="n">
        <v>0.0140110307055217</v>
      </c>
      <c r="R501" s="15" t="n">
        <v>0.0472027972027973</v>
      </c>
      <c r="S501" s="32" t="n">
        <v>41270201500</v>
      </c>
      <c r="T501" s="15" t="n">
        <v>0.0345423143350605</v>
      </c>
      <c r="U501" s="32" t="n">
        <v>5829410322.5</v>
      </c>
      <c r="V501" s="14" t="n">
        <v>6.4460160134125</v>
      </c>
      <c r="W501" s="13" t="n">
        <v>0.0508771929824561</v>
      </c>
      <c r="X501" s="15" t="n">
        <v>0.11686143572621</v>
      </c>
      <c r="Y501" s="13" t="n">
        <v>0.00209814151147847</v>
      </c>
      <c r="Z501" s="13" t="n">
        <v>-0.000576388736612365</v>
      </c>
      <c r="AA501" s="30" t="s">
        <v>97</v>
      </c>
      <c r="AB501" s="28" t="s">
        <v>94</v>
      </c>
      <c r="AC501" s="28" t="s">
        <v>100</v>
      </c>
      <c r="AD501" s="28" t="s">
        <v>107</v>
      </c>
      <c r="AE501" s="28" t="s">
        <v>113</v>
      </c>
      <c r="AF501" s="28" t="s">
        <v>119</v>
      </c>
      <c r="AG501" s="30" t="s">
        <v>122</v>
      </c>
    </row>
    <row r="502" customFormat="false" ht="15" hidden="false" customHeight="false" outlineLevel="0" collapsed="false">
      <c r="A502" s="10" t="n">
        <v>2025</v>
      </c>
      <c r="B502" s="28" t="s">
        <v>69</v>
      </c>
      <c r="C502" s="29" t="n">
        <v>45862</v>
      </c>
      <c r="D502" s="30" t="s">
        <v>128</v>
      </c>
      <c r="E502" s="28" t="s">
        <v>801</v>
      </c>
      <c r="F502" s="30" t="s">
        <v>802</v>
      </c>
      <c r="G502" s="31" t="n">
        <v>64665</v>
      </c>
      <c r="H502" s="31" t="n">
        <v>1</v>
      </c>
      <c r="I502" s="31" t="n">
        <v>64665</v>
      </c>
      <c r="J502" s="29" t="n">
        <v>45863</v>
      </c>
      <c r="K502" s="31" t="n">
        <v>61538</v>
      </c>
      <c r="L502" s="30" t="s">
        <v>32</v>
      </c>
      <c r="M502" s="10" t="n">
        <v>1</v>
      </c>
      <c r="N502" s="12" t="n">
        <v>-3237</v>
      </c>
      <c r="O502" s="13" t="n">
        <v>-0.0500650750178614</v>
      </c>
      <c r="P502" s="15" t="n">
        <v>-0.000999000999000854</v>
      </c>
      <c r="Q502" s="13" t="n">
        <v>-0.0489386774216495</v>
      </c>
      <c r="R502" s="15" t="n">
        <v>0.0730897009966778</v>
      </c>
      <c r="S502" s="32" t="n">
        <v>37379239600</v>
      </c>
      <c r="T502" s="15" t="n">
        <v>0.0436187399030694</v>
      </c>
      <c r="U502" s="32" t="n">
        <v>12532142315</v>
      </c>
      <c r="V502" s="14" t="n">
        <v>2.71252023106484</v>
      </c>
      <c r="W502" s="13" t="n">
        <v>0.080267558528428</v>
      </c>
      <c r="X502" s="15" t="n">
        <v>0.0309597523219813</v>
      </c>
      <c r="Y502" s="13" t="n">
        <v>0.00209814151147847</v>
      </c>
      <c r="Z502" s="13" t="n">
        <v>-0.000576388736612365</v>
      </c>
      <c r="AA502" s="30" t="s">
        <v>97</v>
      </c>
      <c r="AB502" s="28" t="s">
        <v>94</v>
      </c>
      <c r="AC502" s="28" t="s">
        <v>101</v>
      </c>
      <c r="AD502" s="28" t="s">
        <v>107</v>
      </c>
      <c r="AE502" s="28" t="s">
        <v>113</v>
      </c>
      <c r="AF502" s="28" t="s">
        <v>117</v>
      </c>
      <c r="AG502" s="30" t="s">
        <v>122</v>
      </c>
    </row>
    <row r="503" customFormat="false" ht="15" hidden="false" customHeight="false" outlineLevel="0" collapsed="false">
      <c r="A503" s="10" t="n">
        <v>2025</v>
      </c>
      <c r="B503" s="28" t="s">
        <v>69</v>
      </c>
      <c r="C503" s="29" t="n">
        <v>45863</v>
      </c>
      <c r="D503" s="30" t="s">
        <v>129</v>
      </c>
      <c r="E503" s="28" t="s">
        <v>803</v>
      </c>
      <c r="F503" s="30" t="s">
        <v>804</v>
      </c>
      <c r="G503" s="31" t="n">
        <v>20270</v>
      </c>
      <c r="H503" s="31" t="n">
        <v>4</v>
      </c>
      <c r="I503" s="31" t="n">
        <v>81081</v>
      </c>
      <c r="J503" s="29" t="n">
        <v>45867</v>
      </c>
      <c r="K503" s="31" t="n">
        <v>19291</v>
      </c>
      <c r="L503" s="30" t="s">
        <v>32</v>
      </c>
      <c r="M503" s="10" t="n">
        <v>2</v>
      </c>
      <c r="N503" s="12" t="n">
        <v>-4058</v>
      </c>
      <c r="O503" s="13" t="n">
        <v>-0.050045272061272</v>
      </c>
      <c r="P503" s="15" t="n">
        <v>0.0310676977343647</v>
      </c>
      <c r="Q503" s="13" t="n">
        <v>-0.0626657293323958</v>
      </c>
      <c r="R503" s="15" t="n">
        <v>0.111416026344676</v>
      </c>
      <c r="S503" s="32" t="n">
        <v>42078629250</v>
      </c>
      <c r="T503" s="15" t="n">
        <v>0.0574875170813987</v>
      </c>
      <c r="U503" s="32" t="n">
        <v>14815506366</v>
      </c>
      <c r="V503" s="14" t="n">
        <v>2.48221660583289</v>
      </c>
      <c r="W503" s="13" t="n">
        <v>0.102941176470588</v>
      </c>
      <c r="X503" s="15" t="n">
        <v>0.0790123456790124</v>
      </c>
      <c r="Y503" s="13" t="n">
        <v>0.0017552382892696</v>
      </c>
      <c r="Z503" s="13" t="n">
        <v>0.00250308180184256</v>
      </c>
      <c r="AA503" s="30" t="s">
        <v>97</v>
      </c>
      <c r="AB503" s="28" t="s">
        <v>93</v>
      </c>
      <c r="AC503" s="28" t="s">
        <v>102</v>
      </c>
      <c r="AD503" s="28" t="s">
        <v>107</v>
      </c>
      <c r="AE503" s="28" t="s">
        <v>101</v>
      </c>
      <c r="AF503" s="28" t="s">
        <v>117</v>
      </c>
      <c r="AG503" s="30" t="s">
        <v>122</v>
      </c>
    </row>
    <row r="504" customFormat="false" ht="15" hidden="false" customHeight="false" outlineLevel="0" collapsed="false">
      <c r="A504" s="10" t="n">
        <v>2025</v>
      </c>
      <c r="B504" s="28" t="s">
        <v>69</v>
      </c>
      <c r="C504" s="29" t="n">
        <v>45863</v>
      </c>
      <c r="D504" s="30" t="s">
        <v>129</v>
      </c>
      <c r="E504" s="28" t="s">
        <v>805</v>
      </c>
      <c r="F504" s="28" t="s">
        <v>806</v>
      </c>
      <c r="G504" s="31" t="n">
        <v>24975</v>
      </c>
      <c r="H504" s="31" t="n">
        <v>3</v>
      </c>
      <c r="I504" s="31" t="n">
        <v>74925</v>
      </c>
      <c r="J504" s="29" t="n">
        <v>45868</v>
      </c>
      <c r="K504" s="31" t="n">
        <v>23776</v>
      </c>
      <c r="L504" s="30" t="s">
        <v>32</v>
      </c>
      <c r="M504" s="10" t="n">
        <v>3</v>
      </c>
      <c r="N504" s="12" t="n">
        <v>-3725</v>
      </c>
      <c r="O504" s="13" t="n">
        <v>-0.0497188972350294</v>
      </c>
      <c r="P504" s="15" t="n">
        <v>0.0250270771312857</v>
      </c>
      <c r="Q504" s="13" t="n">
        <v>-0.053051157259574</v>
      </c>
      <c r="R504" s="15" t="n">
        <v>0.0142276422764227</v>
      </c>
      <c r="S504" s="32" t="n">
        <v>28108171000</v>
      </c>
      <c r="T504" s="15" t="n">
        <v>0.00402414486921532</v>
      </c>
      <c r="U504" s="32" t="n">
        <v>17733141595</v>
      </c>
      <c r="V504" s="14" t="n">
        <v>1.51195503779787</v>
      </c>
      <c r="W504" s="13" t="n">
        <v>-0.0196463654223968</v>
      </c>
      <c r="X504" s="15" t="n">
        <v>0.0240480961923848</v>
      </c>
      <c r="Y504" s="13" t="n">
        <v>0.0017552382892696</v>
      </c>
      <c r="Z504" s="13" t="n">
        <v>0.00250308180184256</v>
      </c>
      <c r="AA504" s="30" t="s">
        <v>97</v>
      </c>
      <c r="AB504" s="28" t="s">
        <v>93</v>
      </c>
      <c r="AC504" s="28" t="s">
        <v>99</v>
      </c>
      <c r="AD504" s="28" t="s">
        <v>106</v>
      </c>
      <c r="AE504" s="28" t="s">
        <v>112</v>
      </c>
      <c r="AF504" s="28" t="s">
        <v>116</v>
      </c>
      <c r="AG504" s="30" t="s">
        <v>123</v>
      </c>
    </row>
    <row r="505" customFormat="false" ht="15" hidden="false" customHeight="false" outlineLevel="0" collapsed="false">
      <c r="A505" s="10" t="n">
        <v>2025</v>
      </c>
      <c r="B505" s="28" t="s">
        <v>69</v>
      </c>
      <c r="C505" s="29" t="n">
        <v>45866</v>
      </c>
      <c r="D505" s="30" t="s">
        <v>125</v>
      </c>
      <c r="E505" s="28" t="s">
        <v>247</v>
      </c>
      <c r="F505" s="30" t="s">
        <v>248</v>
      </c>
      <c r="G505" s="31" t="n">
        <v>39840</v>
      </c>
      <c r="H505" s="31" t="n">
        <v>2</v>
      </c>
      <c r="I505" s="31" t="n">
        <v>79680</v>
      </c>
      <c r="J505" s="29" t="n">
        <v>45870</v>
      </c>
      <c r="K505" s="31" t="n">
        <v>37812</v>
      </c>
      <c r="L505" s="30" t="s">
        <v>32</v>
      </c>
      <c r="M505" s="10" t="n">
        <v>4</v>
      </c>
      <c r="N505" s="12" t="n">
        <v>-4192</v>
      </c>
      <c r="O505" s="13" t="n">
        <v>-0.0526111079247385</v>
      </c>
      <c r="P505" s="15" t="n">
        <v>0.00904121004623537</v>
      </c>
      <c r="Q505" s="13" t="n">
        <v>-0.0938709531674354</v>
      </c>
      <c r="R505" s="15" t="n">
        <v>0.0351105331599479</v>
      </c>
      <c r="S505" s="32" t="n">
        <v>305331471000</v>
      </c>
      <c r="T505" s="15" t="n">
        <v>0.0127226463104326</v>
      </c>
      <c r="U505" s="32" t="n">
        <v>179314540877.5</v>
      </c>
      <c r="V505" s="14" t="n">
        <v>1.59490747757245</v>
      </c>
      <c r="W505" s="13" t="n">
        <v>0.0101522842639594</v>
      </c>
      <c r="X505" s="15" t="n">
        <v>0.0301507537688441</v>
      </c>
      <c r="Y505" s="13" t="n">
        <v>0.00421457736893971</v>
      </c>
      <c r="Z505" s="13" t="n">
        <v>-0.000401767778224205</v>
      </c>
      <c r="AA505" s="30" t="s">
        <v>97</v>
      </c>
      <c r="AB505" s="28" t="s">
        <v>94</v>
      </c>
      <c r="AC505" s="28" t="s">
        <v>100</v>
      </c>
      <c r="AD505" s="28" t="s">
        <v>110</v>
      </c>
      <c r="AE505" s="28" t="s">
        <v>112</v>
      </c>
      <c r="AF505" s="28" t="s">
        <v>116</v>
      </c>
      <c r="AG505" s="30" t="s">
        <v>122</v>
      </c>
    </row>
    <row r="506" customFormat="false" ht="15" hidden="false" customHeight="false" outlineLevel="0" collapsed="false">
      <c r="A506" s="10" t="n">
        <v>2025</v>
      </c>
      <c r="B506" s="28" t="s">
        <v>69</v>
      </c>
      <c r="C506" s="29" t="n">
        <v>45866</v>
      </c>
      <c r="D506" s="30" t="s">
        <v>125</v>
      </c>
      <c r="E506" s="28" t="s">
        <v>807</v>
      </c>
      <c r="F506" s="30" t="s">
        <v>808</v>
      </c>
      <c r="G506" s="31" t="n">
        <v>42943</v>
      </c>
      <c r="H506" s="31" t="n">
        <v>2</v>
      </c>
      <c r="I506" s="31" t="n">
        <v>85886</v>
      </c>
      <c r="J506" s="29" t="n">
        <v>45868</v>
      </c>
      <c r="K506" s="31" t="n">
        <v>40859</v>
      </c>
      <c r="L506" s="30" t="s">
        <v>32</v>
      </c>
      <c r="M506" s="10" t="n">
        <v>2</v>
      </c>
      <c r="N506" s="12" t="n">
        <v>-4315</v>
      </c>
      <c r="O506" s="13" t="n">
        <v>-0.0502448355839962</v>
      </c>
      <c r="P506" s="15" t="n">
        <v>0.00831569363037898</v>
      </c>
      <c r="Q506" s="13" t="n">
        <v>-0.067366200233333</v>
      </c>
      <c r="R506" s="15" t="n">
        <v>0.0592592592592593</v>
      </c>
      <c r="S506" s="32" t="n">
        <v>52677553500</v>
      </c>
      <c r="T506" s="15" t="n">
        <v>0.010600706713781</v>
      </c>
      <c r="U506" s="32" t="n">
        <v>24694602487.5</v>
      </c>
      <c r="V506" s="14" t="n">
        <v>1.94514208717897</v>
      </c>
      <c r="W506" s="13" t="n">
        <v>0.0527607361963189</v>
      </c>
      <c r="X506" s="15" t="n">
        <v>0.013986013986014</v>
      </c>
      <c r="Y506" s="13" t="n">
        <v>0.00421457736893971</v>
      </c>
      <c r="Z506" s="13" t="n">
        <v>-0.000401767778224205</v>
      </c>
      <c r="AA506" s="30" t="s">
        <v>97</v>
      </c>
      <c r="AB506" s="28" t="s">
        <v>94</v>
      </c>
      <c r="AC506" s="28" t="s">
        <v>101</v>
      </c>
      <c r="AD506" s="28" t="s">
        <v>108</v>
      </c>
      <c r="AE506" s="28" t="s">
        <v>112</v>
      </c>
      <c r="AF506" s="28" t="s">
        <v>116</v>
      </c>
      <c r="AG506" s="30" t="s">
        <v>122</v>
      </c>
    </row>
    <row r="507" customFormat="false" ht="15" hidden="false" customHeight="false" outlineLevel="0" collapsed="false">
      <c r="A507" s="10" t="n">
        <v>2025</v>
      </c>
      <c r="B507" s="28" t="s">
        <v>69</v>
      </c>
      <c r="C507" s="29" t="n">
        <v>45867</v>
      </c>
      <c r="D507" s="30" t="s">
        <v>126</v>
      </c>
      <c r="E507" s="28" t="s">
        <v>709</v>
      </c>
      <c r="F507" s="30" t="s">
        <v>710</v>
      </c>
      <c r="G507" s="31" t="n">
        <v>5776</v>
      </c>
      <c r="H507" s="31" t="n">
        <v>17</v>
      </c>
      <c r="I507" s="31" t="n">
        <v>98188</v>
      </c>
      <c r="J507" s="29" t="n">
        <v>45868</v>
      </c>
      <c r="K507" s="31" t="n">
        <v>5494</v>
      </c>
      <c r="L507" s="30" t="s">
        <v>32</v>
      </c>
      <c r="M507" s="10" t="n">
        <v>1</v>
      </c>
      <c r="N507" s="12" t="n">
        <v>-4950</v>
      </c>
      <c r="O507" s="13" t="n">
        <v>-0.0504179166587312</v>
      </c>
      <c r="P507" s="15" t="n">
        <v>0.0163147078225068</v>
      </c>
      <c r="Q507" s="13" t="n">
        <v>-0.0858361742243891</v>
      </c>
      <c r="R507" s="15" t="n">
        <v>0.165656565656566</v>
      </c>
      <c r="S507" s="32" t="n">
        <v>107270116160</v>
      </c>
      <c r="T507" s="15" t="n">
        <v>0.088679245283019</v>
      </c>
      <c r="U507" s="32" t="n">
        <v>16594446322.5</v>
      </c>
      <c r="V507" s="14" t="n">
        <v>5.380473021256</v>
      </c>
      <c r="W507" s="13" t="n">
        <v>-0.033500837520938</v>
      </c>
      <c r="X507" s="15" t="n">
        <v>0.114384748700173</v>
      </c>
      <c r="Y507" s="13" t="n">
        <v>0.0065586131259503</v>
      </c>
      <c r="Z507" s="13" t="n">
        <v>0.019126544981924</v>
      </c>
      <c r="AA507" s="30" t="s">
        <v>97</v>
      </c>
      <c r="AB507" s="28" t="s">
        <v>93</v>
      </c>
      <c r="AC507" s="28" t="s">
        <v>103</v>
      </c>
      <c r="AD507" s="28" t="s">
        <v>109</v>
      </c>
      <c r="AE507" s="28" t="s">
        <v>101</v>
      </c>
      <c r="AF507" s="28" t="s">
        <v>119</v>
      </c>
      <c r="AG507" s="30" t="s">
        <v>123</v>
      </c>
    </row>
    <row r="508" customFormat="false" ht="15" hidden="false" customHeight="false" outlineLevel="0" collapsed="false">
      <c r="A508" s="10" t="n">
        <v>2025</v>
      </c>
      <c r="B508" s="28" t="s">
        <v>69</v>
      </c>
      <c r="C508" s="29" t="n">
        <v>45867</v>
      </c>
      <c r="D508" s="30" t="s">
        <v>126</v>
      </c>
      <c r="E508" s="28" t="s">
        <v>809</v>
      </c>
      <c r="F508" s="30" t="s">
        <v>810</v>
      </c>
      <c r="G508" s="31" t="n">
        <v>27978</v>
      </c>
      <c r="H508" s="31" t="n">
        <v>3</v>
      </c>
      <c r="I508" s="31" t="n">
        <v>83934</v>
      </c>
      <c r="J508" s="29" t="n">
        <v>45870</v>
      </c>
      <c r="K508" s="31" t="n">
        <v>26623</v>
      </c>
      <c r="L508" s="30" t="s">
        <v>32</v>
      </c>
      <c r="M508" s="10" t="n">
        <v>3</v>
      </c>
      <c r="N508" s="12" t="n">
        <v>-4208</v>
      </c>
      <c r="O508" s="13" t="n">
        <v>-0.0501368120251842</v>
      </c>
      <c r="P508" s="15" t="n">
        <v>0.0883570812014463</v>
      </c>
      <c r="Q508" s="13" t="n">
        <v>-0.058186893607287</v>
      </c>
      <c r="R508" s="15" t="n">
        <v>0.136178861788618</v>
      </c>
      <c r="S508" s="32" t="n">
        <v>89664438500</v>
      </c>
      <c r="T508" s="15" t="n">
        <v>0.0812379110251451</v>
      </c>
      <c r="U508" s="32" t="n">
        <v>9766576500</v>
      </c>
      <c r="V508" s="14" t="n">
        <v>7.62220178355003</v>
      </c>
      <c r="W508" s="13" t="n">
        <v>0.129292929292929</v>
      </c>
      <c r="X508" s="15" t="n">
        <v>0.0214669051878353</v>
      </c>
      <c r="Y508" s="13" t="n">
        <v>0.0065586131259503</v>
      </c>
      <c r="Z508" s="13" t="n">
        <v>0.019126544981924</v>
      </c>
      <c r="AA508" s="30" t="s">
        <v>97</v>
      </c>
      <c r="AB508" s="28" t="s">
        <v>93</v>
      </c>
      <c r="AC508" s="28" t="s">
        <v>102</v>
      </c>
      <c r="AD508" s="28" t="s">
        <v>108</v>
      </c>
      <c r="AE508" s="28" t="s">
        <v>101</v>
      </c>
      <c r="AF508" s="28" t="s">
        <v>119</v>
      </c>
      <c r="AG508" s="30" t="s">
        <v>122</v>
      </c>
    </row>
    <row r="509" customFormat="false" ht="15" hidden="false" customHeight="false" outlineLevel="0" collapsed="false">
      <c r="A509" s="10" t="n">
        <v>2025</v>
      </c>
      <c r="B509" s="28" t="s">
        <v>69</v>
      </c>
      <c r="C509" s="29" t="n">
        <v>45868</v>
      </c>
      <c r="D509" s="30" t="s">
        <v>127</v>
      </c>
      <c r="E509" s="28" t="s">
        <v>713</v>
      </c>
      <c r="F509" s="30" t="s">
        <v>714</v>
      </c>
      <c r="G509" s="31" t="n">
        <v>12683</v>
      </c>
      <c r="H509" s="31" t="n">
        <v>7</v>
      </c>
      <c r="I509" s="31" t="n">
        <v>88779</v>
      </c>
      <c r="J509" s="29" t="n">
        <v>45873</v>
      </c>
      <c r="K509" s="31" t="n">
        <v>12038</v>
      </c>
      <c r="L509" s="30" t="s">
        <v>32</v>
      </c>
      <c r="M509" s="10" t="n">
        <v>3</v>
      </c>
      <c r="N509" s="12" t="n">
        <v>-4665</v>
      </c>
      <c r="O509" s="13" t="n">
        <v>-0.052550844419984</v>
      </c>
      <c r="P509" s="15" t="n">
        <v>0.0447326942985982</v>
      </c>
      <c r="Q509" s="13" t="n">
        <v>-0.0601348138838271</v>
      </c>
      <c r="R509" s="15" t="n">
        <v>0.132260947274352</v>
      </c>
      <c r="S509" s="32" t="n">
        <v>131698023590</v>
      </c>
      <c r="T509" s="15" t="n">
        <v>0.00316706254948529</v>
      </c>
      <c r="U509" s="32" t="n">
        <v>6894212774</v>
      </c>
      <c r="V509" s="14" t="n">
        <v>17.1843920176095</v>
      </c>
      <c r="W509" s="13" t="n">
        <v>0.0514522821576764</v>
      </c>
      <c r="X509" s="15" t="n">
        <v>0.0402525651144436</v>
      </c>
      <c r="Y509" s="13" t="n">
        <v>0.00739807526226022</v>
      </c>
      <c r="Z509" s="13" t="n">
        <v>0.0222063779732833</v>
      </c>
      <c r="AA509" s="30" t="s">
        <v>97</v>
      </c>
      <c r="AB509" s="28" t="s">
        <v>93</v>
      </c>
      <c r="AC509" s="28" t="s">
        <v>102</v>
      </c>
      <c r="AD509" s="28" t="s">
        <v>109</v>
      </c>
      <c r="AE509" s="28" t="s">
        <v>112</v>
      </c>
      <c r="AF509" s="28" t="s">
        <v>120</v>
      </c>
      <c r="AG509" s="30" t="s">
        <v>122</v>
      </c>
    </row>
    <row r="510" customFormat="false" ht="15" hidden="false" customHeight="false" outlineLevel="0" collapsed="false">
      <c r="A510" s="10" t="n">
        <v>2025</v>
      </c>
      <c r="B510" s="28" t="s">
        <v>69</v>
      </c>
      <c r="C510" s="29" t="n">
        <v>45869</v>
      </c>
      <c r="D510" s="30" t="s">
        <v>128</v>
      </c>
      <c r="E510" s="28" t="s">
        <v>295</v>
      </c>
      <c r="F510" s="30" t="s">
        <v>296</v>
      </c>
      <c r="G510" s="31" t="n">
        <v>59459</v>
      </c>
      <c r="H510" s="31" t="n">
        <v>1</v>
      </c>
      <c r="I510" s="31" t="n">
        <v>59459</v>
      </c>
      <c r="J510" s="29" t="n">
        <v>45873</v>
      </c>
      <c r="K510" s="31" t="n">
        <v>56543</v>
      </c>
      <c r="L510" s="30" t="s">
        <v>32</v>
      </c>
      <c r="M510" s="10" t="n">
        <v>2</v>
      </c>
      <c r="N510" s="12" t="n">
        <v>-3018</v>
      </c>
      <c r="O510" s="13" t="n">
        <v>-0.0507609481427663</v>
      </c>
      <c r="P510" s="15" t="n">
        <v>0.034319216137398</v>
      </c>
      <c r="Q510" s="13" t="n">
        <v>-0.0716354352717988</v>
      </c>
      <c r="R510" s="15" t="n">
        <v>0.0722021660649819</v>
      </c>
      <c r="S510" s="32" t="n">
        <v>404326771200</v>
      </c>
      <c r="T510" s="15" t="n">
        <v>0.027681660899654</v>
      </c>
      <c r="U510" s="32" t="n">
        <v>72631010475</v>
      </c>
      <c r="V510" s="14" t="n">
        <v>5.19170277657809</v>
      </c>
      <c r="W510" s="13" t="n">
        <v>0.0550621669626998</v>
      </c>
      <c r="X510" s="15" t="n">
        <v>0.0437710437710437</v>
      </c>
      <c r="Y510" s="13" t="n">
        <v>-0.00277464533395599</v>
      </c>
      <c r="Z510" s="13" t="n">
        <v>0.0172358131298094</v>
      </c>
      <c r="AA510" s="30" t="s">
        <v>97</v>
      </c>
      <c r="AB510" s="28" t="s">
        <v>93</v>
      </c>
      <c r="AC510" s="28" t="s">
        <v>101</v>
      </c>
      <c r="AD510" s="28" t="s">
        <v>110</v>
      </c>
      <c r="AE510" s="28" t="s">
        <v>113</v>
      </c>
      <c r="AF510" s="28" t="s">
        <v>119</v>
      </c>
      <c r="AG510" s="30" t="s">
        <v>122</v>
      </c>
    </row>
    <row r="511" customFormat="false" ht="15" hidden="false" customHeight="false" outlineLevel="0" collapsed="false">
      <c r="A511" s="10" t="n">
        <v>2025</v>
      </c>
      <c r="B511" s="28" t="s">
        <v>69</v>
      </c>
      <c r="C511" s="29" t="n">
        <v>45869</v>
      </c>
      <c r="D511" s="30" t="s">
        <v>128</v>
      </c>
      <c r="E511" s="28" t="s">
        <v>811</v>
      </c>
      <c r="F511" s="30" t="s">
        <v>812</v>
      </c>
      <c r="G511" s="31" t="n">
        <v>9960</v>
      </c>
      <c r="H511" s="31" t="n">
        <v>10</v>
      </c>
      <c r="I511" s="31" t="n">
        <v>99599</v>
      </c>
      <c r="J511" s="29" t="n">
        <v>45898</v>
      </c>
      <c r="K511" s="31" t="n">
        <v>9481</v>
      </c>
      <c r="L511" s="30" t="s">
        <v>32</v>
      </c>
      <c r="M511" s="10" t="n">
        <v>20</v>
      </c>
      <c r="N511" s="12" t="n">
        <v>-4966</v>
      </c>
      <c r="O511" s="13" t="n">
        <v>-0.0498573621353519</v>
      </c>
      <c r="P511" s="15" t="n">
        <v>0.0994031094533607</v>
      </c>
      <c r="Q511" s="13" t="n">
        <v>-0.0722844994201777</v>
      </c>
      <c r="R511" s="15" t="n">
        <v>0.111731843575419</v>
      </c>
      <c r="S511" s="32" t="n">
        <v>139057588150</v>
      </c>
      <c r="T511" s="15" t="n">
        <v>0.0153061224489797</v>
      </c>
      <c r="U511" s="32" t="n">
        <v>12413854172</v>
      </c>
      <c r="V511" s="14" t="n">
        <v>10.5552826328501</v>
      </c>
      <c r="W511" s="13" t="n">
        <v>0.0607675906183369</v>
      </c>
      <c r="X511" s="15" t="n">
        <v>0.0341708542713568</v>
      </c>
      <c r="Y511" s="13" t="n">
        <v>-0.00277464533395599</v>
      </c>
      <c r="Z511" s="13" t="n">
        <v>0.0172358131298094</v>
      </c>
      <c r="AA511" s="30" t="s">
        <v>97</v>
      </c>
      <c r="AB511" s="28" t="s">
        <v>93</v>
      </c>
      <c r="AC511" s="28" t="s">
        <v>102</v>
      </c>
      <c r="AD511" s="28" t="s">
        <v>109</v>
      </c>
      <c r="AE511" s="28" t="s">
        <v>112</v>
      </c>
      <c r="AF511" s="28" t="s">
        <v>120</v>
      </c>
      <c r="AG511" s="30" t="s">
        <v>122</v>
      </c>
    </row>
    <row r="512" customFormat="false" ht="15" hidden="false" customHeight="false" outlineLevel="0" collapsed="false">
      <c r="A512" s="10" t="n">
        <v>2025</v>
      </c>
      <c r="B512" s="28" t="s">
        <v>69</v>
      </c>
      <c r="C512" s="29" t="n">
        <v>45869</v>
      </c>
      <c r="D512" s="30" t="s">
        <v>128</v>
      </c>
      <c r="E512" s="28" t="s">
        <v>813</v>
      </c>
      <c r="F512" s="30" t="s">
        <v>814</v>
      </c>
      <c r="G512" s="31" t="n">
        <v>1847</v>
      </c>
      <c r="H512" s="31" t="n">
        <v>53</v>
      </c>
      <c r="I512" s="31" t="n">
        <v>97883</v>
      </c>
      <c r="J512" s="29" t="n">
        <v>45877</v>
      </c>
      <c r="K512" s="31" t="n">
        <v>2220</v>
      </c>
      <c r="L512" s="30" t="s">
        <v>31</v>
      </c>
      <c r="M512" s="10" t="n">
        <v>6</v>
      </c>
      <c r="N512" s="12" t="n">
        <v>19568</v>
      </c>
      <c r="O512" s="13" t="n">
        <v>0.1999166000666</v>
      </c>
      <c r="P512" s="15" t="n">
        <v>0.288684215513484</v>
      </c>
      <c r="Q512" s="13" t="n">
        <v>-0.0367356221014756</v>
      </c>
      <c r="R512" s="15" t="n">
        <v>0.272413793103448</v>
      </c>
      <c r="S512" s="32" t="n">
        <v>132253753095</v>
      </c>
      <c r="T512" s="15" t="n">
        <v>0.110108303249098</v>
      </c>
      <c r="U512" s="32" t="n">
        <v>7961715886.55</v>
      </c>
      <c r="V512" s="14" t="n">
        <v>13.6852947086166</v>
      </c>
      <c r="W512" s="13" t="n">
        <v>0.198051948051948</v>
      </c>
      <c r="X512" s="15" t="n">
        <v>0.018970189701897</v>
      </c>
      <c r="Y512" s="13" t="n">
        <v>-0.00277464533395599</v>
      </c>
      <c r="Z512" s="13" t="n">
        <v>0.0172358131298094</v>
      </c>
      <c r="AA512" s="30" t="s">
        <v>97</v>
      </c>
      <c r="AB512" s="28" t="s">
        <v>93</v>
      </c>
      <c r="AC512" s="28" t="s">
        <v>104</v>
      </c>
      <c r="AD512" s="28" t="s">
        <v>109</v>
      </c>
      <c r="AE512" s="28" t="s">
        <v>114</v>
      </c>
      <c r="AF512" s="28" t="s">
        <v>120</v>
      </c>
      <c r="AG512" s="30" t="s">
        <v>122</v>
      </c>
    </row>
    <row r="513" customFormat="false" ht="15" hidden="false" customHeight="false" outlineLevel="0" collapsed="false">
      <c r="A513" s="10" t="n">
        <v>2025</v>
      </c>
      <c r="B513" s="28" t="s">
        <v>70</v>
      </c>
      <c r="C513" s="29" t="n">
        <v>45870</v>
      </c>
      <c r="D513" s="30" t="s">
        <v>129</v>
      </c>
      <c r="E513" s="28" t="s">
        <v>693</v>
      </c>
      <c r="F513" s="30" t="s">
        <v>694</v>
      </c>
      <c r="G513" s="31" t="n">
        <v>7257</v>
      </c>
      <c r="H513" s="31" t="n">
        <v>13</v>
      </c>
      <c r="I513" s="31" t="n">
        <v>94344</v>
      </c>
      <c r="J513" s="29" t="n">
        <v>45874</v>
      </c>
      <c r="K513" s="31" t="n">
        <v>6903</v>
      </c>
      <c r="L513" s="30" t="s">
        <v>32</v>
      </c>
      <c r="M513" s="10" t="n">
        <v>2</v>
      </c>
      <c r="N513" s="12" t="n">
        <v>-4766</v>
      </c>
      <c r="O513" s="13" t="n">
        <v>-0.0505203329084707</v>
      </c>
      <c r="P513" s="15" t="n">
        <v>0.0678976196217578</v>
      </c>
      <c r="Q513" s="13" t="n">
        <v>-0.0616280271452684</v>
      </c>
      <c r="R513" s="15" t="n">
        <v>0.0661764705882353</v>
      </c>
      <c r="S513" s="32" t="n">
        <v>90057288750</v>
      </c>
      <c r="T513" s="15" t="n">
        <v>0.063049853372434</v>
      </c>
      <c r="U513" s="32" t="n">
        <v>5166025183</v>
      </c>
      <c r="V513" s="14" t="n">
        <v>16.0543838481333</v>
      </c>
      <c r="W513" s="13" t="n">
        <v>0.0661764705882353</v>
      </c>
      <c r="X513" s="15" t="n">
        <v>0.0924137931034483</v>
      </c>
      <c r="Y513" s="13" t="n">
        <v>-0.0388329471504635</v>
      </c>
      <c r="Z513" s="13" t="n">
        <v>-0.023979599818526</v>
      </c>
      <c r="AA513" s="30" t="s">
        <v>96</v>
      </c>
      <c r="AB513" s="28" t="s">
        <v>94</v>
      </c>
      <c r="AC513" s="28" t="s">
        <v>101</v>
      </c>
      <c r="AD513" s="28" t="s">
        <v>108</v>
      </c>
      <c r="AE513" s="28" t="s">
        <v>101</v>
      </c>
      <c r="AF513" s="28" t="s">
        <v>120</v>
      </c>
      <c r="AG513" s="30" t="s">
        <v>122</v>
      </c>
    </row>
    <row r="514" customFormat="false" ht="15" hidden="false" customHeight="false" outlineLevel="0" collapsed="false">
      <c r="A514" s="10" t="n">
        <v>2025</v>
      </c>
      <c r="B514" s="28" t="s">
        <v>70</v>
      </c>
      <c r="C514" s="29" t="n">
        <v>45870</v>
      </c>
      <c r="D514" s="30" t="s">
        <v>129</v>
      </c>
      <c r="E514" s="28" t="s">
        <v>815</v>
      </c>
      <c r="F514" s="30" t="s">
        <v>816</v>
      </c>
      <c r="G514" s="31" t="n">
        <v>2237</v>
      </c>
      <c r="H514" s="31" t="n">
        <v>44</v>
      </c>
      <c r="I514" s="31" t="n">
        <v>98438</v>
      </c>
      <c r="J514" s="29" t="n">
        <v>45891</v>
      </c>
      <c r="K514" s="31" t="n">
        <v>2128</v>
      </c>
      <c r="L514" s="30" t="s">
        <v>32</v>
      </c>
      <c r="M514" s="10" t="n">
        <v>14</v>
      </c>
      <c r="N514" s="12" t="n">
        <v>-4981</v>
      </c>
      <c r="O514" s="13" t="n">
        <v>-0.0506033433009943</v>
      </c>
      <c r="P514" s="15" t="n">
        <v>0.128625289699115</v>
      </c>
      <c r="Q514" s="13" t="n">
        <v>-0.047931933837974</v>
      </c>
      <c r="R514" s="15" t="n">
        <v>0.0275862068965518</v>
      </c>
      <c r="S514" s="32" t="n">
        <v>66251539545</v>
      </c>
      <c r="T514" s="15" t="n">
        <v>0.0228832951945079</v>
      </c>
      <c r="U514" s="32" t="n">
        <v>5112720270.9</v>
      </c>
      <c r="V514" s="14" t="n">
        <v>12.4892480867499</v>
      </c>
      <c r="W514" s="13" t="n">
        <v>0.0419580419580419</v>
      </c>
      <c r="X514" s="15" t="n">
        <v>0.0894854586129754</v>
      </c>
      <c r="Y514" s="13" t="n">
        <v>-0.0388329471504635</v>
      </c>
      <c r="Z514" s="13" t="n">
        <v>-0.023979599818526</v>
      </c>
      <c r="AA514" s="30" t="s">
        <v>96</v>
      </c>
      <c r="AB514" s="28" t="s">
        <v>94</v>
      </c>
      <c r="AC514" s="28" t="s">
        <v>99</v>
      </c>
      <c r="AD514" s="28" t="s">
        <v>108</v>
      </c>
      <c r="AE514" s="28" t="s">
        <v>113</v>
      </c>
      <c r="AF514" s="28" t="s">
        <v>120</v>
      </c>
      <c r="AG514" s="30" t="s">
        <v>122</v>
      </c>
    </row>
    <row r="515" customFormat="false" ht="15" hidden="false" customHeight="false" outlineLevel="0" collapsed="false">
      <c r="A515" s="10" t="n">
        <v>2025</v>
      </c>
      <c r="B515" s="28" t="s">
        <v>70</v>
      </c>
      <c r="C515" s="29" t="n">
        <v>45873</v>
      </c>
      <c r="D515" s="30" t="s">
        <v>125</v>
      </c>
      <c r="E515" s="28" t="s">
        <v>777</v>
      </c>
      <c r="F515" s="28" t="s">
        <v>778</v>
      </c>
      <c r="G515" s="31" t="n">
        <v>22172</v>
      </c>
      <c r="H515" s="31" t="n">
        <v>4</v>
      </c>
      <c r="I515" s="31" t="n">
        <v>88689</v>
      </c>
      <c r="J515" s="29" t="n">
        <v>45875</v>
      </c>
      <c r="K515" s="31" t="n">
        <v>21079</v>
      </c>
      <c r="L515" s="30" t="s">
        <v>32</v>
      </c>
      <c r="M515" s="10" t="n">
        <v>2</v>
      </c>
      <c r="N515" s="12" t="n">
        <v>-4525</v>
      </c>
      <c r="O515" s="13" t="n">
        <v>-0.0510259946599675</v>
      </c>
      <c r="P515" s="15" t="n">
        <v>0.014786567833972</v>
      </c>
      <c r="Q515" s="13" t="n">
        <v>-0.059631113807186</v>
      </c>
      <c r="R515" s="15" t="n">
        <v>0.144702842377261</v>
      </c>
      <c r="S515" s="32" t="n">
        <v>62878467550</v>
      </c>
      <c r="T515" s="15" t="n">
        <v>0.0623501199040768</v>
      </c>
      <c r="U515" s="32" t="n">
        <v>8257931758.5</v>
      </c>
      <c r="V515" s="14" t="n">
        <v>6.94260694584254</v>
      </c>
      <c r="W515" s="13" t="n">
        <v>0.152445369406868</v>
      </c>
      <c r="X515" s="15" t="n">
        <v>0.0135440180586908</v>
      </c>
      <c r="Y515" s="13" t="n">
        <v>0.00908505133983684</v>
      </c>
      <c r="Z515" s="13" t="n">
        <v>-0.0192458685410902</v>
      </c>
      <c r="AA515" s="30" t="s">
        <v>96</v>
      </c>
      <c r="AB515" s="28" t="s">
        <v>94</v>
      </c>
      <c r="AC515" s="28" t="s">
        <v>102</v>
      </c>
      <c r="AD515" s="28" t="s">
        <v>108</v>
      </c>
      <c r="AE515" s="28" t="s">
        <v>101</v>
      </c>
      <c r="AF515" s="28" t="s">
        <v>119</v>
      </c>
      <c r="AG515" s="30" t="s">
        <v>122</v>
      </c>
    </row>
    <row r="516" customFormat="false" ht="15" hidden="false" customHeight="false" outlineLevel="0" collapsed="false">
      <c r="A516" s="10" t="n">
        <v>2025</v>
      </c>
      <c r="B516" s="28" t="s">
        <v>70</v>
      </c>
      <c r="C516" s="29" t="n">
        <v>45874</v>
      </c>
      <c r="D516" s="30" t="s">
        <v>126</v>
      </c>
      <c r="E516" s="28" t="s">
        <v>227</v>
      </c>
      <c r="F516" s="30" t="s">
        <v>228</v>
      </c>
      <c r="G516" s="31" t="n">
        <v>16466</v>
      </c>
      <c r="H516" s="31" t="n">
        <v>6</v>
      </c>
      <c r="I516" s="31" t="n">
        <v>98799</v>
      </c>
      <c r="J516" s="29" t="n">
        <v>45889</v>
      </c>
      <c r="K516" s="31" t="n">
        <v>15554</v>
      </c>
      <c r="L516" s="30" t="s">
        <v>32</v>
      </c>
      <c r="M516" s="10" t="n">
        <v>10</v>
      </c>
      <c r="N516" s="12" t="n">
        <v>-5641</v>
      </c>
      <c r="O516" s="13" t="n">
        <v>-0.057095170908119</v>
      </c>
      <c r="P516" s="15" t="n">
        <v>0.0846296560582276</v>
      </c>
      <c r="Q516" s="13" t="n">
        <v>-0.0781255218945187</v>
      </c>
      <c r="R516" s="15" t="n">
        <v>0.0358942065491184</v>
      </c>
      <c r="S516" s="32" t="n">
        <v>35073883950</v>
      </c>
      <c r="T516" s="15" t="n">
        <v>0.0141800246609125</v>
      </c>
      <c r="U516" s="32" t="n">
        <v>16365286450.5</v>
      </c>
      <c r="V516" s="14" t="n">
        <v>2.06474102529502</v>
      </c>
      <c r="W516" s="13" t="n">
        <v>0.016059295861643</v>
      </c>
      <c r="X516" s="15" t="n">
        <v>0.00607902735562305</v>
      </c>
      <c r="Y516" s="13" t="n">
        <v>0.0159637836549917</v>
      </c>
      <c r="Z516" s="13" t="n">
        <v>-0.0100818121879421</v>
      </c>
      <c r="AA516" s="30" t="s">
        <v>97</v>
      </c>
      <c r="AB516" s="28" t="s">
        <v>94</v>
      </c>
      <c r="AC516" s="28" t="s">
        <v>100</v>
      </c>
      <c r="AD516" s="28" t="s">
        <v>107</v>
      </c>
      <c r="AE516" s="28" t="s">
        <v>112</v>
      </c>
      <c r="AF516" s="28" t="s">
        <v>117</v>
      </c>
      <c r="AG516" s="30" t="s">
        <v>122</v>
      </c>
    </row>
    <row r="517" customFormat="false" ht="15" hidden="false" customHeight="false" outlineLevel="0" collapsed="false">
      <c r="A517" s="10" t="n">
        <v>2025</v>
      </c>
      <c r="B517" s="28" t="s">
        <v>70</v>
      </c>
      <c r="C517" s="29" t="n">
        <v>45875</v>
      </c>
      <c r="D517" s="30" t="s">
        <v>127</v>
      </c>
      <c r="E517" s="28" t="s">
        <v>743</v>
      </c>
      <c r="F517" s="30" t="s">
        <v>744</v>
      </c>
      <c r="G517" s="31" t="n">
        <v>96396</v>
      </c>
      <c r="H517" s="31" t="n">
        <v>1</v>
      </c>
      <c r="I517" s="31" t="n">
        <v>96396</v>
      </c>
      <c r="J517" s="29" t="n">
        <v>45888</v>
      </c>
      <c r="K517" s="31" t="n">
        <v>91708</v>
      </c>
      <c r="L517" s="30" t="s">
        <v>32</v>
      </c>
      <c r="M517" s="10" t="n">
        <v>8</v>
      </c>
      <c r="N517" s="12" t="n">
        <v>-4854</v>
      </c>
      <c r="O517" s="13" t="n">
        <v>-0.0503533639257938</v>
      </c>
      <c r="P517" s="15" t="n">
        <v>0.0539823623935776</v>
      </c>
      <c r="Q517" s="13" t="n">
        <v>-0.0767280486906654</v>
      </c>
      <c r="R517" s="15" t="n">
        <v>0.0688124306326303</v>
      </c>
      <c r="S517" s="32" t="n">
        <v>92884431600</v>
      </c>
      <c r="T517" s="15" t="n">
        <v>0.0126182965299684</v>
      </c>
      <c r="U517" s="32" t="n">
        <v>31315185990</v>
      </c>
      <c r="V517" s="14" t="n">
        <v>2.77767674415825</v>
      </c>
      <c r="W517" s="13" t="n">
        <v>0.0536105032822758</v>
      </c>
      <c r="X517" s="15" t="n">
        <v>0.0155763239875388</v>
      </c>
      <c r="Y517" s="13" t="n">
        <v>4.37773608505943E-005</v>
      </c>
      <c r="Z517" s="13" t="n">
        <v>-0.0173085018451545</v>
      </c>
      <c r="AA517" s="30" t="s">
        <v>97</v>
      </c>
      <c r="AB517" s="28" t="s">
        <v>94</v>
      </c>
      <c r="AC517" s="28" t="s">
        <v>101</v>
      </c>
      <c r="AD517" s="28" t="s">
        <v>108</v>
      </c>
      <c r="AE517" s="28" t="s">
        <v>112</v>
      </c>
      <c r="AF517" s="28" t="s">
        <v>117</v>
      </c>
      <c r="AG517" s="30" t="s">
        <v>122</v>
      </c>
    </row>
    <row r="518" customFormat="false" ht="15" hidden="false" customHeight="false" outlineLevel="0" collapsed="false">
      <c r="A518" s="10" t="n">
        <v>2025</v>
      </c>
      <c r="B518" s="28" t="s">
        <v>70</v>
      </c>
      <c r="C518" s="29" t="n">
        <v>45876</v>
      </c>
      <c r="D518" s="30" t="s">
        <v>128</v>
      </c>
      <c r="E518" s="28" t="s">
        <v>613</v>
      </c>
      <c r="F518" s="30" t="s">
        <v>614</v>
      </c>
      <c r="G518" s="31" t="n">
        <v>63664</v>
      </c>
      <c r="H518" s="31" t="n">
        <v>1</v>
      </c>
      <c r="I518" s="31" t="n">
        <v>63664</v>
      </c>
      <c r="J518" s="29" t="n">
        <v>45901</v>
      </c>
      <c r="K518" s="31" t="n">
        <v>60539</v>
      </c>
      <c r="L518" s="30" t="s">
        <v>32</v>
      </c>
      <c r="M518" s="10" t="n">
        <v>16</v>
      </c>
      <c r="N518" s="12" t="n">
        <v>-3234</v>
      </c>
      <c r="O518" s="13" t="n">
        <v>-0.0507925965543889</v>
      </c>
      <c r="P518" s="15" t="n">
        <v>0.0649727630859709</v>
      </c>
      <c r="Q518" s="13" t="n">
        <v>-0.0654000087962351</v>
      </c>
      <c r="R518" s="15" t="n">
        <v>0.119718309859155</v>
      </c>
      <c r="S518" s="32" t="n">
        <v>757476000000</v>
      </c>
      <c r="T518" s="15" t="n">
        <v>0.0460526315789474</v>
      </c>
      <c r="U518" s="32" t="n">
        <v>151177739190</v>
      </c>
      <c r="V518" s="14" t="n">
        <v>4.46354261033256</v>
      </c>
      <c r="W518" s="13" t="n">
        <v>0.0984455958549222</v>
      </c>
      <c r="X518" s="15" t="n">
        <v>0</v>
      </c>
      <c r="Y518" s="13" t="n">
        <v>0.00923661878466864</v>
      </c>
      <c r="Z518" s="13" t="n">
        <v>-0.00547229343324795</v>
      </c>
      <c r="AA518" s="30" t="s">
        <v>97</v>
      </c>
      <c r="AB518" s="28" t="s">
        <v>94</v>
      </c>
      <c r="AC518" s="28" t="s">
        <v>102</v>
      </c>
      <c r="AD518" s="28" t="s">
        <v>110</v>
      </c>
      <c r="AE518" s="28" t="s">
        <v>113</v>
      </c>
      <c r="AF518" s="28" t="s">
        <v>118</v>
      </c>
      <c r="AG518" s="30" t="s">
        <v>122</v>
      </c>
    </row>
    <row r="519" customFormat="false" ht="15" hidden="false" customHeight="false" outlineLevel="0" collapsed="false">
      <c r="A519" s="10" t="n">
        <v>2025</v>
      </c>
      <c r="B519" s="28" t="s">
        <v>70</v>
      </c>
      <c r="C519" s="29" t="n">
        <v>45877</v>
      </c>
      <c r="D519" s="30" t="s">
        <v>129</v>
      </c>
      <c r="E519" s="28" t="s">
        <v>817</v>
      </c>
      <c r="F519" s="30" t="s">
        <v>818</v>
      </c>
      <c r="G519" s="31" t="n">
        <v>1901</v>
      </c>
      <c r="H519" s="31" t="n">
        <v>52</v>
      </c>
      <c r="I519" s="31" t="n">
        <v>98847</v>
      </c>
      <c r="J519" s="29" t="n">
        <v>45889</v>
      </c>
      <c r="K519" s="31" t="n">
        <v>1809</v>
      </c>
      <c r="L519" s="30" t="s">
        <v>32</v>
      </c>
      <c r="M519" s="10" t="n">
        <v>7</v>
      </c>
      <c r="N519" s="12" t="n">
        <v>-4939</v>
      </c>
      <c r="O519" s="13" t="n">
        <v>-0.0499659880403956</v>
      </c>
      <c r="P519" s="15" t="n">
        <v>0.141565122607777</v>
      </c>
      <c r="Q519" s="13" t="n">
        <v>-0.0530796218000009</v>
      </c>
      <c r="R519" s="15" t="n">
        <v>0.0964203233256351</v>
      </c>
      <c r="S519" s="32" t="n">
        <v>76017152304</v>
      </c>
      <c r="T519" s="15" t="n">
        <v>0.0360065466448445</v>
      </c>
      <c r="U519" s="32" t="n">
        <v>3903773406.65</v>
      </c>
      <c r="V519" s="14" t="n">
        <v>17.807805658985</v>
      </c>
      <c r="W519" s="13" t="n">
        <v>0.0668539325842696</v>
      </c>
      <c r="X519" s="15" t="n">
        <v>0.0795155344918379</v>
      </c>
      <c r="Y519" s="13" t="n">
        <v>-0.00547452039855245</v>
      </c>
      <c r="Z519" s="13" t="n">
        <v>0.0290439538246017</v>
      </c>
      <c r="AA519" s="30" t="s">
        <v>97</v>
      </c>
      <c r="AB519" s="28" t="s">
        <v>93</v>
      </c>
      <c r="AC519" s="28" t="s">
        <v>101</v>
      </c>
      <c r="AD519" s="28" t="s">
        <v>108</v>
      </c>
      <c r="AE519" s="28" t="s">
        <v>113</v>
      </c>
      <c r="AF519" s="28" t="s">
        <v>120</v>
      </c>
      <c r="AG519" s="30" t="s">
        <v>122</v>
      </c>
    </row>
    <row r="520" customFormat="false" ht="15" hidden="false" customHeight="false" outlineLevel="0" collapsed="false">
      <c r="A520" s="10" t="n">
        <v>2025</v>
      </c>
      <c r="B520" s="28" t="s">
        <v>70</v>
      </c>
      <c r="C520" s="29" t="n">
        <v>45877</v>
      </c>
      <c r="D520" s="30" t="s">
        <v>129</v>
      </c>
      <c r="E520" s="28" t="s">
        <v>819</v>
      </c>
      <c r="F520" s="30" t="s">
        <v>820</v>
      </c>
      <c r="G520" s="31" t="n">
        <v>93293</v>
      </c>
      <c r="H520" s="31" t="n">
        <v>1</v>
      </c>
      <c r="I520" s="31" t="n">
        <v>93293</v>
      </c>
      <c r="J520" s="29" t="n">
        <v>45965</v>
      </c>
      <c r="K520" s="31" t="n">
        <v>88811</v>
      </c>
      <c r="L520" s="30" t="s">
        <v>32</v>
      </c>
      <c r="M520" s="10" t="n">
        <v>56</v>
      </c>
      <c r="N520" s="12" t="n">
        <v>-4643</v>
      </c>
      <c r="O520" s="13" t="n">
        <v>-0.0497638873465589</v>
      </c>
      <c r="P520" s="15" t="n">
        <v>0.176934653329503</v>
      </c>
      <c r="Q520" s="13" t="n">
        <v>-0.0706718174529332</v>
      </c>
      <c r="R520" s="15" t="n">
        <v>0.0448430493273542</v>
      </c>
      <c r="S520" s="32" t="n">
        <v>51892828000</v>
      </c>
      <c r="T520" s="15" t="n">
        <v>0.0219298245614035</v>
      </c>
      <c r="U520" s="32" t="n">
        <v>18837102050</v>
      </c>
      <c r="V520" s="14" t="n">
        <v>2.53332672084358</v>
      </c>
      <c r="W520" s="13" t="n">
        <v>0.0332594235033259</v>
      </c>
      <c r="X520" s="15" t="n">
        <v>0.0268240343347639</v>
      </c>
      <c r="Y520" s="13" t="n">
        <v>-0.00547452039855245</v>
      </c>
      <c r="Z520" s="13" t="n">
        <v>0.0290439538246017</v>
      </c>
      <c r="AA520" s="30" t="s">
        <v>97</v>
      </c>
      <c r="AB520" s="28" t="s">
        <v>93</v>
      </c>
      <c r="AC520" s="28" t="s">
        <v>100</v>
      </c>
      <c r="AD520" s="28" t="s">
        <v>108</v>
      </c>
      <c r="AE520" s="28" t="s">
        <v>113</v>
      </c>
      <c r="AF520" s="28" t="s">
        <v>117</v>
      </c>
      <c r="AG520" s="30" t="s">
        <v>122</v>
      </c>
    </row>
    <row r="521" customFormat="false" ht="15" hidden="false" customHeight="false" outlineLevel="0" collapsed="false">
      <c r="A521" s="10" t="n">
        <v>2025</v>
      </c>
      <c r="B521" s="28" t="s">
        <v>70</v>
      </c>
      <c r="C521" s="29" t="n">
        <v>45888</v>
      </c>
      <c r="D521" s="30" t="s">
        <v>126</v>
      </c>
      <c r="E521" s="28" t="s">
        <v>615</v>
      </c>
      <c r="F521" s="30" t="s">
        <v>616</v>
      </c>
      <c r="G521" s="31" t="n">
        <v>67567</v>
      </c>
      <c r="H521" s="31" t="n">
        <v>1</v>
      </c>
      <c r="I521" s="31" t="n">
        <v>67567</v>
      </c>
      <c r="J521" s="29" t="n">
        <v>45889</v>
      </c>
      <c r="K521" s="31" t="n">
        <v>64236</v>
      </c>
      <c r="L521" s="30" t="s">
        <v>32</v>
      </c>
      <c r="M521" s="10" t="n">
        <v>1</v>
      </c>
      <c r="N521" s="12" t="n">
        <v>-3448</v>
      </c>
      <c r="O521" s="13" t="n">
        <v>-0.0510293266733265</v>
      </c>
      <c r="P521" s="15" t="n">
        <v>-0.0276390276390275</v>
      </c>
      <c r="Q521" s="13" t="n">
        <v>-0.103119103119103</v>
      </c>
      <c r="R521" s="15" t="n">
        <v>0.0321100917431192</v>
      </c>
      <c r="S521" s="32" t="n">
        <v>122489077500</v>
      </c>
      <c r="T521" s="15" t="n">
        <v>0.0211800302571861</v>
      </c>
      <c r="U521" s="32" t="n">
        <v>74129186855</v>
      </c>
      <c r="V521" s="14" t="n">
        <v>1.53545363477527</v>
      </c>
      <c r="W521" s="13" t="n">
        <v>0.0150375939849625</v>
      </c>
      <c r="X521" s="15" t="n">
        <v>0.0281481481481483</v>
      </c>
      <c r="Y521" s="13" t="n">
        <v>-0.00809497431765538</v>
      </c>
      <c r="Z521" s="13" t="n">
        <v>-0.0172167009171222</v>
      </c>
      <c r="AA521" s="30" t="s">
        <v>96</v>
      </c>
      <c r="AB521" s="28" t="s">
        <v>94</v>
      </c>
      <c r="AC521" s="28" t="s">
        <v>100</v>
      </c>
      <c r="AD521" s="28" t="s">
        <v>109</v>
      </c>
      <c r="AE521" s="28" t="s">
        <v>113</v>
      </c>
      <c r="AF521" s="28" t="s">
        <v>116</v>
      </c>
      <c r="AG521" s="30" t="s">
        <v>122</v>
      </c>
    </row>
    <row r="522" customFormat="false" ht="15" hidden="false" customHeight="false" outlineLevel="0" collapsed="false">
      <c r="A522" s="10" t="n">
        <v>2025</v>
      </c>
      <c r="B522" s="28" t="s">
        <v>70</v>
      </c>
      <c r="C522" s="29" t="n">
        <v>45889</v>
      </c>
      <c r="D522" s="30" t="s">
        <v>127</v>
      </c>
      <c r="E522" s="28" t="s">
        <v>821</v>
      </c>
      <c r="F522" s="30" t="s">
        <v>822</v>
      </c>
      <c r="G522" s="31" t="n">
        <v>6366</v>
      </c>
      <c r="H522" s="31" t="n">
        <v>15</v>
      </c>
      <c r="I522" s="31" t="n">
        <v>95495</v>
      </c>
      <c r="J522" s="29" t="n">
        <v>45890</v>
      </c>
      <c r="K522" s="31" t="n">
        <v>6054</v>
      </c>
      <c r="L522" s="30" t="s">
        <v>32</v>
      </c>
      <c r="M522" s="10" t="n">
        <v>1</v>
      </c>
      <c r="N522" s="12" t="n">
        <v>-4850</v>
      </c>
      <c r="O522" s="13" t="n">
        <v>-0.050792596554389</v>
      </c>
      <c r="P522" s="15" t="n">
        <v>0.0461236876331217</v>
      </c>
      <c r="Q522" s="13" t="n">
        <v>-0.0591169836452855</v>
      </c>
      <c r="R522" s="15" t="n">
        <v>0.109947643979058</v>
      </c>
      <c r="S522" s="32" t="n">
        <v>96518921160</v>
      </c>
      <c r="T522" s="15" t="n">
        <v>0.00315457413249209</v>
      </c>
      <c r="U522" s="32" t="n">
        <v>52627359752</v>
      </c>
      <c r="V522" s="14" t="n">
        <v>1.67981509464178</v>
      </c>
      <c r="W522" s="13" t="n">
        <v>0.143884892086331</v>
      </c>
      <c r="X522" s="15" t="n">
        <v>0</v>
      </c>
      <c r="Y522" s="13" t="n">
        <v>-0.00681249920674198</v>
      </c>
      <c r="Z522" s="13" t="n">
        <v>-0.0187528801753026</v>
      </c>
      <c r="AA522" s="30" t="s">
        <v>96</v>
      </c>
      <c r="AB522" s="28" t="s">
        <v>94</v>
      </c>
      <c r="AC522" s="28" t="s">
        <v>102</v>
      </c>
      <c r="AD522" s="28" t="s">
        <v>108</v>
      </c>
      <c r="AE522" s="28" t="s">
        <v>112</v>
      </c>
      <c r="AF522" s="28" t="s">
        <v>116</v>
      </c>
      <c r="AG522" s="30" t="s">
        <v>122</v>
      </c>
    </row>
    <row r="523" customFormat="false" ht="15" hidden="false" customHeight="false" outlineLevel="0" collapsed="false">
      <c r="A523" s="10" t="n">
        <v>2025</v>
      </c>
      <c r="B523" s="28" t="s">
        <v>70</v>
      </c>
      <c r="C523" s="29" t="n">
        <v>45889</v>
      </c>
      <c r="D523" s="30" t="s">
        <v>127</v>
      </c>
      <c r="E523" s="28" t="s">
        <v>823</v>
      </c>
      <c r="F523" s="30" t="s">
        <v>824</v>
      </c>
      <c r="G523" s="31" t="n">
        <v>22823</v>
      </c>
      <c r="H523" s="31" t="n">
        <v>4</v>
      </c>
      <c r="I523" s="31" t="n">
        <v>91291</v>
      </c>
      <c r="J523" s="29" t="n">
        <v>45902</v>
      </c>
      <c r="K523" s="31" t="n">
        <v>21728</v>
      </c>
      <c r="L523" s="30" t="s">
        <v>32</v>
      </c>
      <c r="M523" s="10" t="n">
        <v>9</v>
      </c>
      <c r="N523" s="12" t="n">
        <v>-4535</v>
      </c>
      <c r="O523" s="13" t="n">
        <v>-0.0496794886035018</v>
      </c>
      <c r="P523" s="15" t="n">
        <v>0.119494540547172</v>
      </c>
      <c r="Q523" s="13" t="n">
        <v>-0.101775417564891</v>
      </c>
      <c r="R523" s="15" t="n">
        <v>0.0704225352112675</v>
      </c>
      <c r="S523" s="32" t="n">
        <v>65961904800</v>
      </c>
      <c r="T523" s="15" t="n">
        <v>0.0293453724604966</v>
      </c>
      <c r="U523" s="32" t="n">
        <v>14124348474.5</v>
      </c>
      <c r="V523" s="14" t="n">
        <v>4.2438439811952</v>
      </c>
      <c r="W523" s="13" t="n">
        <v>0.0857142857142856</v>
      </c>
      <c r="X523" s="15" t="n">
        <v>0.0219298245614035</v>
      </c>
      <c r="Y523" s="13" t="n">
        <v>-0.00681249920674198</v>
      </c>
      <c r="Z523" s="13" t="n">
        <v>-0.0187528801753026</v>
      </c>
      <c r="AA523" s="30" t="s">
        <v>96</v>
      </c>
      <c r="AB523" s="28" t="s">
        <v>94</v>
      </c>
      <c r="AC523" s="28" t="s">
        <v>101</v>
      </c>
      <c r="AD523" s="28" t="s">
        <v>108</v>
      </c>
      <c r="AE523" s="28" t="s">
        <v>113</v>
      </c>
      <c r="AF523" s="28" t="s">
        <v>118</v>
      </c>
      <c r="AG523" s="30" t="s">
        <v>122</v>
      </c>
    </row>
    <row r="524" customFormat="false" ht="15" hidden="false" customHeight="false" outlineLevel="0" collapsed="false">
      <c r="A524" s="10" t="n">
        <v>2025</v>
      </c>
      <c r="B524" s="28" t="s">
        <v>70</v>
      </c>
      <c r="C524" s="29" t="n">
        <v>45890</v>
      </c>
      <c r="D524" s="30" t="s">
        <v>128</v>
      </c>
      <c r="E524" s="28" t="s">
        <v>825</v>
      </c>
      <c r="F524" s="30" t="s">
        <v>826</v>
      </c>
      <c r="G524" s="31" t="n">
        <v>4159</v>
      </c>
      <c r="H524" s="31" t="n">
        <v>23</v>
      </c>
      <c r="I524" s="31" t="n">
        <v>95661</v>
      </c>
      <c r="J524" s="29" t="n">
        <v>45895</v>
      </c>
      <c r="K524" s="31" t="n">
        <v>3956</v>
      </c>
      <c r="L524" s="30" t="s">
        <v>32</v>
      </c>
      <c r="M524" s="10" t="n">
        <v>3</v>
      </c>
      <c r="N524" s="12" t="n">
        <v>-4836</v>
      </c>
      <c r="O524" s="13" t="n">
        <v>-0.0505550620859284</v>
      </c>
      <c r="P524" s="15" t="n">
        <v>0.0675245332285044</v>
      </c>
      <c r="Q524" s="13" t="n">
        <v>-0.0743312042951032</v>
      </c>
      <c r="R524" s="15" t="n">
        <v>0.130612244897959</v>
      </c>
      <c r="S524" s="32" t="n">
        <v>53947738860</v>
      </c>
      <c r="T524" s="15" t="n">
        <v>0.0492424242424243</v>
      </c>
      <c r="U524" s="32" t="n">
        <v>4077333095</v>
      </c>
      <c r="V524" s="14" t="n">
        <v>12.0726167626955</v>
      </c>
      <c r="W524" s="13" t="n">
        <v>0.122972972972973</v>
      </c>
      <c r="X524" s="15" t="n">
        <v>0.0240673886883274</v>
      </c>
      <c r="Y524" s="13" t="n">
        <v>0.00372193770786122</v>
      </c>
      <c r="Z524" s="13" t="n">
        <v>-0.0256267115746642</v>
      </c>
      <c r="AA524" s="30" t="s">
        <v>96</v>
      </c>
      <c r="AB524" s="28" t="s">
        <v>94</v>
      </c>
      <c r="AC524" s="28" t="s">
        <v>102</v>
      </c>
      <c r="AD524" s="28" t="s">
        <v>108</v>
      </c>
      <c r="AE524" s="28" t="s">
        <v>113</v>
      </c>
      <c r="AF524" s="28" t="s">
        <v>120</v>
      </c>
      <c r="AG524" s="30" t="s">
        <v>122</v>
      </c>
    </row>
    <row r="525" customFormat="false" ht="15" hidden="false" customHeight="false" outlineLevel="0" collapsed="false">
      <c r="A525" s="10" t="n">
        <v>2025</v>
      </c>
      <c r="B525" s="28" t="s">
        <v>70</v>
      </c>
      <c r="C525" s="29" t="n">
        <v>45890</v>
      </c>
      <c r="D525" s="30" t="s">
        <v>128</v>
      </c>
      <c r="E525" s="28" t="s">
        <v>229</v>
      </c>
      <c r="F525" s="30" t="s">
        <v>230</v>
      </c>
      <c r="G525" s="31" t="n">
        <v>39189</v>
      </c>
      <c r="H525" s="31" t="n">
        <v>2</v>
      </c>
      <c r="I525" s="31" t="n">
        <v>78378</v>
      </c>
      <c r="J525" s="29" t="n">
        <v>45895</v>
      </c>
      <c r="K525" s="31" t="n">
        <v>37263</v>
      </c>
      <c r="L525" s="30" t="s">
        <v>32</v>
      </c>
      <c r="M525" s="10" t="n">
        <v>3</v>
      </c>
      <c r="N525" s="12" t="n">
        <v>-3988</v>
      </c>
      <c r="O525" s="13" t="n">
        <v>-0.0508766285438698</v>
      </c>
      <c r="P525" s="15" t="n">
        <v>0.00282858903548577</v>
      </c>
      <c r="Q525" s="13" t="n">
        <v>-0.0533093981369842</v>
      </c>
      <c r="R525" s="15" t="n">
        <v>0.053835800807537</v>
      </c>
      <c r="S525" s="32" t="n">
        <v>30499181100</v>
      </c>
      <c r="T525" s="15" t="n">
        <v>0.0316205533596838</v>
      </c>
      <c r="U525" s="32" t="n">
        <v>16756718177.5</v>
      </c>
      <c r="V525" s="14" t="n">
        <v>1.69638273601963</v>
      </c>
      <c r="W525" s="13" t="n">
        <v>0.0581081081081081</v>
      </c>
      <c r="X525" s="15" t="n">
        <v>0.00510855683269473</v>
      </c>
      <c r="Y525" s="13" t="n">
        <v>0.00372193770786122</v>
      </c>
      <c r="Z525" s="13" t="n">
        <v>-0.0256267115746642</v>
      </c>
      <c r="AA525" s="30" t="s">
        <v>96</v>
      </c>
      <c r="AB525" s="28" t="s">
        <v>94</v>
      </c>
      <c r="AC525" s="28" t="s">
        <v>101</v>
      </c>
      <c r="AD525" s="28" t="s">
        <v>107</v>
      </c>
      <c r="AE525" s="28" t="s">
        <v>113</v>
      </c>
      <c r="AF525" s="28" t="s">
        <v>116</v>
      </c>
      <c r="AG525" s="30" t="s">
        <v>122</v>
      </c>
    </row>
    <row r="526" customFormat="false" ht="15" hidden="false" customHeight="false" outlineLevel="0" collapsed="false">
      <c r="A526" s="10" t="n">
        <v>2025</v>
      </c>
      <c r="B526" s="28" t="s">
        <v>70</v>
      </c>
      <c r="C526" s="29" t="n">
        <v>45894</v>
      </c>
      <c r="D526" s="30" t="s">
        <v>125</v>
      </c>
      <c r="E526" s="28" t="s">
        <v>607</v>
      </c>
      <c r="F526" s="30" t="s">
        <v>608</v>
      </c>
      <c r="G526" s="31" t="n">
        <v>3919</v>
      </c>
      <c r="H526" s="31" t="n">
        <v>25</v>
      </c>
      <c r="I526" s="31" t="n">
        <v>97973</v>
      </c>
      <c r="J526" s="29" t="n">
        <v>45901</v>
      </c>
      <c r="K526" s="31" t="n">
        <v>3726</v>
      </c>
      <c r="L526" s="30" t="s">
        <v>32</v>
      </c>
      <c r="M526" s="10" t="n">
        <v>5</v>
      </c>
      <c r="N526" s="12" t="n">
        <v>-4985</v>
      </c>
      <c r="O526" s="13" t="n">
        <v>-0.0508766285438698</v>
      </c>
      <c r="P526" s="15" t="n">
        <v>0.0321734459665495</v>
      </c>
      <c r="Q526" s="13" t="n">
        <v>-0.0609645782059574</v>
      </c>
      <c r="R526" s="15" t="n">
        <v>0.0524193548387097</v>
      </c>
      <c r="S526" s="32" t="n">
        <v>90354927060</v>
      </c>
      <c r="T526" s="15" t="n">
        <v>0.0262123197903015</v>
      </c>
      <c r="U526" s="32" t="n">
        <v>26157197524.25</v>
      </c>
      <c r="V526" s="14" t="n">
        <v>3.20655401144399</v>
      </c>
      <c r="W526" s="13" t="n">
        <v>0.0129366106080207</v>
      </c>
      <c r="X526" s="15" t="n">
        <v>0.0178799489144317</v>
      </c>
      <c r="Y526" s="13" t="n">
        <v>0.0129799635816241</v>
      </c>
      <c r="Z526" s="13" t="n">
        <v>0.0102540537818512</v>
      </c>
      <c r="AA526" s="30" t="s">
        <v>97</v>
      </c>
      <c r="AB526" s="28" t="s">
        <v>93</v>
      </c>
      <c r="AC526" s="28" t="s">
        <v>101</v>
      </c>
      <c r="AD526" s="28" t="s">
        <v>108</v>
      </c>
      <c r="AE526" s="28" t="s">
        <v>113</v>
      </c>
      <c r="AF526" s="28" t="s">
        <v>118</v>
      </c>
      <c r="AG526" s="30" t="s">
        <v>122</v>
      </c>
    </row>
    <row r="527" customFormat="false" ht="15" hidden="false" customHeight="false" outlineLevel="0" collapsed="false">
      <c r="A527" s="10" t="n">
        <v>2025</v>
      </c>
      <c r="B527" s="28" t="s">
        <v>70</v>
      </c>
      <c r="C527" s="29" t="n">
        <v>45895</v>
      </c>
      <c r="D527" s="30" t="s">
        <v>126</v>
      </c>
      <c r="E527" s="28" t="s">
        <v>827</v>
      </c>
      <c r="F527" s="30" t="s">
        <v>828</v>
      </c>
      <c r="G527" s="31" t="n">
        <v>11511</v>
      </c>
      <c r="H527" s="31" t="n">
        <v>8</v>
      </c>
      <c r="I527" s="31" t="n">
        <v>92092</v>
      </c>
      <c r="J527" s="29" t="n">
        <v>45902</v>
      </c>
      <c r="K527" s="31" t="n">
        <v>10959</v>
      </c>
      <c r="L527" s="30" t="s">
        <v>32</v>
      </c>
      <c r="M527" s="10" t="n">
        <v>5</v>
      </c>
      <c r="N527" s="12" t="n">
        <v>-4578</v>
      </c>
      <c r="O527" s="13" t="n">
        <v>-0.0497136884419926</v>
      </c>
      <c r="P527" s="15" t="n">
        <v>0.098901098901099</v>
      </c>
      <c r="Q527" s="13" t="n">
        <v>-0.0583329713764494</v>
      </c>
      <c r="R527" s="15" t="n">
        <v>0.048313582497721</v>
      </c>
      <c r="S527" s="32" t="n">
        <v>51607446000</v>
      </c>
      <c r="T527" s="15" t="n">
        <v>0.00877192982456143</v>
      </c>
      <c r="U527" s="32" t="n">
        <v>22414398957</v>
      </c>
      <c r="V527" s="14" t="n">
        <v>2.10634216309498</v>
      </c>
      <c r="W527" s="13" t="n">
        <v>0.0550458715596329</v>
      </c>
      <c r="X527" s="15" t="n">
        <v>0.0330434782608695</v>
      </c>
      <c r="Y527" s="13" t="n">
        <v>-0.00950197204862513</v>
      </c>
      <c r="Z527" s="13" t="n">
        <v>0.00882102831613563</v>
      </c>
      <c r="AA527" s="30" t="s">
        <v>96</v>
      </c>
      <c r="AB527" s="28" t="s">
        <v>93</v>
      </c>
      <c r="AC527" s="28" t="s">
        <v>100</v>
      </c>
      <c r="AD527" s="28" t="s">
        <v>108</v>
      </c>
      <c r="AE527" s="28" t="s">
        <v>112</v>
      </c>
      <c r="AF527" s="28" t="s">
        <v>117</v>
      </c>
      <c r="AG527" s="30" t="s">
        <v>122</v>
      </c>
    </row>
    <row r="528" customFormat="false" ht="15" hidden="false" customHeight="false" outlineLevel="0" collapsed="false">
      <c r="A528" s="10" t="n">
        <v>2025</v>
      </c>
      <c r="B528" s="28" t="s">
        <v>70</v>
      </c>
      <c r="C528" s="29" t="n">
        <v>45895</v>
      </c>
      <c r="D528" s="30" t="s">
        <v>126</v>
      </c>
      <c r="E528" s="28" t="s">
        <v>829</v>
      </c>
      <c r="F528" s="30" t="s">
        <v>830</v>
      </c>
      <c r="G528" s="31" t="n">
        <v>57257</v>
      </c>
      <c r="H528" s="31" t="n">
        <v>1</v>
      </c>
      <c r="I528" s="31" t="n">
        <v>57257</v>
      </c>
      <c r="J528" s="29" t="n">
        <v>45896</v>
      </c>
      <c r="K528" s="31" t="n">
        <v>54446</v>
      </c>
      <c r="L528" s="30" t="s">
        <v>32</v>
      </c>
      <c r="M528" s="10" t="n">
        <v>1</v>
      </c>
      <c r="N528" s="12" t="n">
        <v>-2910</v>
      </c>
      <c r="O528" s="13" t="n">
        <v>-0.0508254622126125</v>
      </c>
      <c r="P528" s="15" t="n">
        <v>-0.0079850219710359</v>
      </c>
      <c r="Q528" s="13" t="n">
        <v>-0.0551406635322719</v>
      </c>
      <c r="R528" s="15" t="n">
        <v>0.0651769087523277</v>
      </c>
      <c r="S528" s="32" t="n">
        <v>46115212000</v>
      </c>
      <c r="T528" s="15" t="n">
        <v>0.0651769087523277</v>
      </c>
      <c r="U528" s="32" t="n">
        <v>12024287670</v>
      </c>
      <c r="V528" s="14" t="n">
        <v>3.41091929100128</v>
      </c>
      <c r="W528" s="13" t="n">
        <v>0.0573012939001849</v>
      </c>
      <c r="X528" s="15" t="n">
        <v>0.0297202797202798</v>
      </c>
      <c r="Y528" s="13" t="n">
        <v>-0.00950197204862513</v>
      </c>
      <c r="Z528" s="13" t="n">
        <v>0.00882102831613563</v>
      </c>
      <c r="AA528" s="30" t="s">
        <v>96</v>
      </c>
      <c r="AB528" s="28" t="s">
        <v>93</v>
      </c>
      <c r="AC528" s="28" t="s">
        <v>101</v>
      </c>
      <c r="AD528" s="28" t="s">
        <v>107</v>
      </c>
      <c r="AE528" s="28" t="s">
        <v>101</v>
      </c>
      <c r="AF528" s="28" t="s">
        <v>118</v>
      </c>
      <c r="AG528" s="30" t="s">
        <v>122</v>
      </c>
    </row>
    <row r="529" customFormat="false" ht="15" hidden="false" customHeight="false" outlineLevel="0" collapsed="false">
      <c r="A529" s="10" t="n">
        <v>2025</v>
      </c>
      <c r="B529" s="28" t="s">
        <v>70</v>
      </c>
      <c r="C529" s="29" t="n">
        <v>45896</v>
      </c>
      <c r="D529" s="30" t="s">
        <v>127</v>
      </c>
      <c r="E529" s="28" t="s">
        <v>361</v>
      </c>
      <c r="F529" s="30" t="s">
        <v>362</v>
      </c>
      <c r="G529" s="31" t="n">
        <v>77277</v>
      </c>
      <c r="H529" s="31" t="n">
        <v>1</v>
      </c>
      <c r="I529" s="31" t="n">
        <v>77277</v>
      </c>
      <c r="J529" s="29" t="n">
        <v>45919</v>
      </c>
      <c r="K529" s="31" t="n">
        <v>93900</v>
      </c>
      <c r="L529" s="30" t="s">
        <v>31</v>
      </c>
      <c r="M529" s="10" t="n">
        <v>17</v>
      </c>
      <c r="N529" s="12" t="n">
        <v>16456</v>
      </c>
      <c r="O529" s="13" t="n">
        <v>0.212951212259243</v>
      </c>
      <c r="P529" s="15" t="n">
        <v>0.21640018013075</v>
      </c>
      <c r="Q529" s="13" t="n">
        <v>-0.0100573002127405</v>
      </c>
      <c r="R529" s="15" t="n">
        <v>0.048913043478261</v>
      </c>
      <c r="S529" s="32" t="n">
        <v>37184846800</v>
      </c>
      <c r="T529" s="15" t="n">
        <v>0.0225165562913907</v>
      </c>
      <c r="U529" s="32" t="n">
        <v>12819631395</v>
      </c>
      <c r="V529" s="14" t="n">
        <v>2.59988923985724</v>
      </c>
      <c r="W529" s="13" t="n">
        <v>0.0432432432432433</v>
      </c>
      <c r="X529" s="15" t="n">
        <v>0.028497409326425</v>
      </c>
      <c r="Y529" s="13" t="n">
        <v>0.00245332393940911</v>
      </c>
      <c r="Z529" s="13" t="n">
        <v>0.0182327025740472</v>
      </c>
      <c r="AA529" s="30" t="s">
        <v>96</v>
      </c>
      <c r="AB529" s="28" t="s">
        <v>93</v>
      </c>
      <c r="AC529" s="28" t="s">
        <v>100</v>
      </c>
      <c r="AD529" s="28" t="s">
        <v>107</v>
      </c>
      <c r="AE529" s="28" t="s">
        <v>113</v>
      </c>
      <c r="AF529" s="28" t="s">
        <v>117</v>
      </c>
      <c r="AG529" s="30" t="s">
        <v>122</v>
      </c>
    </row>
    <row r="530" customFormat="false" ht="15" hidden="false" customHeight="false" outlineLevel="0" collapsed="false">
      <c r="A530" s="10" t="n">
        <v>2025</v>
      </c>
      <c r="B530" s="28" t="s">
        <v>70</v>
      </c>
      <c r="C530" s="29" t="n">
        <v>45897</v>
      </c>
      <c r="D530" s="30" t="s">
        <v>128</v>
      </c>
      <c r="E530" s="28" t="s">
        <v>831</v>
      </c>
      <c r="F530" s="30" t="s">
        <v>832</v>
      </c>
      <c r="G530" s="31" t="n">
        <v>14464</v>
      </c>
      <c r="H530" s="31" t="n">
        <v>6</v>
      </c>
      <c r="I530" s="31" t="n">
        <v>86787</v>
      </c>
      <c r="J530" s="29" t="n">
        <v>45901</v>
      </c>
      <c r="K530" s="31" t="n">
        <v>13766</v>
      </c>
      <c r="L530" s="30" t="s">
        <v>32</v>
      </c>
      <c r="M530" s="10" t="n">
        <v>2</v>
      </c>
      <c r="N530" s="12" t="n">
        <v>-4339</v>
      </c>
      <c r="O530" s="13" t="n">
        <v>-0.0499924940457467</v>
      </c>
      <c r="P530" s="15" t="n">
        <v>0.00591450072418942</v>
      </c>
      <c r="Q530" s="13" t="n">
        <v>-0.0922572237451129</v>
      </c>
      <c r="R530" s="15" t="n">
        <v>0.115830115830116</v>
      </c>
      <c r="S530" s="32" t="n">
        <v>78973541650</v>
      </c>
      <c r="T530" s="15" t="n">
        <v>0.00208044382801664</v>
      </c>
      <c r="U530" s="32" t="n">
        <v>9543518320</v>
      </c>
      <c r="V530" s="14" t="n">
        <v>7.98725353299846</v>
      </c>
      <c r="W530" s="13" t="n">
        <v>0.114969135802469</v>
      </c>
      <c r="X530" s="15" t="n">
        <v>0.0539792387543252</v>
      </c>
      <c r="Y530" s="13" t="n">
        <v>0.00287403205361514</v>
      </c>
      <c r="Z530" s="13" t="n">
        <v>0.0173725387842407</v>
      </c>
      <c r="AA530" s="30" t="s">
        <v>97</v>
      </c>
      <c r="AB530" s="28" t="s">
        <v>93</v>
      </c>
      <c r="AC530" s="28" t="s">
        <v>102</v>
      </c>
      <c r="AD530" s="28" t="s">
        <v>108</v>
      </c>
      <c r="AE530" s="28" t="s">
        <v>112</v>
      </c>
      <c r="AF530" s="28" t="s">
        <v>119</v>
      </c>
      <c r="AG530" s="30" t="s">
        <v>122</v>
      </c>
    </row>
    <row r="531" customFormat="false" ht="15" hidden="false" customHeight="false" outlineLevel="0" collapsed="false">
      <c r="A531" s="10" t="n">
        <v>2025</v>
      </c>
      <c r="B531" s="28" t="s">
        <v>70</v>
      </c>
      <c r="C531" s="29" t="n">
        <v>45898</v>
      </c>
      <c r="D531" s="30" t="s">
        <v>129</v>
      </c>
      <c r="E531" s="28" t="s">
        <v>741</v>
      </c>
      <c r="F531" s="30" t="s">
        <v>742</v>
      </c>
      <c r="G531" s="31" t="n">
        <v>39429</v>
      </c>
      <c r="H531" s="31" t="n">
        <v>2</v>
      </c>
      <c r="I531" s="31" t="n">
        <v>78858</v>
      </c>
      <c r="J531" s="29" t="n">
        <v>45901</v>
      </c>
      <c r="K531" s="31" t="n">
        <v>37512</v>
      </c>
      <c r="L531" s="30" t="s">
        <v>32</v>
      </c>
      <c r="M531" s="10" t="n">
        <v>1</v>
      </c>
      <c r="N531" s="12" t="n">
        <v>-3969</v>
      </c>
      <c r="O531" s="13" t="n">
        <v>-0.0503259105136455</v>
      </c>
      <c r="P531" s="15" t="n">
        <v>-0.00671120493229749</v>
      </c>
      <c r="Q531" s="13" t="n">
        <v>-0.118416526294544</v>
      </c>
      <c r="R531" s="15" t="n">
        <v>0.110797459421313</v>
      </c>
      <c r="S531" s="32" t="n">
        <v>134917771000</v>
      </c>
      <c r="T531" s="15" t="n">
        <v>0.0855172413793104</v>
      </c>
      <c r="U531" s="32" t="n">
        <v>25642218830</v>
      </c>
      <c r="V531" s="14" t="n">
        <v>4.50573292770269</v>
      </c>
      <c r="W531" s="13" t="n">
        <v>0.0678426051560379</v>
      </c>
      <c r="X531" s="15" t="n">
        <v>0.0114358322744601</v>
      </c>
      <c r="Y531" s="13" t="n">
        <v>-0.00322558442208543</v>
      </c>
      <c r="Z531" s="13" t="n">
        <v>0.00545328885704999</v>
      </c>
      <c r="AA531" s="30" t="s">
        <v>97</v>
      </c>
      <c r="AB531" s="28" t="s">
        <v>93</v>
      </c>
      <c r="AC531" s="28" t="s">
        <v>102</v>
      </c>
      <c r="AD531" s="28" t="s">
        <v>109</v>
      </c>
      <c r="AE531" s="28" t="s">
        <v>101</v>
      </c>
      <c r="AF531" s="28" t="s">
        <v>118</v>
      </c>
      <c r="AG531" s="30" t="s">
        <v>122</v>
      </c>
    </row>
    <row r="532" customFormat="false" ht="15" hidden="false" customHeight="false" outlineLevel="0" collapsed="false">
      <c r="A532" s="10" t="n">
        <v>2025</v>
      </c>
      <c r="B532" s="28" t="s">
        <v>71</v>
      </c>
      <c r="C532" s="29" t="n">
        <v>45901</v>
      </c>
      <c r="D532" s="30" t="s">
        <v>125</v>
      </c>
      <c r="E532" s="28" t="s">
        <v>833</v>
      </c>
      <c r="F532" s="30" t="s">
        <v>834</v>
      </c>
      <c r="G532" s="31" t="n">
        <v>8649</v>
      </c>
      <c r="H532" s="31" t="n">
        <v>11</v>
      </c>
      <c r="I532" s="31" t="n">
        <v>95135</v>
      </c>
      <c r="J532" s="29" t="n">
        <v>45919</v>
      </c>
      <c r="K532" s="31" t="n">
        <v>10380</v>
      </c>
      <c r="L532" s="30" t="s">
        <v>31</v>
      </c>
      <c r="M532" s="10" t="n">
        <v>14</v>
      </c>
      <c r="N532" s="12" t="n">
        <v>18842</v>
      </c>
      <c r="O532" s="13" t="n">
        <v>0.198058388833389</v>
      </c>
      <c r="P532" s="15" t="n">
        <v>0.323907573907574</v>
      </c>
      <c r="Q532" s="13" t="n">
        <v>-0.046092796092796</v>
      </c>
      <c r="R532" s="15" t="n">
        <v>0.0964467005076142</v>
      </c>
      <c r="S532" s="32" t="n">
        <v>299202534720</v>
      </c>
      <c r="T532" s="15" t="n">
        <v>0.0523751522533495</v>
      </c>
      <c r="U532" s="32" t="n">
        <v>31515692184</v>
      </c>
      <c r="V532" s="14" t="n">
        <v>8.57160738713312</v>
      </c>
      <c r="W532" s="13" t="n">
        <v>0.0575275397796817</v>
      </c>
      <c r="X532" s="15" t="n">
        <v>0.0729166666666667</v>
      </c>
      <c r="Y532" s="13" t="n">
        <v>-0.0135216148097465</v>
      </c>
      <c r="Z532" s="13" t="n">
        <v>-0.0208513766955569</v>
      </c>
      <c r="AA532" s="30" t="s">
        <v>96</v>
      </c>
      <c r="AB532" s="28" t="s">
        <v>94</v>
      </c>
      <c r="AC532" s="28" t="s">
        <v>101</v>
      </c>
      <c r="AD532" s="28" t="s">
        <v>110</v>
      </c>
      <c r="AE532" s="28" t="s">
        <v>101</v>
      </c>
      <c r="AF532" s="28" t="s">
        <v>119</v>
      </c>
      <c r="AG532" s="30" t="s">
        <v>122</v>
      </c>
    </row>
    <row r="533" customFormat="false" ht="15" hidden="false" customHeight="false" outlineLevel="0" collapsed="false">
      <c r="A533" s="10" t="n">
        <v>2025</v>
      </c>
      <c r="B533" s="28" t="s">
        <v>71</v>
      </c>
      <c r="C533" s="29" t="n">
        <v>45901</v>
      </c>
      <c r="D533" s="30" t="s">
        <v>125</v>
      </c>
      <c r="E533" s="28" t="s">
        <v>835</v>
      </c>
      <c r="F533" s="30" t="s">
        <v>836</v>
      </c>
      <c r="G533" s="31" t="n">
        <v>18318</v>
      </c>
      <c r="H533" s="31" t="n">
        <v>5</v>
      </c>
      <c r="I533" s="31" t="n">
        <v>91592</v>
      </c>
      <c r="J533" s="29" t="n">
        <v>45905</v>
      </c>
      <c r="K533" s="31" t="n">
        <v>17433</v>
      </c>
      <c r="L533" s="30" t="s">
        <v>32</v>
      </c>
      <c r="M533" s="10" t="n">
        <v>4</v>
      </c>
      <c r="N533" s="12" t="n">
        <v>-4586</v>
      </c>
      <c r="O533" s="13" t="n">
        <v>-0.050073503136208</v>
      </c>
      <c r="P533" s="15" t="n">
        <v>0.0595961415633548</v>
      </c>
      <c r="Q533" s="13" t="n">
        <v>-0.0528597085974135</v>
      </c>
      <c r="R533" s="15" t="n">
        <v>0.0892857142857142</v>
      </c>
      <c r="S533" s="32" t="n">
        <v>50942149200</v>
      </c>
      <c r="T533" s="15" t="n">
        <v>0.0457142857142858</v>
      </c>
      <c r="U533" s="32" t="n">
        <v>8943720333</v>
      </c>
      <c r="V533" s="14" t="n">
        <v>4.86426753887344</v>
      </c>
      <c r="W533" s="13" t="n">
        <v>-0.0343007915567283</v>
      </c>
      <c r="X533" s="15" t="n">
        <v>0.0901639344262295</v>
      </c>
      <c r="Y533" s="13" t="n">
        <v>-0.0135216148097465</v>
      </c>
      <c r="Z533" s="13" t="n">
        <v>-0.0208513766955569</v>
      </c>
      <c r="AA533" s="30" t="s">
        <v>96</v>
      </c>
      <c r="AB533" s="28" t="s">
        <v>94</v>
      </c>
      <c r="AC533" s="28" t="s">
        <v>101</v>
      </c>
      <c r="AD533" s="28" t="s">
        <v>108</v>
      </c>
      <c r="AE533" s="28" t="s">
        <v>113</v>
      </c>
      <c r="AF533" s="28" t="s">
        <v>118</v>
      </c>
      <c r="AG533" s="30" t="s">
        <v>123</v>
      </c>
    </row>
    <row r="534" customFormat="false" ht="15" hidden="false" customHeight="false" outlineLevel="0" collapsed="false">
      <c r="A534" s="10" t="n">
        <v>2025</v>
      </c>
      <c r="B534" s="28" t="s">
        <v>71</v>
      </c>
      <c r="C534" s="29" t="n">
        <v>45902</v>
      </c>
      <c r="D534" s="30" t="s">
        <v>126</v>
      </c>
      <c r="E534" s="28" t="s">
        <v>837</v>
      </c>
      <c r="F534" s="30" t="s">
        <v>838</v>
      </c>
      <c r="G534" s="31" t="n">
        <v>12337</v>
      </c>
      <c r="H534" s="31" t="n">
        <v>8</v>
      </c>
      <c r="I534" s="31" t="n">
        <v>98699</v>
      </c>
      <c r="J534" s="29" t="n">
        <v>45924</v>
      </c>
      <c r="K534" s="31" t="n">
        <v>11738</v>
      </c>
      <c r="L534" s="30" t="s">
        <v>32</v>
      </c>
      <c r="M534" s="10" t="n">
        <v>16</v>
      </c>
      <c r="N534" s="12" t="n">
        <v>-4962</v>
      </c>
      <c r="O534" s="13" t="n">
        <v>-0.0502778123499218</v>
      </c>
      <c r="P534" s="15" t="n">
        <v>0.0172383397535529</v>
      </c>
      <c r="Q534" s="13" t="n">
        <v>-0.0496319096724776</v>
      </c>
      <c r="R534" s="15" t="n">
        <v>0.0717391304347825</v>
      </c>
      <c r="S534" s="32" t="n">
        <v>47930867515</v>
      </c>
      <c r="T534" s="15" t="n">
        <v>0.00817995910020453</v>
      </c>
      <c r="U534" s="32" t="n">
        <v>3455977414.25</v>
      </c>
      <c r="V534" s="14" t="n">
        <v>13.4183706688441</v>
      </c>
      <c r="W534" s="13" t="n">
        <v>0.0740740740740742</v>
      </c>
      <c r="X534" s="15" t="n">
        <v>0.0851926977687627</v>
      </c>
      <c r="Y534" s="13" t="n">
        <v>0.00936069209304691</v>
      </c>
      <c r="Z534" s="13" t="n">
        <v>-0.00220484625836648</v>
      </c>
      <c r="AA534" s="30" t="s">
        <v>96</v>
      </c>
      <c r="AB534" s="28" t="s">
        <v>94</v>
      </c>
      <c r="AC534" s="28" t="s">
        <v>101</v>
      </c>
      <c r="AD534" s="28" t="s">
        <v>107</v>
      </c>
      <c r="AE534" s="28" t="s">
        <v>112</v>
      </c>
      <c r="AF534" s="28" t="s">
        <v>120</v>
      </c>
      <c r="AG534" s="30" t="s">
        <v>122</v>
      </c>
    </row>
    <row r="535" customFormat="false" ht="15" hidden="false" customHeight="false" outlineLevel="0" collapsed="false">
      <c r="A535" s="10" t="n">
        <v>2025</v>
      </c>
      <c r="B535" s="28" t="s">
        <v>71</v>
      </c>
      <c r="C535" s="29" t="n">
        <v>45902</v>
      </c>
      <c r="D535" s="30" t="s">
        <v>126</v>
      </c>
      <c r="E535" s="28" t="s">
        <v>335</v>
      </c>
      <c r="F535" s="30" t="s">
        <v>336</v>
      </c>
      <c r="G535" s="31" t="n">
        <v>2718</v>
      </c>
      <c r="H535" s="31" t="n">
        <v>36</v>
      </c>
      <c r="I535" s="31" t="n">
        <v>97838</v>
      </c>
      <c r="J535" s="29" t="n">
        <v>45904</v>
      </c>
      <c r="K535" s="31" t="n">
        <v>2582</v>
      </c>
      <c r="L535" s="30" t="s">
        <v>32</v>
      </c>
      <c r="M535" s="10" t="n">
        <v>2</v>
      </c>
      <c r="N535" s="12" t="n">
        <v>-5039</v>
      </c>
      <c r="O535" s="13" t="n">
        <v>-0.0515023252990103</v>
      </c>
      <c r="P535" s="15" t="n">
        <v>0.0100396840728334</v>
      </c>
      <c r="Q535" s="13" t="n">
        <v>-0.050673083822255</v>
      </c>
      <c r="R535" s="15" t="n">
        <v>0.0795228628230615</v>
      </c>
      <c r="S535" s="32" t="n">
        <v>30189648840</v>
      </c>
      <c r="T535" s="15" t="n">
        <v>0.0130597014925373</v>
      </c>
      <c r="U535" s="32" t="n">
        <v>11118093659</v>
      </c>
      <c r="V535" s="14" t="n">
        <v>2.53388057973889</v>
      </c>
      <c r="W535" s="13" t="n">
        <v>0.0731225296442688</v>
      </c>
      <c r="X535" s="15" t="n">
        <v>0.00368324125230202</v>
      </c>
      <c r="Y535" s="13" t="n">
        <v>0.00936069209304691</v>
      </c>
      <c r="Z535" s="13" t="n">
        <v>-0.00220484625836648</v>
      </c>
      <c r="AA535" s="30" t="s">
        <v>96</v>
      </c>
      <c r="AB535" s="28" t="s">
        <v>94</v>
      </c>
      <c r="AC535" s="28" t="s">
        <v>101</v>
      </c>
      <c r="AD535" s="28" t="s">
        <v>107</v>
      </c>
      <c r="AE535" s="28" t="s">
        <v>112</v>
      </c>
      <c r="AF535" s="28" t="s">
        <v>117</v>
      </c>
      <c r="AG535" s="30" t="s">
        <v>122</v>
      </c>
    </row>
    <row r="536" customFormat="false" ht="15" hidden="false" customHeight="false" outlineLevel="0" collapsed="false">
      <c r="A536" s="10" t="n">
        <v>2025</v>
      </c>
      <c r="B536" s="28" t="s">
        <v>71</v>
      </c>
      <c r="C536" s="29" t="n">
        <v>45904</v>
      </c>
      <c r="D536" s="30" t="s">
        <v>128</v>
      </c>
      <c r="E536" s="28" t="s">
        <v>777</v>
      </c>
      <c r="F536" s="28" t="s">
        <v>778</v>
      </c>
      <c r="G536" s="31" t="n">
        <v>22773</v>
      </c>
      <c r="H536" s="31" t="n">
        <v>4</v>
      </c>
      <c r="I536" s="31" t="n">
        <v>91091</v>
      </c>
      <c r="J536" s="29" t="n">
        <v>45908</v>
      </c>
      <c r="K536" s="31" t="n">
        <v>27350</v>
      </c>
      <c r="L536" s="30" t="s">
        <v>31</v>
      </c>
      <c r="M536" s="10" t="n">
        <v>2</v>
      </c>
      <c r="N536" s="12" t="n">
        <v>18115</v>
      </c>
      <c r="O536" s="13" t="n">
        <v>0.198865160663513</v>
      </c>
      <c r="P536" s="15" t="n">
        <v>0.216366051530887</v>
      </c>
      <c r="Q536" s="13" t="n">
        <v>-0.0273462800935327</v>
      </c>
      <c r="R536" s="15" t="n">
        <v>0.1318407960199</v>
      </c>
      <c r="S536" s="32" t="n">
        <v>129547440750</v>
      </c>
      <c r="T536" s="15" t="n">
        <v>0.0411899313501145</v>
      </c>
      <c r="U536" s="32" t="n">
        <v>22303452009.5</v>
      </c>
      <c r="V536" s="14" t="n">
        <v>5.11865856894557</v>
      </c>
      <c r="W536" s="13" t="n">
        <v>0.129032258064516</v>
      </c>
      <c r="X536" s="15" t="n">
        <v>0.0219780219780219</v>
      </c>
      <c r="Y536" s="13" t="n">
        <v>0.00515321471413932</v>
      </c>
      <c r="Z536" s="13" t="n">
        <v>0.00141099764729424</v>
      </c>
      <c r="AA536" s="30" t="s">
        <v>97</v>
      </c>
      <c r="AB536" s="28" t="s">
        <v>93</v>
      </c>
      <c r="AC536" s="28" t="s">
        <v>102</v>
      </c>
      <c r="AD536" s="28" t="s">
        <v>109</v>
      </c>
      <c r="AE536" s="28" t="s">
        <v>113</v>
      </c>
      <c r="AF536" s="28" t="s">
        <v>119</v>
      </c>
      <c r="AG536" s="30" t="s">
        <v>122</v>
      </c>
    </row>
    <row r="537" customFormat="false" ht="15" hidden="false" customHeight="false" outlineLevel="0" collapsed="false">
      <c r="A537" s="10" t="n">
        <v>2025</v>
      </c>
      <c r="B537" s="28" t="s">
        <v>71</v>
      </c>
      <c r="C537" s="29" t="n">
        <v>45904</v>
      </c>
      <c r="D537" s="30" t="s">
        <v>128</v>
      </c>
      <c r="E537" s="28" t="s">
        <v>839</v>
      </c>
      <c r="F537" s="30" t="s">
        <v>840</v>
      </c>
      <c r="G537" s="31" t="n">
        <v>10661</v>
      </c>
      <c r="H537" s="31" t="n">
        <v>9</v>
      </c>
      <c r="I537" s="31" t="n">
        <v>95946</v>
      </c>
      <c r="J537" s="29" t="n">
        <v>45908</v>
      </c>
      <c r="K537" s="31" t="n">
        <v>10140</v>
      </c>
      <c r="L537" s="30" t="s">
        <v>32</v>
      </c>
      <c r="M537" s="10" t="n">
        <v>2</v>
      </c>
      <c r="N537" s="12" t="n">
        <v>-4852</v>
      </c>
      <c r="O537" s="13" t="n">
        <v>-0.0505719491775828</v>
      </c>
      <c r="P537" s="15" t="n">
        <v>0.00931931917847417</v>
      </c>
      <c r="Q537" s="13" t="n">
        <v>-0.0525906018863765</v>
      </c>
      <c r="R537" s="15" t="n">
        <v>0.115183246073298</v>
      </c>
      <c r="S537" s="32" t="n">
        <v>26841631650</v>
      </c>
      <c r="T537" s="15" t="n">
        <v>0.0482283464566928</v>
      </c>
      <c r="U537" s="32" t="n">
        <v>5849689713</v>
      </c>
      <c r="V537" s="14" t="n">
        <v>4.12919620915711</v>
      </c>
      <c r="W537" s="13" t="n">
        <v>0.112852664576802</v>
      </c>
      <c r="X537" s="15" t="n">
        <v>0</v>
      </c>
      <c r="Y537" s="13" t="n">
        <v>0.00515321471413932</v>
      </c>
      <c r="Z537" s="13" t="n">
        <v>0.00141099764729424</v>
      </c>
      <c r="AA537" s="30" t="s">
        <v>97</v>
      </c>
      <c r="AB537" s="28" t="s">
        <v>93</v>
      </c>
      <c r="AC537" s="28" t="s">
        <v>102</v>
      </c>
      <c r="AD537" s="28" t="s">
        <v>106</v>
      </c>
      <c r="AE537" s="28" t="s">
        <v>113</v>
      </c>
      <c r="AF537" s="28" t="s">
        <v>118</v>
      </c>
      <c r="AG537" s="30" t="s">
        <v>122</v>
      </c>
    </row>
    <row r="538" customFormat="false" ht="15" hidden="false" customHeight="false" outlineLevel="0" collapsed="false">
      <c r="A538" s="10" t="n">
        <v>2025</v>
      </c>
      <c r="B538" s="28" t="s">
        <v>71</v>
      </c>
      <c r="C538" s="29" t="n">
        <v>45905</v>
      </c>
      <c r="D538" s="30" t="s">
        <v>129</v>
      </c>
      <c r="E538" s="28" t="s">
        <v>841</v>
      </c>
      <c r="F538" s="30" t="s">
        <v>842</v>
      </c>
      <c r="G538" s="31" t="n">
        <v>11592</v>
      </c>
      <c r="H538" s="31" t="n">
        <v>8</v>
      </c>
      <c r="I538" s="31" t="n">
        <v>92733</v>
      </c>
      <c r="J538" s="29" t="n">
        <v>45951</v>
      </c>
      <c r="K538" s="31" t="n">
        <v>11029</v>
      </c>
      <c r="L538" s="30" t="s">
        <v>32</v>
      </c>
      <c r="M538" s="10" t="n">
        <v>27</v>
      </c>
      <c r="N538" s="12" t="n">
        <v>-4660</v>
      </c>
      <c r="O538" s="13" t="n">
        <v>-0.0502568692965067</v>
      </c>
      <c r="P538" s="15" t="n">
        <v>0.117190236361221</v>
      </c>
      <c r="Q538" s="13" t="n">
        <v>-0.0501726253021588</v>
      </c>
      <c r="R538" s="15" t="n">
        <v>0.031166518254675</v>
      </c>
      <c r="S538" s="32" t="n">
        <v>39973546260</v>
      </c>
      <c r="T538" s="15" t="n">
        <v>0.00259740259740249</v>
      </c>
      <c r="U538" s="32" t="n">
        <v>5874001163</v>
      </c>
      <c r="V538" s="14" t="n">
        <v>6.54992367950458</v>
      </c>
      <c r="W538" s="13" t="n">
        <v>0.0339285714285715</v>
      </c>
      <c r="X538" s="15" t="n">
        <v>0.0293609671848014</v>
      </c>
      <c r="Y538" s="13" t="n">
        <v>0.0013402773655582</v>
      </c>
      <c r="Z538" s="13" t="n">
        <v>0.00599809793440698</v>
      </c>
      <c r="AA538" s="30" t="s">
        <v>97</v>
      </c>
      <c r="AB538" s="28" t="s">
        <v>93</v>
      </c>
      <c r="AC538" s="28" t="s">
        <v>100</v>
      </c>
      <c r="AD538" s="28" t="s">
        <v>107</v>
      </c>
      <c r="AE538" s="28" t="s">
        <v>112</v>
      </c>
      <c r="AF538" s="28" t="s">
        <v>119</v>
      </c>
      <c r="AG538" s="30" t="s">
        <v>122</v>
      </c>
    </row>
    <row r="539" customFormat="false" ht="15" hidden="false" customHeight="false" outlineLevel="0" collapsed="false">
      <c r="A539" s="10" t="n">
        <v>2025</v>
      </c>
      <c r="B539" s="28" t="s">
        <v>71</v>
      </c>
      <c r="C539" s="29" t="n">
        <v>45905</v>
      </c>
      <c r="D539" s="30" t="s">
        <v>129</v>
      </c>
      <c r="E539" s="28" t="s">
        <v>621</v>
      </c>
      <c r="F539" s="30" t="s">
        <v>622</v>
      </c>
      <c r="G539" s="31" t="n">
        <v>34835</v>
      </c>
      <c r="H539" s="31" t="n">
        <v>2</v>
      </c>
      <c r="I539" s="31" t="n">
        <v>69670</v>
      </c>
      <c r="J539" s="29" t="n">
        <v>45931</v>
      </c>
      <c r="K539" s="31" t="n">
        <v>33117</v>
      </c>
      <c r="L539" s="30" t="s">
        <v>32</v>
      </c>
      <c r="M539" s="10" t="n">
        <v>18</v>
      </c>
      <c r="N539" s="12" t="n">
        <v>-3556</v>
      </c>
      <c r="O539" s="13" t="n">
        <v>-0.0510356890953873</v>
      </c>
      <c r="P539" s="15" t="n">
        <v>0.0865571210398799</v>
      </c>
      <c r="Q539" s="13" t="n">
        <v>-0.0569775052533672</v>
      </c>
      <c r="R539" s="15" t="n">
        <v>0.0434782608695652</v>
      </c>
      <c r="S539" s="32" t="n">
        <v>35379768000</v>
      </c>
      <c r="T539" s="15" t="n">
        <v>0.0250368188512518</v>
      </c>
      <c r="U539" s="32" t="n">
        <v>15858650650</v>
      </c>
      <c r="V539" s="14" t="n">
        <v>2.0959950734859</v>
      </c>
      <c r="W539" s="13" t="n">
        <v>0.0372578241430701</v>
      </c>
      <c r="X539" s="15" t="n">
        <v>0.00574712643678166</v>
      </c>
      <c r="Y539" s="13" t="n">
        <v>0.0013402773655582</v>
      </c>
      <c r="Z539" s="13" t="n">
        <v>0.00599809793440698</v>
      </c>
      <c r="AA539" s="30" t="s">
        <v>97</v>
      </c>
      <c r="AB539" s="28" t="s">
        <v>93</v>
      </c>
      <c r="AC539" s="28" t="s">
        <v>100</v>
      </c>
      <c r="AD539" s="28" t="s">
        <v>107</v>
      </c>
      <c r="AE539" s="28" t="s">
        <v>113</v>
      </c>
      <c r="AF539" s="28" t="s">
        <v>117</v>
      </c>
      <c r="AG539" s="30" t="s">
        <v>122</v>
      </c>
    </row>
    <row r="540" customFormat="false" ht="15" hidden="false" customHeight="false" outlineLevel="0" collapsed="false">
      <c r="A540" s="10" t="n">
        <v>2025</v>
      </c>
      <c r="B540" s="28" t="s">
        <v>71</v>
      </c>
      <c r="C540" s="29" t="n">
        <v>45908</v>
      </c>
      <c r="D540" s="30" t="s">
        <v>125</v>
      </c>
      <c r="E540" s="28" t="s">
        <v>313</v>
      </c>
      <c r="F540" s="30" t="s">
        <v>314</v>
      </c>
      <c r="G540" s="31" t="n">
        <v>48999</v>
      </c>
      <c r="H540" s="31" t="n">
        <v>2</v>
      </c>
      <c r="I540" s="31" t="n">
        <v>97998</v>
      </c>
      <c r="J540" s="29" t="n">
        <v>45944</v>
      </c>
      <c r="K540" s="31" t="n">
        <v>58800</v>
      </c>
      <c r="L540" s="30" t="s">
        <v>31</v>
      </c>
      <c r="M540" s="10" t="n">
        <v>21</v>
      </c>
      <c r="N540" s="12" t="n">
        <v>19393</v>
      </c>
      <c r="O540" s="13" t="n">
        <v>0.197895672407266</v>
      </c>
      <c r="P540" s="15" t="n">
        <v>0.218393455369962</v>
      </c>
      <c r="Q540" s="13" t="n">
        <v>-0.0163054514433472</v>
      </c>
      <c r="R540" s="15" t="n">
        <v>0.0595238095238095</v>
      </c>
      <c r="S540" s="32" t="n">
        <v>38290745900</v>
      </c>
      <c r="T540" s="15" t="n">
        <v>0.0262054507337526</v>
      </c>
      <c r="U540" s="32" t="n">
        <v>19722144992.5</v>
      </c>
      <c r="V540" s="14" t="n">
        <v>1.8469908557375</v>
      </c>
      <c r="W540" s="13" t="n">
        <v>0.045940170940171</v>
      </c>
      <c r="X540" s="15" t="n">
        <v>0.00510725229826359</v>
      </c>
      <c r="Y540" s="13" t="n">
        <v>0.00451465155750808</v>
      </c>
      <c r="Z540" s="13" t="n">
        <v>0.024391252748232</v>
      </c>
      <c r="AA540" s="30" t="s">
        <v>97</v>
      </c>
      <c r="AB540" s="28" t="s">
        <v>93</v>
      </c>
      <c r="AC540" s="28" t="s">
        <v>101</v>
      </c>
      <c r="AD540" s="28" t="s">
        <v>107</v>
      </c>
      <c r="AE540" s="28" t="s">
        <v>113</v>
      </c>
      <c r="AF540" s="28" t="s">
        <v>116</v>
      </c>
      <c r="AG540" s="30" t="s">
        <v>122</v>
      </c>
    </row>
    <row r="541" customFormat="false" ht="15" hidden="false" customHeight="false" outlineLevel="0" collapsed="false">
      <c r="A541" s="10" t="n">
        <v>2025</v>
      </c>
      <c r="B541" s="28" t="s">
        <v>71</v>
      </c>
      <c r="C541" s="29" t="n">
        <v>45908</v>
      </c>
      <c r="D541" s="30" t="s">
        <v>125</v>
      </c>
      <c r="E541" s="28" t="s">
        <v>843</v>
      </c>
      <c r="F541" s="28" t="s">
        <v>844</v>
      </c>
      <c r="G541" s="31" t="n">
        <v>52452</v>
      </c>
      <c r="H541" s="31" t="n">
        <v>1</v>
      </c>
      <c r="I541" s="31" t="n">
        <v>52452</v>
      </c>
      <c r="J541" s="29" t="n">
        <v>45910</v>
      </c>
      <c r="K541" s="31" t="n">
        <v>49900</v>
      </c>
      <c r="L541" s="30" t="s">
        <v>32</v>
      </c>
      <c r="M541" s="10" t="n">
        <v>2</v>
      </c>
      <c r="N541" s="12" t="n">
        <v>-2643</v>
      </c>
      <c r="O541" s="13" t="n">
        <v>-0.050380019646384</v>
      </c>
      <c r="P541" s="15" t="n">
        <v>-0.00290549145510965</v>
      </c>
      <c r="Q541" s="13" t="n">
        <v>-0.0486612624017203</v>
      </c>
      <c r="R541" s="15" t="n">
        <v>0.103157894736842</v>
      </c>
      <c r="S541" s="32" t="n">
        <v>30793488800</v>
      </c>
      <c r="T541" s="15" t="n">
        <v>0.0928050052137643</v>
      </c>
      <c r="U541" s="32" t="n">
        <v>5816774065</v>
      </c>
      <c r="V541" s="14" t="n">
        <v>4.53210176410184</v>
      </c>
      <c r="W541" s="13" t="n">
        <v>0.110169491525424</v>
      </c>
      <c r="X541" s="15" t="n">
        <v>0.00190839694656497</v>
      </c>
      <c r="Y541" s="13" t="n">
        <v>0.00451465155750808</v>
      </c>
      <c r="Z541" s="13" t="n">
        <v>0.024391252748232</v>
      </c>
      <c r="AA541" s="30" t="s">
        <v>97</v>
      </c>
      <c r="AB541" s="28" t="s">
        <v>93</v>
      </c>
      <c r="AC541" s="28" t="s">
        <v>102</v>
      </c>
      <c r="AD541" s="28" t="s">
        <v>107</v>
      </c>
      <c r="AE541" s="28" t="s">
        <v>101</v>
      </c>
      <c r="AF541" s="28" t="s">
        <v>118</v>
      </c>
      <c r="AG541" s="30" t="s">
        <v>122</v>
      </c>
    </row>
    <row r="542" customFormat="false" ht="15" hidden="false" customHeight="false" outlineLevel="0" collapsed="false">
      <c r="A542" s="10" t="n">
        <v>2025</v>
      </c>
      <c r="B542" s="28" t="s">
        <v>71</v>
      </c>
      <c r="C542" s="29" t="n">
        <v>45910</v>
      </c>
      <c r="D542" s="30" t="s">
        <v>127</v>
      </c>
      <c r="E542" s="28" t="s">
        <v>327</v>
      </c>
      <c r="F542" s="30" t="s">
        <v>328</v>
      </c>
      <c r="G542" s="31" t="n">
        <v>72673</v>
      </c>
      <c r="H542" s="31" t="n">
        <v>1</v>
      </c>
      <c r="I542" s="31" t="n">
        <v>72673</v>
      </c>
      <c r="J542" s="29" t="n">
        <v>45932</v>
      </c>
      <c r="K542" s="31" t="n">
        <v>89300</v>
      </c>
      <c r="L542" s="30" t="s">
        <v>31</v>
      </c>
      <c r="M542" s="10" t="n">
        <v>16</v>
      </c>
      <c r="N542" s="12" t="n">
        <v>16469</v>
      </c>
      <c r="O542" s="13" t="n">
        <v>0.226621231523298</v>
      </c>
      <c r="P542" s="15" t="n">
        <v>0.242559093798763</v>
      </c>
      <c r="Q542" s="13" t="n">
        <v>-0.00787917316842923</v>
      </c>
      <c r="R542" s="15" t="n">
        <v>0.0153846153846153</v>
      </c>
      <c r="S542" s="32" t="n">
        <v>1592013819000</v>
      </c>
      <c r="T542" s="15" t="n">
        <v>0.00973574408901246</v>
      </c>
      <c r="U542" s="32" t="n">
        <v>877435436270</v>
      </c>
      <c r="V542" s="14" t="n">
        <v>1.75836273768693</v>
      </c>
      <c r="W542" s="13" t="n">
        <v>0.0111420612813371</v>
      </c>
      <c r="X542" s="15" t="n">
        <v>0.00275482093663904</v>
      </c>
      <c r="Y542" s="13" t="n">
        <v>0.0167114001318998</v>
      </c>
      <c r="Z542" s="13" t="n">
        <v>0.0408583038669523</v>
      </c>
      <c r="AA542" s="30" t="s">
        <v>97</v>
      </c>
      <c r="AB542" s="28" t="s">
        <v>93</v>
      </c>
      <c r="AC542" s="28" t="s">
        <v>99</v>
      </c>
      <c r="AD542" s="28" t="s">
        <v>110</v>
      </c>
      <c r="AE542" s="28" t="s">
        <v>112</v>
      </c>
      <c r="AF542" s="28" t="s">
        <v>116</v>
      </c>
      <c r="AG542" s="30" t="s">
        <v>122</v>
      </c>
    </row>
    <row r="543" customFormat="false" ht="15" hidden="false" customHeight="false" outlineLevel="0" collapsed="false">
      <c r="A543" s="10" t="n">
        <v>2025</v>
      </c>
      <c r="B543" s="28" t="s">
        <v>71</v>
      </c>
      <c r="C543" s="29" t="n">
        <v>45910</v>
      </c>
      <c r="D543" s="30" t="s">
        <v>127</v>
      </c>
      <c r="E543" s="28" t="s">
        <v>401</v>
      </c>
      <c r="F543" s="30" t="s">
        <v>402</v>
      </c>
      <c r="G543" s="31" t="n">
        <v>87187</v>
      </c>
      <c r="H543" s="31" t="n">
        <v>1</v>
      </c>
      <c r="I543" s="31" t="n">
        <v>87187</v>
      </c>
      <c r="J543" s="29"/>
      <c r="K543" s="31"/>
      <c r="L543" s="30" t="s">
        <v>33</v>
      </c>
      <c r="M543" s="10" t="n">
        <v>73</v>
      </c>
      <c r="N543" s="12" t="n">
        <v>45607</v>
      </c>
      <c r="O543" s="13" t="n">
        <v>0.526601985844236</v>
      </c>
      <c r="P543" s="15" t="n">
        <v>0.634416100546985</v>
      </c>
      <c r="Q543" s="13" t="n">
        <v>-0.0365547196775669</v>
      </c>
      <c r="R543" s="15" t="n">
        <v>0.0456182472989195</v>
      </c>
      <c r="S543" s="32" t="n">
        <v>109694611000</v>
      </c>
      <c r="T543" s="15" t="n">
        <v>0.00926998841251447</v>
      </c>
      <c r="U543" s="32" t="n">
        <v>57583814390</v>
      </c>
      <c r="V543" s="14" t="n">
        <v>1.81246255997151</v>
      </c>
      <c r="W543" s="13" t="n">
        <v>0.0381406436233611</v>
      </c>
      <c r="X543" s="15" t="n">
        <v>0.0183696900114811</v>
      </c>
      <c r="Y543" s="13" t="n">
        <v>0.0167114001318998</v>
      </c>
      <c r="Z543" s="13" t="n">
        <v>0.0408583038669523</v>
      </c>
      <c r="AA543" s="30" t="s">
        <v>97</v>
      </c>
      <c r="AB543" s="28" t="s">
        <v>93</v>
      </c>
      <c r="AC543" s="28" t="s">
        <v>100</v>
      </c>
      <c r="AD543" s="28" t="s">
        <v>109</v>
      </c>
      <c r="AE543" s="28" t="s">
        <v>112</v>
      </c>
      <c r="AF543" s="28" t="s">
        <v>116</v>
      </c>
      <c r="AG543" s="30" t="s">
        <v>122</v>
      </c>
    </row>
    <row r="544" customFormat="false" ht="15" hidden="false" customHeight="false" outlineLevel="0" collapsed="false">
      <c r="A544" s="10" t="n">
        <v>2025</v>
      </c>
      <c r="B544" s="28" t="s">
        <v>71</v>
      </c>
      <c r="C544" s="29" t="n">
        <v>45919</v>
      </c>
      <c r="D544" s="30" t="s">
        <v>129</v>
      </c>
      <c r="E544" s="28" t="s">
        <v>203</v>
      </c>
      <c r="F544" s="28" t="s">
        <v>204</v>
      </c>
      <c r="G544" s="31" t="n">
        <v>16206</v>
      </c>
      <c r="H544" s="31" t="n">
        <v>6</v>
      </c>
      <c r="I544" s="31" t="n">
        <v>97237</v>
      </c>
      <c r="J544" s="29" t="n">
        <v>45922</v>
      </c>
      <c r="K544" s="31" t="n">
        <v>15425</v>
      </c>
      <c r="L544" s="30" t="s">
        <v>32</v>
      </c>
      <c r="M544" s="10" t="n">
        <v>1</v>
      </c>
      <c r="N544" s="12" t="n">
        <v>-4857</v>
      </c>
      <c r="O544" s="13" t="n">
        <v>-0.0499507566244748</v>
      </c>
      <c r="P544" s="15" t="n">
        <v>-0.0244468317352813</v>
      </c>
      <c r="Q544" s="13" t="n">
        <v>-0.0738106859169243</v>
      </c>
      <c r="R544" s="15" t="n">
        <v>0.14822695035461</v>
      </c>
      <c r="S544" s="32" t="n">
        <v>107747380390</v>
      </c>
      <c r="T544" s="15" t="n">
        <v>0.14822695035461</v>
      </c>
      <c r="U544" s="32" t="n">
        <v>7302147090.5</v>
      </c>
      <c r="V544" s="14" t="n">
        <v>12.3595102684216</v>
      </c>
      <c r="W544" s="13" t="n">
        <v>0.129009762900976</v>
      </c>
      <c r="X544" s="15" t="n">
        <v>0</v>
      </c>
      <c r="Y544" s="13" t="n">
        <v>-0.00463987519140219</v>
      </c>
      <c r="Z544" s="13" t="n">
        <v>0.0146368471583311</v>
      </c>
      <c r="AA544" s="30" t="s">
        <v>97</v>
      </c>
      <c r="AB544" s="28" t="s">
        <v>93</v>
      </c>
      <c r="AC544" s="28" t="s">
        <v>102</v>
      </c>
      <c r="AD544" s="28" t="s">
        <v>109</v>
      </c>
      <c r="AE544" s="28" t="s">
        <v>114</v>
      </c>
      <c r="AF544" s="28" t="s">
        <v>120</v>
      </c>
      <c r="AG544" s="30" t="s">
        <v>122</v>
      </c>
    </row>
    <row r="545" customFormat="false" ht="15" hidden="false" customHeight="false" outlineLevel="0" collapsed="false">
      <c r="A545" s="10" t="n">
        <v>2025</v>
      </c>
      <c r="B545" s="28" t="s">
        <v>71</v>
      </c>
      <c r="C545" s="29" t="n">
        <v>45919</v>
      </c>
      <c r="D545" s="30" t="s">
        <v>129</v>
      </c>
      <c r="E545" s="28" t="s">
        <v>475</v>
      </c>
      <c r="F545" s="30" t="s">
        <v>476</v>
      </c>
      <c r="G545" s="31" t="n">
        <v>6326</v>
      </c>
      <c r="H545" s="31" t="n">
        <v>15</v>
      </c>
      <c r="I545" s="31" t="n">
        <v>94895</v>
      </c>
      <c r="J545" s="29" t="n">
        <v>45924</v>
      </c>
      <c r="K545" s="31" t="n">
        <v>6014</v>
      </c>
      <c r="L545" s="30" t="s">
        <v>32</v>
      </c>
      <c r="M545" s="10" t="n">
        <v>3</v>
      </c>
      <c r="N545" s="12" t="n">
        <v>-4848</v>
      </c>
      <c r="O545" s="13" t="n">
        <v>-0.0510900515623617</v>
      </c>
      <c r="P545" s="15" t="n">
        <v>0.0527447236307996</v>
      </c>
      <c r="Q545" s="13" t="n">
        <v>-0.067388307894637</v>
      </c>
      <c r="R545" s="15" t="n">
        <v>0.0877796901893289</v>
      </c>
      <c r="S545" s="32" t="n">
        <v>80026096240</v>
      </c>
      <c r="T545" s="15" t="n">
        <v>0.0360655737704918</v>
      </c>
      <c r="U545" s="32" t="n">
        <v>13362593566</v>
      </c>
      <c r="V545" s="14" t="n">
        <v>5.595688480516</v>
      </c>
      <c r="W545" s="13" t="n">
        <v>0.0859106529209621</v>
      </c>
      <c r="X545" s="15" t="n">
        <v>0.0221518987341771</v>
      </c>
      <c r="Y545" s="13" t="n">
        <v>-0.00463987519140219</v>
      </c>
      <c r="Z545" s="13" t="n">
        <v>0.0146368471583311</v>
      </c>
      <c r="AA545" s="30" t="s">
        <v>97</v>
      </c>
      <c r="AB545" s="28" t="s">
        <v>93</v>
      </c>
      <c r="AC545" s="28" t="s">
        <v>101</v>
      </c>
      <c r="AD545" s="28" t="s">
        <v>108</v>
      </c>
      <c r="AE545" s="28" t="s">
        <v>113</v>
      </c>
      <c r="AF545" s="28" t="s">
        <v>119</v>
      </c>
      <c r="AG545" s="30" t="s">
        <v>122</v>
      </c>
    </row>
    <row r="546" customFormat="false" ht="15" hidden="false" customHeight="false" outlineLevel="0" collapsed="false">
      <c r="A546" s="10" t="n">
        <v>2025</v>
      </c>
      <c r="B546" s="28" t="s">
        <v>71</v>
      </c>
      <c r="C546" s="29" t="n">
        <v>45923</v>
      </c>
      <c r="D546" s="30" t="s">
        <v>126</v>
      </c>
      <c r="E546" s="28" t="s">
        <v>449</v>
      </c>
      <c r="F546" s="30" t="s">
        <v>450</v>
      </c>
      <c r="G546" s="31" t="n">
        <v>51251</v>
      </c>
      <c r="H546" s="31" t="n">
        <v>1</v>
      </c>
      <c r="I546" s="31" t="n">
        <v>51251</v>
      </c>
      <c r="J546" s="29" t="n">
        <v>45924</v>
      </c>
      <c r="K546" s="31" t="n">
        <v>48751</v>
      </c>
      <c r="L546" s="30" t="s">
        <v>32</v>
      </c>
      <c r="M546" s="10" t="n">
        <v>1</v>
      </c>
      <c r="N546" s="12" t="n">
        <v>-2588</v>
      </c>
      <c r="O546" s="13" t="n">
        <v>-0.0504988597340159</v>
      </c>
      <c r="P546" s="15" t="n">
        <v>0.00875686813186816</v>
      </c>
      <c r="Q546" s="13" t="n">
        <v>-0.0478271728271728</v>
      </c>
      <c r="R546" s="15" t="n">
        <v>0.12280701754386</v>
      </c>
      <c r="S546" s="32" t="n">
        <v>73967257600</v>
      </c>
      <c r="T546" s="15" t="n">
        <v>0.0655567117585849</v>
      </c>
      <c r="U546" s="32" t="n">
        <v>10024497885</v>
      </c>
      <c r="V546" s="14" t="n">
        <v>6.53335012641163</v>
      </c>
      <c r="W546" s="13" t="n">
        <v>0.12157721796276</v>
      </c>
      <c r="X546" s="15" t="n">
        <v>0.015625</v>
      </c>
      <c r="Y546" s="13" t="n">
        <v>0.00505672235595989</v>
      </c>
      <c r="Z546" s="13" t="n">
        <v>0.0106011676648443</v>
      </c>
      <c r="AA546" s="30" t="s">
        <v>97</v>
      </c>
      <c r="AB546" s="28" t="s">
        <v>93</v>
      </c>
      <c r="AC546" s="28" t="s">
        <v>102</v>
      </c>
      <c r="AD546" s="28" t="s">
        <v>108</v>
      </c>
      <c r="AE546" s="28" t="s">
        <v>101</v>
      </c>
      <c r="AF546" s="28" t="s">
        <v>119</v>
      </c>
      <c r="AG546" s="30" t="s">
        <v>122</v>
      </c>
    </row>
    <row r="547" customFormat="false" ht="15" hidden="false" customHeight="false" outlineLevel="0" collapsed="false">
      <c r="A547" s="10" t="n">
        <v>2025</v>
      </c>
      <c r="B547" s="28" t="s">
        <v>71</v>
      </c>
      <c r="C547" s="29" t="n">
        <v>45924</v>
      </c>
      <c r="D547" s="30" t="s">
        <v>127</v>
      </c>
      <c r="E547" s="28" t="s">
        <v>477</v>
      </c>
      <c r="F547" s="30" t="s">
        <v>478</v>
      </c>
      <c r="G547" s="31" t="n">
        <v>65966</v>
      </c>
      <c r="H547" s="31" t="n">
        <v>1</v>
      </c>
      <c r="I547" s="31" t="n">
        <v>65966</v>
      </c>
      <c r="J547" s="29" t="n">
        <v>45926</v>
      </c>
      <c r="K547" s="31" t="n">
        <v>62737</v>
      </c>
      <c r="L547" s="30" t="s">
        <v>32</v>
      </c>
      <c r="M547" s="10" t="n">
        <v>2</v>
      </c>
      <c r="N547" s="12" t="n">
        <v>-3342</v>
      </c>
      <c r="O547" s="13" t="n">
        <v>-0.0506642259864565</v>
      </c>
      <c r="P547" s="15" t="n">
        <v>0.0156762812301508</v>
      </c>
      <c r="Q547" s="13" t="n">
        <v>-0.0586045214269796</v>
      </c>
      <c r="R547" s="15" t="n">
        <v>0.0443740095087164</v>
      </c>
      <c r="S547" s="32" t="n">
        <v>798319255900</v>
      </c>
      <c r="T547" s="15" t="n">
        <v>0.0410742496050554</v>
      </c>
      <c r="U547" s="32" t="n">
        <v>317391116865</v>
      </c>
      <c r="V547" s="14" t="n">
        <v>2.35630853753256</v>
      </c>
      <c r="W547" s="13" t="n">
        <v>0.0394321766561514</v>
      </c>
      <c r="X547" s="15" t="n">
        <v>0.00758725341426403</v>
      </c>
      <c r="Y547" s="13" t="n">
        <v>-0.00403018768340224</v>
      </c>
      <c r="Z547" s="13" t="n">
        <v>0.0172086482685885</v>
      </c>
      <c r="AA547" s="30" t="s">
        <v>97</v>
      </c>
      <c r="AB547" s="28" t="s">
        <v>93</v>
      </c>
      <c r="AC547" s="28" t="s">
        <v>100</v>
      </c>
      <c r="AD547" s="28" t="s">
        <v>110</v>
      </c>
      <c r="AE547" s="28" t="s">
        <v>113</v>
      </c>
      <c r="AF547" s="28" t="s">
        <v>117</v>
      </c>
      <c r="AG547" s="30" t="s">
        <v>122</v>
      </c>
    </row>
    <row r="548" customFormat="false" ht="15" hidden="false" customHeight="false" outlineLevel="0" collapsed="false">
      <c r="A548" s="10" t="n">
        <v>2025</v>
      </c>
      <c r="B548" s="28" t="s">
        <v>71</v>
      </c>
      <c r="C548" s="29" t="n">
        <v>45925</v>
      </c>
      <c r="D548" s="30" t="s">
        <v>128</v>
      </c>
      <c r="E548" s="28" t="s">
        <v>261</v>
      </c>
      <c r="F548" s="28" t="s">
        <v>262</v>
      </c>
      <c r="G548" s="31" t="n">
        <v>61261</v>
      </c>
      <c r="H548" s="31" t="n">
        <v>1</v>
      </c>
      <c r="I548" s="31" t="n">
        <v>61261</v>
      </c>
      <c r="J548" s="29" t="n">
        <v>45953</v>
      </c>
      <c r="K548" s="31" t="n">
        <v>74200</v>
      </c>
      <c r="L548" s="30" t="s">
        <v>31</v>
      </c>
      <c r="M548" s="10" t="n">
        <v>15</v>
      </c>
      <c r="N548" s="12" t="n">
        <v>12807</v>
      </c>
      <c r="O548" s="13" t="n">
        <v>0.209058601855661</v>
      </c>
      <c r="P548" s="15" t="n">
        <v>0.221001221001221</v>
      </c>
      <c r="Q548" s="13" t="n">
        <v>-0.0140578375872492</v>
      </c>
      <c r="R548" s="15" t="n">
        <v>0.0234113712374582</v>
      </c>
      <c r="S548" s="32" t="n">
        <v>22288917600</v>
      </c>
      <c r="T548" s="15" t="n">
        <v>0.00492610837438434</v>
      </c>
      <c r="U548" s="32" t="n">
        <v>12008483750</v>
      </c>
      <c r="V548" s="14" t="n">
        <v>1.80211465114392</v>
      </c>
      <c r="W548" s="13" t="n">
        <v>0.0149253731343284</v>
      </c>
      <c r="X548" s="15" t="n">
        <v>0.00163398692810457</v>
      </c>
      <c r="Y548" s="13" t="n">
        <v>-0.000296647024601415</v>
      </c>
      <c r="Z548" s="13" t="n">
        <v>0.00283419524456119</v>
      </c>
      <c r="AA548" s="30" t="s">
        <v>97</v>
      </c>
      <c r="AB548" s="28" t="s">
        <v>93</v>
      </c>
      <c r="AC548" s="28" t="s">
        <v>99</v>
      </c>
      <c r="AD548" s="28" t="s">
        <v>106</v>
      </c>
      <c r="AE548" s="28" t="s">
        <v>112</v>
      </c>
      <c r="AF548" s="28" t="s">
        <v>116</v>
      </c>
      <c r="AG548" s="30" t="s">
        <v>122</v>
      </c>
    </row>
    <row r="549" customFormat="false" ht="15" hidden="false" customHeight="false" outlineLevel="0" collapsed="false">
      <c r="A549" s="10" t="n">
        <v>2025</v>
      </c>
      <c r="B549" s="28" t="s">
        <v>71</v>
      </c>
      <c r="C549" s="29" t="n">
        <v>45926</v>
      </c>
      <c r="D549" s="30" t="s">
        <v>129</v>
      </c>
      <c r="E549" s="28" t="s">
        <v>375</v>
      </c>
      <c r="F549" s="30" t="s">
        <v>376</v>
      </c>
      <c r="G549" s="31" t="n">
        <v>15475</v>
      </c>
      <c r="H549" s="31" t="n">
        <v>6</v>
      </c>
      <c r="I549" s="31" t="n">
        <v>92853</v>
      </c>
      <c r="J549" s="29" t="n">
        <v>45930</v>
      </c>
      <c r="K549" s="31" t="n">
        <v>14725</v>
      </c>
      <c r="L549" s="30" t="s">
        <v>32</v>
      </c>
      <c r="M549" s="10" t="n">
        <v>2</v>
      </c>
      <c r="N549" s="12" t="n">
        <v>-4661</v>
      </c>
      <c r="O549" s="13" t="n">
        <v>-0.050196763004137</v>
      </c>
      <c r="P549" s="15" t="n">
        <v>0.0209712667668685</v>
      </c>
      <c r="Q549" s="13" t="n">
        <v>-0.0740178321032137</v>
      </c>
      <c r="R549" s="15" t="n">
        <v>0.0902679830747533</v>
      </c>
      <c r="S549" s="32" t="n">
        <v>181215905080</v>
      </c>
      <c r="T549" s="15" t="n">
        <v>0.051700680272109</v>
      </c>
      <c r="U549" s="32" t="n">
        <v>3802558809</v>
      </c>
      <c r="V549" s="14" t="n">
        <v>43.4072489110784</v>
      </c>
      <c r="W549" s="13" t="n">
        <v>0.0910374029640084</v>
      </c>
      <c r="X549" s="15" t="n">
        <v>0.110608020698577</v>
      </c>
      <c r="Y549" s="13" t="n">
        <v>-0.024505129483076</v>
      </c>
      <c r="Z549" s="13" t="n">
        <v>-0.0171802254705041</v>
      </c>
      <c r="AA549" s="30" t="s">
        <v>97</v>
      </c>
      <c r="AB549" s="28" t="s">
        <v>94</v>
      </c>
      <c r="AC549" s="28" t="s">
        <v>101</v>
      </c>
      <c r="AD549" s="28" t="s">
        <v>109</v>
      </c>
      <c r="AE549" s="28" t="s">
        <v>101</v>
      </c>
      <c r="AF549" s="28" t="s">
        <v>120</v>
      </c>
      <c r="AG549" s="30" t="s">
        <v>122</v>
      </c>
    </row>
    <row r="550" customFormat="false" ht="15" hidden="false" customHeight="false" outlineLevel="0" collapsed="false">
      <c r="A550" s="10" t="n">
        <v>2025</v>
      </c>
      <c r="B550" s="28" t="s">
        <v>71</v>
      </c>
      <c r="C550" s="29" t="n">
        <v>45930</v>
      </c>
      <c r="D550" s="30" t="s">
        <v>126</v>
      </c>
      <c r="E550" s="28" t="s">
        <v>845</v>
      </c>
      <c r="F550" s="28" t="s">
        <v>846</v>
      </c>
      <c r="G550" s="31" t="n">
        <v>61762</v>
      </c>
      <c r="H550" s="31" t="n">
        <v>1</v>
      </c>
      <c r="I550" s="31" t="n">
        <v>61762</v>
      </c>
      <c r="J550" s="29" t="n">
        <v>45931</v>
      </c>
      <c r="K550" s="31" t="n">
        <v>58741</v>
      </c>
      <c r="L550" s="30" t="s">
        <v>32</v>
      </c>
      <c r="M550" s="10" t="n">
        <v>1</v>
      </c>
      <c r="N550" s="12" t="n">
        <v>-3127</v>
      </c>
      <c r="O550" s="13" t="n">
        <v>-0.0506250189842572</v>
      </c>
      <c r="P550" s="15" t="n">
        <v>0.0232878952489974</v>
      </c>
      <c r="Q550" s="13" t="n">
        <v>-0.0495727934949976</v>
      </c>
      <c r="R550" s="15" t="n">
        <v>0.0843585237258349</v>
      </c>
      <c r="S550" s="32" t="n">
        <v>22348048500</v>
      </c>
      <c r="T550" s="15" t="n">
        <v>0.0843585237258349</v>
      </c>
      <c r="U550" s="32" t="n">
        <v>9308999995</v>
      </c>
      <c r="V550" s="14" t="n">
        <v>2.12726657653414</v>
      </c>
      <c r="W550" s="13" t="n">
        <v>0.0843585237258349</v>
      </c>
      <c r="X550" s="15" t="n">
        <v>0.00486223662884933</v>
      </c>
      <c r="Y550" s="13" t="n">
        <v>-0.00192643411507898</v>
      </c>
      <c r="Z550" s="13" t="n">
        <v>-0.0176668512043234</v>
      </c>
      <c r="AA550" s="30" t="s">
        <v>97</v>
      </c>
      <c r="AB550" s="28" t="s">
        <v>94</v>
      </c>
      <c r="AC550" s="28" t="s">
        <v>101</v>
      </c>
      <c r="AD550" s="28" t="s">
        <v>106</v>
      </c>
      <c r="AE550" s="28" t="s">
        <v>101</v>
      </c>
      <c r="AF550" s="28" t="s">
        <v>117</v>
      </c>
      <c r="AG550" s="30" t="s">
        <v>122</v>
      </c>
    </row>
    <row r="551" customFormat="false" ht="15" hidden="false" customHeight="false" outlineLevel="0" collapsed="false">
      <c r="A551" s="10" t="n">
        <v>2025</v>
      </c>
      <c r="B551" s="28" t="s">
        <v>72</v>
      </c>
      <c r="C551" s="29" t="n">
        <v>45931</v>
      </c>
      <c r="D551" s="30" t="s">
        <v>127</v>
      </c>
      <c r="E551" s="28" t="s">
        <v>489</v>
      </c>
      <c r="F551" s="30" t="s">
        <v>490</v>
      </c>
      <c r="G551" s="31" t="n">
        <v>49600</v>
      </c>
      <c r="H551" s="31" t="n">
        <v>2</v>
      </c>
      <c r="I551" s="31" t="n">
        <v>99199</v>
      </c>
      <c r="J551" s="29" t="n">
        <v>45940</v>
      </c>
      <c r="K551" s="31" t="n">
        <v>47203</v>
      </c>
      <c r="L551" s="30" t="s">
        <v>32</v>
      </c>
      <c r="M551" s="10" t="n">
        <v>2</v>
      </c>
      <c r="N551" s="12" t="n">
        <v>-4964</v>
      </c>
      <c r="O551" s="13" t="n">
        <v>-0.0500432860782002</v>
      </c>
      <c r="P551" s="15" t="n">
        <v>-0.00200707466095951</v>
      </c>
      <c r="Q551" s="13" t="n">
        <v>-0.0524107577588909</v>
      </c>
      <c r="R551" s="15" t="n">
        <v>0.103563474387528</v>
      </c>
      <c r="S551" s="32" t="n">
        <v>426366056200</v>
      </c>
      <c r="T551" s="15" t="n">
        <v>0.0748373101952278</v>
      </c>
      <c r="U551" s="32" t="n">
        <v>74283431405</v>
      </c>
      <c r="V551" s="14" t="n">
        <v>5.13138402977656</v>
      </c>
      <c r="W551" s="13" t="n">
        <v>0.081877729257642</v>
      </c>
      <c r="X551" s="15" t="n">
        <v>0.0272452068617559</v>
      </c>
      <c r="Y551" s="13" t="n">
        <v>0.0091193132044618</v>
      </c>
      <c r="Z551" s="13" t="n">
        <v>-0.00469739123422441</v>
      </c>
      <c r="AA551" s="30" t="s">
        <v>97</v>
      </c>
      <c r="AB551" s="28" t="s">
        <v>94</v>
      </c>
      <c r="AC551" s="28" t="s">
        <v>102</v>
      </c>
      <c r="AD551" s="28" t="s">
        <v>110</v>
      </c>
      <c r="AE551" s="28" t="s">
        <v>101</v>
      </c>
      <c r="AF551" s="28" t="s">
        <v>119</v>
      </c>
      <c r="AG551" s="30" t="s">
        <v>122</v>
      </c>
    </row>
    <row r="552" customFormat="false" ht="15" hidden="false" customHeight="false" outlineLevel="0" collapsed="false">
      <c r="A552" s="10" t="n">
        <v>2025</v>
      </c>
      <c r="B552" s="28" t="s">
        <v>72</v>
      </c>
      <c r="C552" s="29" t="n">
        <v>45931</v>
      </c>
      <c r="D552" s="30" t="s">
        <v>127</v>
      </c>
      <c r="E552" s="28" t="s">
        <v>545</v>
      </c>
      <c r="F552" s="30" t="s">
        <v>546</v>
      </c>
      <c r="G552" s="31" t="n">
        <v>47447</v>
      </c>
      <c r="H552" s="31" t="n">
        <v>2</v>
      </c>
      <c r="I552" s="31" t="n">
        <v>94895</v>
      </c>
      <c r="J552" s="29" t="n">
        <v>45940</v>
      </c>
      <c r="K552" s="31" t="n">
        <v>45155</v>
      </c>
      <c r="L552" s="30" t="s">
        <v>32</v>
      </c>
      <c r="M552" s="10" t="n">
        <v>2</v>
      </c>
      <c r="N552" s="12" t="n">
        <v>-4748</v>
      </c>
      <c r="O552" s="13" t="n">
        <v>-0.0500390438675247</v>
      </c>
      <c r="P552" s="15" t="n">
        <v>0.00532379013391693</v>
      </c>
      <c r="Q552" s="13" t="n">
        <v>-0.0473661359737307</v>
      </c>
      <c r="R552" s="15" t="n">
        <v>0.034934497816594</v>
      </c>
      <c r="S552" s="32" t="n">
        <v>52452081600</v>
      </c>
      <c r="T552" s="15" t="n">
        <v>0.0248648648648648</v>
      </c>
      <c r="U552" s="32" t="n">
        <v>25966724117.5</v>
      </c>
      <c r="V552" s="14" t="n">
        <v>1.87507365650326</v>
      </c>
      <c r="W552" s="13" t="n">
        <v>0.00743889479277371</v>
      </c>
      <c r="X552" s="15" t="n">
        <v>0.010548523206751</v>
      </c>
      <c r="Y552" s="13" t="n">
        <v>0.0091193132044618</v>
      </c>
      <c r="Z552" s="13" t="n">
        <v>-0.00469739123422441</v>
      </c>
      <c r="AA552" s="30" t="s">
        <v>97</v>
      </c>
      <c r="AB552" s="28" t="s">
        <v>94</v>
      </c>
      <c r="AC552" s="28" t="s">
        <v>100</v>
      </c>
      <c r="AD552" s="28" t="s">
        <v>108</v>
      </c>
      <c r="AE552" s="28" t="s">
        <v>113</v>
      </c>
      <c r="AF552" s="28" t="s">
        <v>116</v>
      </c>
      <c r="AG552" s="30" t="s">
        <v>122</v>
      </c>
    </row>
    <row r="553" customFormat="false" ht="15" hidden="false" customHeight="false" outlineLevel="0" collapsed="false">
      <c r="A553" s="10" t="n">
        <v>2025</v>
      </c>
      <c r="B553" s="28" t="s">
        <v>72</v>
      </c>
      <c r="C553" s="29" t="n">
        <v>45940</v>
      </c>
      <c r="D553" s="30" t="s">
        <v>129</v>
      </c>
      <c r="E553" s="28" t="s">
        <v>807</v>
      </c>
      <c r="F553" s="30" t="s">
        <v>808</v>
      </c>
      <c r="G553" s="31" t="n">
        <v>54054</v>
      </c>
      <c r="H553" s="31" t="n">
        <v>1</v>
      </c>
      <c r="I553" s="31" t="n">
        <v>54054</v>
      </c>
      <c r="J553" s="29" t="n">
        <v>45947</v>
      </c>
      <c r="K553" s="31" t="n">
        <v>50949</v>
      </c>
      <c r="L553" s="30" t="s">
        <v>32</v>
      </c>
      <c r="M553" s="10" t="n">
        <v>5</v>
      </c>
      <c r="N553" s="12" t="n">
        <v>-3197</v>
      </c>
      <c r="O553" s="13" t="n">
        <v>-0.0591477772227772</v>
      </c>
      <c r="P553" s="15" t="n">
        <v>0.145151145151145</v>
      </c>
      <c r="Q553" s="13" t="n">
        <v>-0.0620490620490619</v>
      </c>
      <c r="R553" s="15" t="n">
        <v>0.122661122661123</v>
      </c>
      <c r="S553" s="32" t="n">
        <v>116352180000</v>
      </c>
      <c r="T553" s="15" t="n">
        <v>0.005586592178771</v>
      </c>
      <c r="U553" s="32" t="n">
        <v>52808195815</v>
      </c>
      <c r="V553" s="14" t="n">
        <v>1.98649428753935</v>
      </c>
      <c r="W553" s="13" t="n">
        <v>0.10655737704918</v>
      </c>
      <c r="X553" s="15" t="n">
        <v>0.00740740740740731</v>
      </c>
      <c r="Y553" s="13" t="n">
        <v>0.0172968068950554</v>
      </c>
      <c r="Z553" s="13" t="n">
        <v>0.0663162091522569</v>
      </c>
      <c r="AA553" s="30" t="s">
        <v>97</v>
      </c>
      <c r="AB553" s="28" t="s">
        <v>93</v>
      </c>
      <c r="AC553" s="28" t="s">
        <v>102</v>
      </c>
      <c r="AD553" s="28" t="s">
        <v>109</v>
      </c>
      <c r="AE553" s="28" t="s">
        <v>112</v>
      </c>
      <c r="AF553" s="28" t="s">
        <v>116</v>
      </c>
      <c r="AG553" s="30" t="s">
        <v>122</v>
      </c>
    </row>
    <row r="554" customFormat="false" ht="15" hidden="false" customHeight="false" outlineLevel="0" collapsed="false">
      <c r="A554" s="10" t="n">
        <v>2025</v>
      </c>
      <c r="B554" s="28" t="s">
        <v>72</v>
      </c>
      <c r="C554" s="29" t="n">
        <v>45940</v>
      </c>
      <c r="D554" s="30" t="s">
        <v>129</v>
      </c>
      <c r="E554" s="28" t="s">
        <v>209</v>
      </c>
      <c r="F554" s="30" t="s">
        <v>210</v>
      </c>
      <c r="G554" s="31" t="n">
        <v>39139</v>
      </c>
      <c r="H554" s="31" t="n">
        <v>2</v>
      </c>
      <c r="I554" s="31" t="n">
        <v>78278</v>
      </c>
      <c r="J554" s="29" t="n">
        <v>45954</v>
      </c>
      <c r="K554" s="31" t="n">
        <v>47000</v>
      </c>
      <c r="L554" s="30" t="s">
        <v>31</v>
      </c>
      <c r="M554" s="10" t="n">
        <v>10</v>
      </c>
      <c r="N554" s="12" t="n">
        <v>15555</v>
      </c>
      <c r="O554" s="13" t="n">
        <v>0.198713796050497</v>
      </c>
      <c r="P554" s="15" t="n">
        <v>0.331149668745577</v>
      </c>
      <c r="Q554" s="13" t="n">
        <v>-0.0354913628570918</v>
      </c>
      <c r="R554" s="15" t="n">
        <v>0.0610583446404343</v>
      </c>
      <c r="S554" s="32" t="n">
        <v>69213686100</v>
      </c>
      <c r="T554" s="15" t="n">
        <v>0.00256410256410256</v>
      </c>
      <c r="U554" s="32" t="n">
        <v>28534694910</v>
      </c>
      <c r="V554" s="14" t="n">
        <v>2.2758799444019</v>
      </c>
      <c r="W554" s="13" t="n">
        <v>0.0398936170212767</v>
      </c>
      <c r="X554" s="15" t="n">
        <v>0.0140664961636829</v>
      </c>
      <c r="Y554" s="13" t="n">
        <v>0.0172968068950554</v>
      </c>
      <c r="Z554" s="13" t="n">
        <v>0.0663162091522569</v>
      </c>
      <c r="AA554" s="30" t="s">
        <v>97</v>
      </c>
      <c r="AB554" s="28" t="s">
        <v>93</v>
      </c>
      <c r="AC554" s="28" t="s">
        <v>101</v>
      </c>
      <c r="AD554" s="28" t="s">
        <v>108</v>
      </c>
      <c r="AE554" s="28" t="s">
        <v>112</v>
      </c>
      <c r="AF554" s="28" t="s">
        <v>117</v>
      </c>
      <c r="AG554" s="30" t="s">
        <v>122</v>
      </c>
    </row>
    <row r="555" customFormat="false" ht="15" hidden="false" customHeight="false" outlineLevel="0" collapsed="false">
      <c r="A555" s="10" t="n">
        <v>2025</v>
      </c>
      <c r="B555" s="28" t="s">
        <v>72</v>
      </c>
      <c r="C555" s="29" t="n">
        <v>45940</v>
      </c>
      <c r="D555" s="30" t="s">
        <v>129</v>
      </c>
      <c r="E555" s="28" t="s">
        <v>847</v>
      </c>
      <c r="F555" s="30" t="s">
        <v>848</v>
      </c>
      <c r="G555" s="31" t="n">
        <v>2757</v>
      </c>
      <c r="H555" s="31" t="n">
        <v>36</v>
      </c>
      <c r="I555" s="31" t="n">
        <v>99238</v>
      </c>
      <c r="J555" s="29" t="n">
        <v>45943</v>
      </c>
      <c r="K555" s="31" t="n">
        <v>3310</v>
      </c>
      <c r="L555" s="30" t="s">
        <v>31</v>
      </c>
      <c r="M555" s="10" t="n">
        <v>1</v>
      </c>
      <c r="N555" s="12" t="n">
        <v>19711</v>
      </c>
      <c r="O555" s="13" t="n">
        <v>0.19862362721408</v>
      </c>
      <c r="P555" s="15" t="n">
        <v>0.20514406228692</v>
      </c>
      <c r="Q555" s="13" t="n">
        <v>-0.0256656923323588</v>
      </c>
      <c r="R555" s="15" t="n">
        <v>0.120553359683794</v>
      </c>
      <c r="S555" s="32" t="n">
        <v>31956468705</v>
      </c>
      <c r="T555" s="15" t="n">
        <v>0.00710479573712264</v>
      </c>
      <c r="U555" s="32" t="n">
        <v>6241617855.75</v>
      </c>
      <c r="V555" s="14" t="n">
        <v>4.6234279152821</v>
      </c>
      <c r="W555" s="13" t="n">
        <v>0.0657894736842104</v>
      </c>
      <c r="X555" s="15" t="n">
        <v>0.0934744268077603</v>
      </c>
      <c r="Y555" s="13" t="n">
        <v>0.0172968068950554</v>
      </c>
      <c r="Z555" s="13" t="n">
        <v>0.0663162091522569</v>
      </c>
      <c r="AA555" s="30" t="s">
        <v>97</v>
      </c>
      <c r="AB555" s="28" t="s">
        <v>93</v>
      </c>
      <c r="AC555" s="28" t="s">
        <v>102</v>
      </c>
      <c r="AD555" s="28" t="s">
        <v>107</v>
      </c>
      <c r="AE555" s="28" t="s">
        <v>112</v>
      </c>
      <c r="AF555" s="28" t="s">
        <v>118</v>
      </c>
      <c r="AG555" s="30" t="s">
        <v>122</v>
      </c>
    </row>
    <row r="556" customFormat="false" ht="15" hidden="false" customHeight="false" outlineLevel="0" collapsed="false">
      <c r="A556" s="10" t="n">
        <v>2025</v>
      </c>
      <c r="B556" s="28" t="s">
        <v>72</v>
      </c>
      <c r="C556" s="29" t="n">
        <v>45940</v>
      </c>
      <c r="D556" s="30" t="s">
        <v>129</v>
      </c>
      <c r="E556" s="28" t="s">
        <v>481</v>
      </c>
      <c r="F556" s="30" t="s">
        <v>482</v>
      </c>
      <c r="G556" s="31" t="n">
        <v>57157</v>
      </c>
      <c r="H556" s="31" t="n">
        <v>1</v>
      </c>
      <c r="I556" s="31" t="n">
        <v>57157</v>
      </c>
      <c r="J556" s="29" t="n">
        <v>45980</v>
      </c>
      <c r="K556" s="31" t="n">
        <v>54346</v>
      </c>
      <c r="L556" s="30" t="s">
        <v>32</v>
      </c>
      <c r="M556" s="10" t="n">
        <v>28</v>
      </c>
      <c r="N556" s="12" t="n">
        <v>-2910</v>
      </c>
      <c r="O556" s="13" t="n">
        <v>-0.050907827811418</v>
      </c>
      <c r="P556" s="15" t="n">
        <v>0.15821131582953</v>
      </c>
      <c r="Q556" s="13" t="n">
        <v>-0.0517363547135875</v>
      </c>
      <c r="R556" s="15" t="n">
        <v>0.0196428571428571</v>
      </c>
      <c r="S556" s="32" t="n">
        <v>25180129300</v>
      </c>
      <c r="T556" s="15" t="n">
        <v>0.0160142348754448</v>
      </c>
      <c r="U556" s="32" t="n">
        <v>12551781355</v>
      </c>
      <c r="V556" s="14" t="n">
        <v>1.92384885817786</v>
      </c>
      <c r="W556" s="13" t="n">
        <v>0.0251346499102334</v>
      </c>
      <c r="X556" s="15" t="n">
        <v>0.00700525394045526</v>
      </c>
      <c r="Y556" s="13" t="n">
        <v>0.0172968068950554</v>
      </c>
      <c r="Z556" s="13" t="n">
        <v>0.0663162091522569</v>
      </c>
      <c r="AA556" s="30" t="s">
        <v>97</v>
      </c>
      <c r="AB556" s="28" t="s">
        <v>93</v>
      </c>
      <c r="AC556" s="28" t="s">
        <v>99</v>
      </c>
      <c r="AD556" s="28" t="s">
        <v>106</v>
      </c>
      <c r="AE556" s="28" t="s">
        <v>112</v>
      </c>
      <c r="AF556" s="28" t="s">
        <v>116</v>
      </c>
      <c r="AG556" s="30" t="s">
        <v>122</v>
      </c>
    </row>
    <row r="557" customFormat="false" ht="15" hidden="false" customHeight="false" outlineLevel="0" collapsed="false">
      <c r="A557" s="10" t="n">
        <v>2025</v>
      </c>
      <c r="B557" s="28" t="s">
        <v>72</v>
      </c>
      <c r="C557" s="29" t="n">
        <v>45943</v>
      </c>
      <c r="D557" s="30" t="s">
        <v>125</v>
      </c>
      <c r="E557" s="28" t="s">
        <v>227</v>
      </c>
      <c r="F557" s="30" t="s">
        <v>228</v>
      </c>
      <c r="G557" s="31" t="n">
        <v>18158</v>
      </c>
      <c r="H557" s="31" t="n">
        <v>5</v>
      </c>
      <c r="I557" s="31" t="n">
        <v>90791</v>
      </c>
      <c r="J557" s="29" t="n">
        <v>45944</v>
      </c>
      <c r="K557" s="31" t="n">
        <v>17283</v>
      </c>
      <c r="L557" s="30" t="s">
        <v>32</v>
      </c>
      <c r="M557" s="10" t="n">
        <v>1</v>
      </c>
      <c r="N557" s="12" t="n">
        <v>-4533</v>
      </c>
      <c r="O557" s="13" t="n">
        <v>-0.0499324366923044</v>
      </c>
      <c r="P557" s="15" t="n">
        <v>0.027638293349429</v>
      </c>
      <c r="Q557" s="13" t="n">
        <v>-0.0637807616859436</v>
      </c>
      <c r="R557" s="15" t="n">
        <v>0.100728155339806</v>
      </c>
      <c r="S557" s="32" t="n">
        <v>247089003360</v>
      </c>
      <c r="T557" s="15" t="n">
        <v>0.0849282296650717</v>
      </c>
      <c r="U557" s="32" t="n">
        <v>17591347280.5</v>
      </c>
      <c r="V557" s="14" t="n">
        <v>12.3560520028748</v>
      </c>
      <c r="W557" s="13" t="n">
        <v>0.135879774577333</v>
      </c>
      <c r="X557" s="15" t="n">
        <v>0.00771775082690196</v>
      </c>
      <c r="Y557" s="13" t="n">
        <v>-0.00721486733506893</v>
      </c>
      <c r="Z557" s="13" t="n">
        <v>0.0446897741613017</v>
      </c>
      <c r="AA557" s="30" t="s">
        <v>97</v>
      </c>
      <c r="AB557" s="28" t="s">
        <v>93</v>
      </c>
      <c r="AC557" s="28" t="s">
        <v>102</v>
      </c>
      <c r="AD557" s="28" t="s">
        <v>110</v>
      </c>
      <c r="AE557" s="28" t="s">
        <v>101</v>
      </c>
      <c r="AF557" s="28" t="s">
        <v>120</v>
      </c>
      <c r="AG557" s="30" t="s">
        <v>122</v>
      </c>
    </row>
    <row r="558" customFormat="false" ht="15" hidden="false" customHeight="false" outlineLevel="0" collapsed="false">
      <c r="A558" s="10" t="n">
        <v>2025</v>
      </c>
      <c r="B558" s="28" t="s">
        <v>72</v>
      </c>
      <c r="C558" s="29" t="n">
        <v>45944</v>
      </c>
      <c r="D558" s="30" t="s">
        <v>126</v>
      </c>
      <c r="E558" s="28" t="s">
        <v>775</v>
      </c>
      <c r="F558" s="30" t="s">
        <v>776</v>
      </c>
      <c r="G558" s="31" t="n">
        <v>46496</v>
      </c>
      <c r="H558" s="31" t="n">
        <v>2</v>
      </c>
      <c r="I558" s="31" t="n">
        <v>92993</v>
      </c>
      <c r="J558" s="29" t="n">
        <v>45951</v>
      </c>
      <c r="K558" s="31" t="n">
        <v>55800</v>
      </c>
      <c r="L558" s="30" t="s">
        <v>31</v>
      </c>
      <c r="M558" s="10" t="n">
        <v>5</v>
      </c>
      <c r="N558" s="12" t="n">
        <v>18409</v>
      </c>
      <c r="O558" s="13" t="n">
        <v>0.197961468725032</v>
      </c>
      <c r="P558" s="15" t="n">
        <v>0.342037940530944</v>
      </c>
      <c r="Q558" s="13" t="n">
        <v>-0.0461637393822538</v>
      </c>
      <c r="R558" s="15" t="n">
        <v>0.113908872901679</v>
      </c>
      <c r="S558" s="32" t="n">
        <v>138163341850</v>
      </c>
      <c r="T558" s="15" t="n">
        <v>0.0287929125138426</v>
      </c>
      <c r="U558" s="32" t="n">
        <v>18825156000</v>
      </c>
      <c r="V558" s="14" t="n">
        <v>6.61820581599184</v>
      </c>
      <c r="W558" s="13" t="n">
        <v>0.108591885441528</v>
      </c>
      <c r="X558" s="15" t="n">
        <v>0.0312163616792249</v>
      </c>
      <c r="Y558" s="13" t="n">
        <v>-0.00634389253881251</v>
      </c>
      <c r="Z558" s="13" t="n">
        <v>0.0400659931086842</v>
      </c>
      <c r="AA558" s="30" t="s">
        <v>97</v>
      </c>
      <c r="AB558" s="28" t="s">
        <v>93</v>
      </c>
      <c r="AC558" s="28" t="s">
        <v>102</v>
      </c>
      <c r="AD558" s="28" t="s">
        <v>109</v>
      </c>
      <c r="AE558" s="28" t="s">
        <v>113</v>
      </c>
      <c r="AF558" s="28" t="s">
        <v>119</v>
      </c>
      <c r="AG558" s="30" t="s">
        <v>122</v>
      </c>
    </row>
    <row r="559" customFormat="false" ht="15" hidden="false" customHeight="false" outlineLevel="0" collapsed="false">
      <c r="A559" s="10" t="n">
        <v>2025</v>
      </c>
      <c r="B559" s="28" t="s">
        <v>72</v>
      </c>
      <c r="C559" s="29" t="n">
        <v>45944</v>
      </c>
      <c r="D559" s="30" t="s">
        <v>126</v>
      </c>
      <c r="E559" s="28" t="s">
        <v>787</v>
      </c>
      <c r="F559" s="30" t="s">
        <v>788</v>
      </c>
      <c r="G559" s="31" t="n">
        <v>82582</v>
      </c>
      <c r="H559" s="31" t="n">
        <v>1</v>
      </c>
      <c r="I559" s="31" t="n">
        <v>82582</v>
      </c>
      <c r="J559" s="29" t="n">
        <v>45947</v>
      </c>
      <c r="K559" s="31" t="n">
        <v>102100</v>
      </c>
      <c r="L559" s="30" t="s">
        <v>31</v>
      </c>
      <c r="M559" s="10" t="n">
        <v>3</v>
      </c>
      <c r="N559" s="12" t="n">
        <v>19337</v>
      </c>
      <c r="O559" s="13" t="n">
        <v>0.23414945811764</v>
      </c>
      <c r="P559" s="15" t="n">
        <v>0.380437744074108</v>
      </c>
      <c r="Q559" s="13" t="n">
        <v>-0.0373263100535826</v>
      </c>
      <c r="R559" s="15" t="n">
        <v>0.11336032388664</v>
      </c>
      <c r="S559" s="32" t="n">
        <v>106063567500</v>
      </c>
      <c r="T559" s="15" t="n">
        <v>0.0576923076923077</v>
      </c>
      <c r="U559" s="32" t="n">
        <v>33727094570</v>
      </c>
      <c r="V559" s="14" t="n">
        <v>2.77619833804142</v>
      </c>
      <c r="W559" s="13" t="n">
        <v>0.120923913043478</v>
      </c>
      <c r="X559" s="15" t="n">
        <v>0.00242424242424244</v>
      </c>
      <c r="Y559" s="13" t="n">
        <v>-0.00634389253881251</v>
      </c>
      <c r="Z559" s="13" t="n">
        <v>0.0400659931086842</v>
      </c>
      <c r="AA559" s="30" t="s">
        <v>97</v>
      </c>
      <c r="AB559" s="28" t="s">
        <v>93</v>
      </c>
      <c r="AC559" s="28" t="s">
        <v>102</v>
      </c>
      <c r="AD559" s="28" t="s">
        <v>109</v>
      </c>
      <c r="AE559" s="28" t="s">
        <v>101</v>
      </c>
      <c r="AF559" s="28" t="s">
        <v>117</v>
      </c>
      <c r="AG559" s="30" t="s">
        <v>122</v>
      </c>
    </row>
    <row r="560" customFormat="false" ht="15" hidden="false" customHeight="false" outlineLevel="0" collapsed="false">
      <c r="A560" s="10" t="n">
        <v>2025</v>
      </c>
      <c r="B560" s="28" t="s">
        <v>72</v>
      </c>
      <c r="C560" s="29" t="n">
        <v>45947</v>
      </c>
      <c r="D560" s="30" t="s">
        <v>129</v>
      </c>
      <c r="E560" s="28" t="s">
        <v>849</v>
      </c>
      <c r="F560" s="30" t="s">
        <v>850</v>
      </c>
      <c r="G560" s="31" t="n">
        <v>15275</v>
      </c>
      <c r="H560" s="31" t="n">
        <v>6</v>
      </c>
      <c r="I560" s="31" t="n">
        <v>91652</v>
      </c>
      <c r="J560" s="29" t="n">
        <v>45950</v>
      </c>
      <c r="K560" s="31" t="n">
        <v>14535</v>
      </c>
      <c r="L560" s="30" t="s">
        <v>32</v>
      </c>
      <c r="M560" s="10" t="n">
        <v>1</v>
      </c>
      <c r="N560" s="12" t="n">
        <v>-4597</v>
      </c>
      <c r="O560" s="13" t="n">
        <v>-0.0501519962017011</v>
      </c>
      <c r="P560" s="15" t="n">
        <v>0.0402441595102148</v>
      </c>
      <c r="Q560" s="13" t="n">
        <v>-0.0533712683122904</v>
      </c>
      <c r="R560" s="15" t="n">
        <v>0.040218132242672</v>
      </c>
      <c r="S560" s="32" t="n">
        <v>119516564160</v>
      </c>
      <c r="T560" s="15" t="n">
        <v>0.00992720052945062</v>
      </c>
      <c r="U560" s="32" t="n">
        <v>27452183715</v>
      </c>
      <c r="V560" s="14" t="n">
        <v>3.79130248812673</v>
      </c>
      <c r="W560" s="13" t="n">
        <v>-0.019280205655527</v>
      </c>
      <c r="X560" s="15" t="n">
        <v>0.106815203145478</v>
      </c>
      <c r="Y560" s="13" t="n">
        <v>0.000138726966654845</v>
      </c>
      <c r="Z560" s="13" t="n">
        <v>0.0383011133883564</v>
      </c>
      <c r="AA560" s="30" t="s">
        <v>97</v>
      </c>
      <c r="AB560" s="28" t="s">
        <v>93</v>
      </c>
      <c r="AC560" s="28" t="s">
        <v>100</v>
      </c>
      <c r="AD560" s="28" t="s">
        <v>109</v>
      </c>
      <c r="AE560" s="28" t="s">
        <v>112</v>
      </c>
      <c r="AF560" s="28" t="s">
        <v>118</v>
      </c>
      <c r="AG560" s="30" t="s">
        <v>123</v>
      </c>
    </row>
    <row r="561" customFormat="false" ht="15" hidden="false" customHeight="false" outlineLevel="0" collapsed="false">
      <c r="A561" s="10" t="n">
        <v>2025</v>
      </c>
      <c r="B561" s="28" t="s">
        <v>72</v>
      </c>
      <c r="C561" s="29" t="n">
        <v>45947</v>
      </c>
      <c r="D561" s="30" t="s">
        <v>129</v>
      </c>
      <c r="E561" s="28" t="s">
        <v>851</v>
      </c>
      <c r="F561" s="30" t="s">
        <v>852</v>
      </c>
      <c r="G561" s="31" t="n">
        <v>3489</v>
      </c>
      <c r="H561" s="31" t="n">
        <v>28</v>
      </c>
      <c r="I561" s="31" t="n">
        <v>97700</v>
      </c>
      <c r="J561" s="29" t="n">
        <v>45960</v>
      </c>
      <c r="K561" s="31" t="n">
        <v>4601</v>
      </c>
      <c r="L561" s="30" t="s">
        <v>31</v>
      </c>
      <c r="M561" s="10" t="n">
        <v>9</v>
      </c>
      <c r="N561" s="12" t="n">
        <v>30908</v>
      </c>
      <c r="O561" s="13" t="n">
        <v>0.316355494505495</v>
      </c>
      <c r="P561" s="15" t="n">
        <v>0.32001332001332</v>
      </c>
      <c r="Q561" s="13" t="n">
        <v>-0.0143190143190142</v>
      </c>
      <c r="R561" s="15" t="n">
        <v>0.0997067448680351</v>
      </c>
      <c r="S561" s="32" t="n">
        <v>20783580000</v>
      </c>
      <c r="T561" s="15" t="n">
        <v>0.0760401721664277</v>
      </c>
      <c r="U561" s="32" t="n">
        <v>3480926371.25</v>
      </c>
      <c r="V561" s="14" t="n">
        <v>5.1580064605746</v>
      </c>
      <c r="W561" s="13" t="n">
        <v>0.126126126126126</v>
      </c>
      <c r="X561" s="15" t="n">
        <v>0.02</v>
      </c>
      <c r="Y561" s="13" t="n">
        <v>0.000138726966654845</v>
      </c>
      <c r="Z561" s="13" t="n">
        <v>0.0383011133883564</v>
      </c>
      <c r="AA561" s="30" t="s">
        <v>97</v>
      </c>
      <c r="AB561" s="28" t="s">
        <v>93</v>
      </c>
      <c r="AC561" s="28" t="s">
        <v>101</v>
      </c>
      <c r="AD561" s="28" t="s">
        <v>106</v>
      </c>
      <c r="AE561" s="28" t="s">
        <v>101</v>
      </c>
      <c r="AF561" s="28" t="s">
        <v>119</v>
      </c>
      <c r="AG561" s="30" t="s">
        <v>122</v>
      </c>
    </row>
    <row r="562" customFormat="false" ht="15" hidden="false" customHeight="false" outlineLevel="0" collapsed="false">
      <c r="A562" s="10" t="n">
        <v>2025</v>
      </c>
      <c r="B562" s="28" t="s">
        <v>72</v>
      </c>
      <c r="C562" s="29" t="n">
        <v>45950</v>
      </c>
      <c r="D562" s="30" t="s">
        <v>125</v>
      </c>
      <c r="E562" s="28" t="s">
        <v>301</v>
      </c>
      <c r="F562" s="28" t="s">
        <v>302</v>
      </c>
      <c r="G562" s="31" t="n">
        <v>63964</v>
      </c>
      <c r="H562" s="31" t="n">
        <v>1</v>
      </c>
      <c r="I562" s="31" t="n">
        <v>63964</v>
      </c>
      <c r="J562" s="29" t="n">
        <v>45957</v>
      </c>
      <c r="K562" s="31" t="n">
        <v>76800</v>
      </c>
      <c r="L562" s="30" t="s">
        <v>31</v>
      </c>
      <c r="M562" s="10" t="n">
        <v>5</v>
      </c>
      <c r="N562" s="12" t="n">
        <v>12700</v>
      </c>
      <c r="O562" s="13" t="n">
        <v>0.19854613954121</v>
      </c>
      <c r="P562" s="15" t="n">
        <v>0.235071657606869</v>
      </c>
      <c r="Q562" s="13" t="n">
        <v>-0.0400835471258005</v>
      </c>
      <c r="R562" s="15" t="n">
        <v>0.0579470198675496</v>
      </c>
      <c r="S562" s="32" t="n">
        <v>138161385000</v>
      </c>
      <c r="T562" s="15" t="n">
        <v>0.0224</v>
      </c>
      <c r="U562" s="32" t="n">
        <v>50317609700</v>
      </c>
      <c r="V562" s="14" t="n">
        <v>2.53944708022017</v>
      </c>
      <c r="W562" s="13" t="n">
        <v>0.0407166123778502</v>
      </c>
      <c r="X562" s="15" t="n">
        <v>0.0273865414710486</v>
      </c>
      <c r="Y562" s="13" t="n">
        <v>0.0175518620178239</v>
      </c>
      <c r="Z562" s="13" t="n">
        <v>0.0642033170132932</v>
      </c>
      <c r="AA562" s="30" t="s">
        <v>97</v>
      </c>
      <c r="AB562" s="28" t="s">
        <v>93</v>
      </c>
      <c r="AC562" s="28" t="s">
        <v>101</v>
      </c>
      <c r="AD562" s="28" t="s">
        <v>109</v>
      </c>
      <c r="AE562" s="28" t="s">
        <v>113</v>
      </c>
      <c r="AF562" s="28" t="s">
        <v>117</v>
      </c>
      <c r="AG562" s="30" t="s">
        <v>122</v>
      </c>
    </row>
    <row r="563" customFormat="false" ht="15" hidden="false" customHeight="false" outlineLevel="0" collapsed="false">
      <c r="A563" s="10" t="n">
        <v>2025</v>
      </c>
      <c r="B563" s="28" t="s">
        <v>72</v>
      </c>
      <c r="C563" s="29" t="n">
        <v>45951</v>
      </c>
      <c r="D563" s="30" t="s">
        <v>126</v>
      </c>
      <c r="E563" s="28" t="s">
        <v>853</v>
      </c>
      <c r="F563" s="30" t="s">
        <v>854</v>
      </c>
      <c r="G563" s="31" t="n">
        <v>11511</v>
      </c>
      <c r="H563" s="31" t="n">
        <v>8</v>
      </c>
      <c r="I563" s="31" t="n">
        <v>92092</v>
      </c>
      <c r="J563" s="29" t="n">
        <v>45952</v>
      </c>
      <c r="K563" s="31" t="n">
        <v>10959</v>
      </c>
      <c r="L563" s="30" t="s">
        <v>32</v>
      </c>
      <c r="M563" s="10" t="n">
        <v>1</v>
      </c>
      <c r="N563" s="12" t="n">
        <v>-4578</v>
      </c>
      <c r="O563" s="13" t="n">
        <v>-0.0497136884419926</v>
      </c>
      <c r="P563" s="15" t="n">
        <v>0.0120314468140557</v>
      </c>
      <c r="Q563" s="13" t="n">
        <v>-0.057464274855579</v>
      </c>
      <c r="R563" s="15" t="n">
        <v>0.136363636363637</v>
      </c>
      <c r="S563" s="32" t="n">
        <v>186738288000</v>
      </c>
      <c r="T563" s="15" t="n">
        <v>0.0618651892890121</v>
      </c>
      <c r="U563" s="32" t="n">
        <v>25169695169.5</v>
      </c>
      <c r="V563" s="14" t="n">
        <v>6.43933488847076</v>
      </c>
      <c r="W563" s="13" t="n">
        <v>0.129666011787819</v>
      </c>
      <c r="X563" s="15" t="n">
        <v>0.0182608695652173</v>
      </c>
      <c r="Y563" s="13" t="n">
        <v>0.00239862216851172</v>
      </c>
      <c r="Z563" s="13" t="n">
        <v>0.0735665293769179</v>
      </c>
      <c r="AA563" s="30" t="s">
        <v>97</v>
      </c>
      <c r="AB563" s="28" t="s">
        <v>93</v>
      </c>
      <c r="AC563" s="28" t="s">
        <v>102</v>
      </c>
      <c r="AD563" s="28" t="s">
        <v>109</v>
      </c>
      <c r="AE563" s="28" t="s">
        <v>101</v>
      </c>
      <c r="AF563" s="28" t="s">
        <v>119</v>
      </c>
      <c r="AG563" s="30" t="s">
        <v>122</v>
      </c>
    </row>
    <row r="564" customFormat="false" ht="15" hidden="false" customHeight="false" outlineLevel="0" collapsed="false">
      <c r="A564" s="10" t="n">
        <v>2025</v>
      </c>
      <c r="B564" s="28" t="s">
        <v>72</v>
      </c>
      <c r="C564" s="29" t="n">
        <v>45951</v>
      </c>
      <c r="D564" s="30" t="s">
        <v>126</v>
      </c>
      <c r="E564" s="28" t="s">
        <v>855</v>
      </c>
      <c r="F564" s="30" t="s">
        <v>856</v>
      </c>
      <c r="G564" s="31" t="n">
        <v>13483</v>
      </c>
      <c r="H564" s="31" t="n">
        <v>7</v>
      </c>
      <c r="I564" s="31" t="n">
        <v>94384</v>
      </c>
      <c r="J564" s="29" t="n">
        <v>45957</v>
      </c>
      <c r="K564" s="31" t="n">
        <v>16190</v>
      </c>
      <c r="L564" s="30" t="s">
        <v>31</v>
      </c>
      <c r="M564" s="10" t="n">
        <v>4</v>
      </c>
      <c r="N564" s="12" t="n">
        <v>18745</v>
      </c>
      <c r="O564" s="13" t="n">
        <v>0.198598282155855</v>
      </c>
      <c r="P564" s="15" t="n">
        <v>0.248195012114834</v>
      </c>
      <c r="Q564" s="13" t="n">
        <v>-0.0358564968809957</v>
      </c>
      <c r="R564" s="15" t="n">
        <v>0.0337682271680737</v>
      </c>
      <c r="S564" s="32" t="n">
        <v>184364859840</v>
      </c>
      <c r="T564" s="15" t="n">
        <v>0.0258948971820259</v>
      </c>
      <c r="U564" s="32" t="n">
        <v>24232494304</v>
      </c>
      <c r="V564" s="14" t="n">
        <v>7.16337627350168</v>
      </c>
      <c r="W564" s="13" t="n">
        <v>0.0243346007604564</v>
      </c>
      <c r="X564" s="15" t="n">
        <v>0.123979213066073</v>
      </c>
      <c r="Y564" s="13" t="n">
        <v>0.00239862216851172</v>
      </c>
      <c r="Z564" s="13" t="n">
        <v>0.0735665293769179</v>
      </c>
      <c r="AA564" s="30" t="s">
        <v>97</v>
      </c>
      <c r="AB564" s="28" t="s">
        <v>93</v>
      </c>
      <c r="AC564" s="28" t="s">
        <v>100</v>
      </c>
      <c r="AD564" s="28" t="s">
        <v>109</v>
      </c>
      <c r="AE564" s="28" t="s">
        <v>113</v>
      </c>
      <c r="AF564" s="28" t="s">
        <v>119</v>
      </c>
      <c r="AG564" s="30" t="s">
        <v>122</v>
      </c>
    </row>
    <row r="565" customFormat="false" ht="15" hidden="false" customHeight="false" outlineLevel="0" collapsed="false">
      <c r="A565" s="10" t="n">
        <v>2025</v>
      </c>
      <c r="B565" s="28" t="s">
        <v>72</v>
      </c>
      <c r="C565" s="29" t="n">
        <v>45952</v>
      </c>
      <c r="D565" s="30" t="s">
        <v>127</v>
      </c>
      <c r="E565" s="28" t="s">
        <v>255</v>
      </c>
      <c r="F565" s="28" t="s">
        <v>256</v>
      </c>
      <c r="G565" s="31" t="n">
        <v>80180</v>
      </c>
      <c r="H565" s="31" t="n">
        <v>1</v>
      </c>
      <c r="I565" s="31" t="n">
        <v>80180</v>
      </c>
      <c r="J565" s="29"/>
      <c r="K565" s="31"/>
      <c r="L565" s="30" t="s">
        <v>33</v>
      </c>
      <c r="M565" s="10" t="n">
        <v>48</v>
      </c>
      <c r="N565" s="12" t="n">
        <v>31462</v>
      </c>
      <c r="O565" s="13" t="n">
        <v>0.395608137181171</v>
      </c>
      <c r="P565" s="15" t="n">
        <v>1.31853040841805</v>
      </c>
      <c r="Q565" s="13" t="n">
        <v>-0.030931615201278</v>
      </c>
      <c r="R565" s="15" t="n">
        <v>0.04296875</v>
      </c>
      <c r="S565" s="32" t="n">
        <v>28580721300</v>
      </c>
      <c r="T565" s="15" t="n">
        <v>0.0402597402597402</v>
      </c>
      <c r="U565" s="32" t="n">
        <v>20893811305</v>
      </c>
      <c r="V565" s="14" t="n">
        <v>1.25934148157821</v>
      </c>
      <c r="W565" s="13" t="n">
        <v>0.0335483870967741</v>
      </c>
      <c r="X565" s="15" t="n">
        <v>0.00499375780274658</v>
      </c>
      <c r="Y565" s="13" t="n">
        <v>0.0156491903426921</v>
      </c>
      <c r="Z565" s="13" t="n">
        <v>0.0619039286026772</v>
      </c>
      <c r="AA565" s="30" t="s">
        <v>97</v>
      </c>
      <c r="AB565" s="28" t="s">
        <v>93</v>
      </c>
      <c r="AC565" s="28" t="s">
        <v>100</v>
      </c>
      <c r="AD565" s="28" t="s">
        <v>106</v>
      </c>
      <c r="AE565" s="28" t="s">
        <v>113</v>
      </c>
      <c r="AF565" s="28" t="s">
        <v>116</v>
      </c>
      <c r="AG565" s="30" t="s">
        <v>122</v>
      </c>
    </row>
    <row r="566" customFormat="false" ht="15" hidden="false" customHeight="false" outlineLevel="0" collapsed="false">
      <c r="A566" s="10" t="n">
        <v>2025</v>
      </c>
      <c r="B566" s="28" t="s">
        <v>72</v>
      </c>
      <c r="C566" s="29" t="n">
        <v>45953</v>
      </c>
      <c r="D566" s="30" t="s">
        <v>128</v>
      </c>
      <c r="E566" s="28" t="s">
        <v>463</v>
      </c>
      <c r="F566" s="30" t="s">
        <v>464</v>
      </c>
      <c r="G566" s="31" t="n">
        <v>11271</v>
      </c>
      <c r="H566" s="31" t="n">
        <v>8</v>
      </c>
      <c r="I566" s="31" t="n">
        <v>90170</v>
      </c>
      <c r="J566" s="29" t="n">
        <v>45971</v>
      </c>
      <c r="K566" s="31" t="n">
        <v>10729</v>
      </c>
      <c r="L566" s="30" t="s">
        <v>32</v>
      </c>
      <c r="M566" s="10" t="n">
        <v>12</v>
      </c>
      <c r="N566" s="12" t="n">
        <v>-4491</v>
      </c>
      <c r="O566" s="13" t="n">
        <v>-0.049807560822836</v>
      </c>
      <c r="P566" s="15" t="n">
        <v>0.174669025468315</v>
      </c>
      <c r="Q566" s="13" t="n">
        <v>-0.0586677975665541</v>
      </c>
      <c r="R566" s="15" t="n">
        <v>0.139676113360324</v>
      </c>
      <c r="S566" s="32" t="n">
        <v>172077594520</v>
      </c>
      <c r="T566" s="15" t="n">
        <v>0.110453648915187</v>
      </c>
      <c r="U566" s="32" t="n">
        <v>6341843495</v>
      </c>
      <c r="V566" s="14" t="n">
        <v>23.4058724039958</v>
      </c>
      <c r="W566" s="13" t="n">
        <v>0.147808358817533</v>
      </c>
      <c r="X566" s="15" t="n">
        <v>0.0612788632326822</v>
      </c>
      <c r="Y566" s="13" t="n">
        <v>-0.00981543278539943</v>
      </c>
      <c r="Z566" s="13" t="n">
        <v>0.0259286036330459</v>
      </c>
      <c r="AA566" s="30" t="s">
        <v>97</v>
      </c>
      <c r="AB566" s="28" t="s">
        <v>93</v>
      </c>
      <c r="AC566" s="28" t="s">
        <v>102</v>
      </c>
      <c r="AD566" s="28" t="s">
        <v>109</v>
      </c>
      <c r="AE566" s="28" t="s">
        <v>114</v>
      </c>
      <c r="AF566" s="28" t="s">
        <v>120</v>
      </c>
      <c r="AG566" s="30" t="s">
        <v>122</v>
      </c>
    </row>
    <row r="567" customFormat="false" ht="15" hidden="false" customHeight="false" outlineLevel="0" collapsed="false">
      <c r="A567" s="10" t="n">
        <v>2025</v>
      </c>
      <c r="B567" s="28" t="s">
        <v>72</v>
      </c>
      <c r="C567" s="29" t="n">
        <v>45954</v>
      </c>
      <c r="D567" s="30" t="s">
        <v>129</v>
      </c>
      <c r="E567" s="28" t="s">
        <v>717</v>
      </c>
      <c r="F567" s="30" t="s">
        <v>718</v>
      </c>
      <c r="G567" s="31" t="n">
        <v>66667</v>
      </c>
      <c r="H567" s="31" t="n">
        <v>1</v>
      </c>
      <c r="I567" s="31" t="n">
        <v>66667</v>
      </c>
      <c r="J567" s="29" t="n">
        <v>45966</v>
      </c>
      <c r="K567" s="31" t="n">
        <v>63436</v>
      </c>
      <c r="L567" s="30" t="s">
        <v>32</v>
      </c>
      <c r="M567" s="10" t="n">
        <v>8</v>
      </c>
      <c r="N567" s="12" t="n">
        <v>-3345</v>
      </c>
      <c r="O567" s="13" t="n">
        <v>-0.0501716033966034</v>
      </c>
      <c r="P567" s="15" t="n">
        <v>0.146001146001146</v>
      </c>
      <c r="Q567" s="13" t="n">
        <v>-0.0534990534990534</v>
      </c>
      <c r="R567" s="15" t="n">
        <v>0.166374781085814</v>
      </c>
      <c r="S567" s="32" t="n">
        <v>258343131600</v>
      </c>
      <c r="T567" s="15" t="n">
        <v>0.0829268292682928</v>
      </c>
      <c r="U567" s="32" t="n">
        <v>55649634880</v>
      </c>
      <c r="V567" s="14" t="n">
        <v>4.00302841155913</v>
      </c>
      <c r="W567" s="13" t="n">
        <v>0.158260869565218</v>
      </c>
      <c r="X567" s="15" t="n">
        <v>0.0210210210210211</v>
      </c>
      <c r="Y567" s="13" t="n">
        <v>0.0249716556236284</v>
      </c>
      <c r="Z567" s="13" t="n">
        <v>0.0514018816236272</v>
      </c>
      <c r="AA567" s="30" t="s">
        <v>97</v>
      </c>
      <c r="AB567" s="28" t="s">
        <v>93</v>
      </c>
      <c r="AC567" s="28" t="s">
        <v>103</v>
      </c>
      <c r="AD567" s="28" t="s">
        <v>110</v>
      </c>
      <c r="AE567" s="28" t="s">
        <v>101</v>
      </c>
      <c r="AF567" s="28" t="s">
        <v>118</v>
      </c>
      <c r="AG567" s="30" t="s">
        <v>122</v>
      </c>
    </row>
    <row r="568" customFormat="false" ht="15" hidden="false" customHeight="false" outlineLevel="0" collapsed="false">
      <c r="A568" s="10" t="n">
        <v>2025</v>
      </c>
      <c r="B568" s="28" t="s">
        <v>72</v>
      </c>
      <c r="C568" s="29" t="n">
        <v>45957</v>
      </c>
      <c r="D568" s="30" t="s">
        <v>125</v>
      </c>
      <c r="E568" s="28" t="s">
        <v>731</v>
      </c>
      <c r="F568" s="28" t="s">
        <v>732</v>
      </c>
      <c r="G568" s="31" t="n">
        <v>31582</v>
      </c>
      <c r="H568" s="31" t="n">
        <v>3</v>
      </c>
      <c r="I568" s="31" t="n">
        <v>94745</v>
      </c>
      <c r="J568" s="29" t="n">
        <v>45958</v>
      </c>
      <c r="K568" s="31" t="n">
        <v>30020</v>
      </c>
      <c r="L568" s="30" t="s">
        <v>32</v>
      </c>
      <c r="M568" s="10" t="n">
        <v>1</v>
      </c>
      <c r="N568" s="12" t="n">
        <v>-4848</v>
      </c>
      <c r="O568" s="13" t="n">
        <v>-0.0511650045675402</v>
      </c>
      <c r="P568" s="15" t="n">
        <v>0.00850021610718921</v>
      </c>
      <c r="Q568" s="13" t="n">
        <v>-0.0928247663588392</v>
      </c>
      <c r="R568" s="15" t="n">
        <v>0.114840989399293</v>
      </c>
      <c r="S568" s="32" t="n">
        <v>601628906100</v>
      </c>
      <c r="T568" s="15" t="n">
        <v>0.0841924398625429</v>
      </c>
      <c r="U568" s="32" t="n">
        <v>184910033982.5</v>
      </c>
      <c r="V568" s="14" t="n">
        <v>2.79267788570968</v>
      </c>
      <c r="W568" s="13" t="n">
        <v>0.0860585197934596</v>
      </c>
      <c r="X568" s="15" t="n">
        <v>0.0475435816164818</v>
      </c>
      <c r="Y568" s="13" t="n">
        <v>0.025685066178877</v>
      </c>
      <c r="Z568" s="13" t="n">
        <v>0.0598056460682257</v>
      </c>
      <c r="AA568" s="30" t="s">
        <v>97</v>
      </c>
      <c r="AB568" s="28" t="s">
        <v>93</v>
      </c>
      <c r="AC568" s="28" t="s">
        <v>102</v>
      </c>
      <c r="AD568" s="28" t="s">
        <v>110</v>
      </c>
      <c r="AE568" s="28" t="s">
        <v>101</v>
      </c>
      <c r="AF568" s="28" t="s">
        <v>117</v>
      </c>
      <c r="AG568" s="30" t="s">
        <v>122</v>
      </c>
    </row>
    <row r="569" customFormat="false" ht="15" hidden="false" customHeight="false" outlineLevel="0" collapsed="false">
      <c r="A569" s="10" t="n">
        <v>2025</v>
      </c>
      <c r="B569" s="28" t="s">
        <v>72</v>
      </c>
      <c r="C569" s="29" t="n">
        <v>45957</v>
      </c>
      <c r="D569" s="30" t="s">
        <v>125</v>
      </c>
      <c r="E569" s="28" t="s">
        <v>857</v>
      </c>
      <c r="F569" s="30" t="s">
        <v>858</v>
      </c>
      <c r="G569" s="31" t="n">
        <v>45495</v>
      </c>
      <c r="H569" s="31" t="n">
        <v>2</v>
      </c>
      <c r="I569" s="31" t="n">
        <v>90991</v>
      </c>
      <c r="J569" s="29" t="n">
        <v>45959</v>
      </c>
      <c r="K569" s="31" t="n">
        <v>43307</v>
      </c>
      <c r="L569" s="30" t="s">
        <v>32</v>
      </c>
      <c r="M569" s="10" t="n">
        <v>2</v>
      </c>
      <c r="N569" s="12" t="n">
        <v>-4534</v>
      </c>
      <c r="O569" s="13" t="n">
        <v>-0.0498309235319136</v>
      </c>
      <c r="P569" s="15" t="n">
        <v>0.0143871530010145</v>
      </c>
      <c r="Q569" s="13" t="n">
        <v>-0.0592465839990591</v>
      </c>
      <c r="R569" s="15" t="n">
        <v>0.0681551116333725</v>
      </c>
      <c r="S569" s="32" t="n">
        <v>93212405100</v>
      </c>
      <c r="T569" s="15" t="n">
        <v>0.0412371134020619</v>
      </c>
      <c r="U569" s="32" t="n">
        <v>8629052565</v>
      </c>
      <c r="V569" s="14" t="n">
        <v>9.9529572257017</v>
      </c>
      <c r="W569" s="13" t="n">
        <v>0.0569767441860465</v>
      </c>
      <c r="X569" s="15" t="n">
        <v>0.0825082508250825</v>
      </c>
      <c r="Y569" s="13" t="n">
        <v>0.025685066178877</v>
      </c>
      <c r="Z569" s="13" t="n">
        <v>0.0598056460682257</v>
      </c>
      <c r="AA569" s="30" t="s">
        <v>97</v>
      </c>
      <c r="AB569" s="28" t="s">
        <v>93</v>
      </c>
      <c r="AC569" s="28" t="s">
        <v>101</v>
      </c>
      <c r="AD569" s="28" t="s">
        <v>108</v>
      </c>
      <c r="AE569" s="28" t="s">
        <v>113</v>
      </c>
      <c r="AF569" s="28" t="s">
        <v>119</v>
      </c>
      <c r="AG569" s="30" t="s">
        <v>122</v>
      </c>
    </row>
    <row r="570" customFormat="false" ht="15" hidden="false" customHeight="false" outlineLevel="0" collapsed="false">
      <c r="A570" s="10" t="n">
        <v>2025</v>
      </c>
      <c r="B570" s="28" t="s">
        <v>72</v>
      </c>
      <c r="C570" s="29" t="n">
        <v>45958</v>
      </c>
      <c r="D570" s="30" t="s">
        <v>126</v>
      </c>
      <c r="E570" s="28" t="s">
        <v>613</v>
      </c>
      <c r="F570" s="30" t="s">
        <v>614</v>
      </c>
      <c r="G570" s="31" t="n">
        <v>63764</v>
      </c>
      <c r="H570" s="31" t="n">
        <v>1</v>
      </c>
      <c r="I570" s="31" t="n">
        <v>63764</v>
      </c>
      <c r="J570" s="29" t="n">
        <v>45966</v>
      </c>
      <c r="K570" s="31" t="n">
        <v>60639</v>
      </c>
      <c r="L570" s="30" t="s">
        <v>32</v>
      </c>
      <c r="M570" s="10" t="n">
        <v>6</v>
      </c>
      <c r="N570" s="12" t="n">
        <v>-3234</v>
      </c>
      <c r="O570" s="13" t="n">
        <v>-0.0507188165053156</v>
      </c>
      <c r="P570" s="15" t="n">
        <v>0.0930984243386128</v>
      </c>
      <c r="Q570" s="13" t="n">
        <v>-0.0511842945123948</v>
      </c>
      <c r="R570" s="15" t="n">
        <v>0.0459770114942528</v>
      </c>
      <c r="S570" s="32" t="n">
        <v>332804089800</v>
      </c>
      <c r="T570" s="15" t="n">
        <v>0.00631911532385465</v>
      </c>
      <c r="U570" s="32" t="n">
        <v>167040322900</v>
      </c>
      <c r="V570" s="14" t="n">
        <v>1.89945250560718</v>
      </c>
      <c r="W570" s="13" t="n">
        <v>0.0290791599353797</v>
      </c>
      <c r="X570" s="15" t="n">
        <v>0.0094191522762952</v>
      </c>
      <c r="Y570" s="13" t="n">
        <v>-0.0080191351108011</v>
      </c>
      <c r="Z570" s="13" t="n">
        <v>0.0487912674170468</v>
      </c>
      <c r="AA570" s="30" t="s">
        <v>97</v>
      </c>
      <c r="AB570" s="28" t="s">
        <v>93</v>
      </c>
      <c r="AC570" s="28" t="s">
        <v>100</v>
      </c>
      <c r="AD570" s="28" t="s">
        <v>110</v>
      </c>
      <c r="AE570" s="28" t="s">
        <v>112</v>
      </c>
      <c r="AF570" s="28" t="s">
        <v>116</v>
      </c>
      <c r="AG570" s="30" t="s">
        <v>122</v>
      </c>
    </row>
    <row r="571" customFormat="false" ht="15" hidden="false" customHeight="false" outlineLevel="0" collapsed="false">
      <c r="A571" s="10" t="n">
        <v>2025</v>
      </c>
      <c r="B571" s="28" t="s">
        <v>72</v>
      </c>
      <c r="C571" s="29" t="n">
        <v>45959</v>
      </c>
      <c r="D571" s="30" t="s">
        <v>127</v>
      </c>
      <c r="E571" s="28" t="s">
        <v>859</v>
      </c>
      <c r="F571" s="28" t="s">
        <v>860</v>
      </c>
      <c r="G571" s="31" t="n">
        <v>34184</v>
      </c>
      <c r="H571" s="31" t="n">
        <v>2</v>
      </c>
      <c r="I571" s="31" t="n">
        <v>68368</v>
      </c>
      <c r="J571" s="29" t="n">
        <v>45967</v>
      </c>
      <c r="K571" s="31" t="n">
        <v>32517</v>
      </c>
      <c r="L571" s="30" t="s">
        <v>32</v>
      </c>
      <c r="M571" s="10" t="n">
        <v>6</v>
      </c>
      <c r="N571" s="12" t="n">
        <v>-3451</v>
      </c>
      <c r="O571" s="13" t="n">
        <v>-0.0504760661008097</v>
      </c>
      <c r="P571" s="15" t="n">
        <v>0.0794476387448571</v>
      </c>
      <c r="Q571" s="13" t="n">
        <v>-0.0580429819082819</v>
      </c>
      <c r="R571" s="15" t="n">
        <v>0.221824686940966</v>
      </c>
      <c r="S571" s="32" t="n">
        <v>88852392050</v>
      </c>
      <c r="T571" s="15" t="n">
        <v>0.0738993710691824</v>
      </c>
      <c r="U571" s="32" t="n">
        <v>4961059437.5</v>
      </c>
      <c r="V571" s="14" t="n">
        <v>15.26046125201</v>
      </c>
      <c r="W571" s="13" t="n">
        <v>0.0841269841269841</v>
      </c>
      <c r="X571" s="15" t="n">
        <v>0.0380673499267936</v>
      </c>
      <c r="Y571" s="13" t="n">
        <v>0.0176390942571958</v>
      </c>
      <c r="Z571" s="13" t="n">
        <v>0.0508461047254152</v>
      </c>
      <c r="AA571" s="30" t="s">
        <v>97</v>
      </c>
      <c r="AB571" s="28" t="s">
        <v>93</v>
      </c>
      <c r="AC571" s="28" t="s">
        <v>104</v>
      </c>
      <c r="AD571" s="28" t="s">
        <v>108</v>
      </c>
      <c r="AE571" s="28" t="s">
        <v>101</v>
      </c>
      <c r="AF571" s="28" t="s">
        <v>120</v>
      </c>
      <c r="AG571" s="30" t="s">
        <v>122</v>
      </c>
    </row>
    <row r="572" customFormat="false" ht="15" hidden="false" customHeight="false" outlineLevel="0" collapsed="false">
      <c r="A572" s="10" t="n">
        <v>2025</v>
      </c>
      <c r="B572" s="28" t="s">
        <v>72</v>
      </c>
      <c r="C572" s="29" t="n">
        <v>45960</v>
      </c>
      <c r="D572" s="30" t="s">
        <v>128</v>
      </c>
      <c r="E572" s="28" t="s">
        <v>741</v>
      </c>
      <c r="F572" s="30" t="s">
        <v>742</v>
      </c>
      <c r="G572" s="31" t="n">
        <v>55611</v>
      </c>
      <c r="H572" s="31" t="n">
        <v>1</v>
      </c>
      <c r="I572" s="31" t="n">
        <v>55611</v>
      </c>
      <c r="J572" s="29" t="n">
        <v>45961</v>
      </c>
      <c r="K572" s="31" t="n">
        <v>66800</v>
      </c>
      <c r="L572" s="30" t="s">
        <v>31</v>
      </c>
      <c r="M572" s="10" t="n">
        <v>1</v>
      </c>
      <c r="N572" s="12" t="n">
        <v>11070</v>
      </c>
      <c r="O572" s="13" t="n">
        <v>0.19906200222405</v>
      </c>
      <c r="P572" s="15" t="n">
        <v>0.28025128025128</v>
      </c>
      <c r="Q572" s="13" t="n">
        <v>0.0507510507510509</v>
      </c>
      <c r="R572" s="15" t="n">
        <v>0.117824773413897</v>
      </c>
      <c r="S572" s="32" t="n">
        <v>343469298000</v>
      </c>
      <c r="T572" s="15" t="n">
        <v>0.0829268292682928</v>
      </c>
      <c r="U572" s="32" t="n">
        <v>90722188970</v>
      </c>
      <c r="V572" s="14" t="n">
        <v>3.2008112301965</v>
      </c>
      <c r="W572" s="13" t="n">
        <v>0.0990099009900991</v>
      </c>
      <c r="X572" s="15" t="n">
        <v>0.0315315315315314</v>
      </c>
      <c r="Y572" s="13" t="n">
        <v>0.00140646631464159</v>
      </c>
      <c r="Z572" s="13" t="n">
        <v>0.0627554894475706</v>
      </c>
      <c r="AA572" s="30" t="s">
        <v>97</v>
      </c>
      <c r="AB572" s="28" t="s">
        <v>93</v>
      </c>
      <c r="AC572" s="28" t="s">
        <v>102</v>
      </c>
      <c r="AD572" s="28" t="s">
        <v>110</v>
      </c>
      <c r="AE572" s="28" t="s">
        <v>101</v>
      </c>
      <c r="AF572" s="28" t="s">
        <v>118</v>
      </c>
      <c r="AG572" s="30" t="s">
        <v>122</v>
      </c>
    </row>
    <row r="573" customFormat="false" ht="15" hidden="false" customHeight="false" outlineLevel="0" collapsed="false">
      <c r="A573" s="10" t="n">
        <v>2025</v>
      </c>
      <c r="B573" s="28" t="s">
        <v>72</v>
      </c>
      <c r="C573" s="29" t="n">
        <v>45961</v>
      </c>
      <c r="D573" s="30" t="s">
        <v>129</v>
      </c>
      <c r="E573" s="28" t="s">
        <v>861</v>
      </c>
      <c r="F573" s="30" t="s">
        <v>862</v>
      </c>
      <c r="G573" s="31" t="n">
        <v>10991</v>
      </c>
      <c r="H573" s="31" t="n">
        <v>9</v>
      </c>
      <c r="I573" s="31" t="n">
        <v>98919</v>
      </c>
      <c r="J573" s="29" t="n">
        <v>45966</v>
      </c>
      <c r="K573" s="31" t="n">
        <v>10460</v>
      </c>
      <c r="L573" s="30" t="s">
        <v>32</v>
      </c>
      <c r="M573" s="10" t="n">
        <v>3</v>
      </c>
      <c r="N573" s="12" t="n">
        <v>-4953</v>
      </c>
      <c r="O573" s="13" t="n">
        <v>-0.0500735031362079</v>
      </c>
      <c r="P573" s="15" t="n">
        <v>0.0899846965420736</v>
      </c>
      <c r="Q573" s="13" t="n">
        <v>-0.103810579220415</v>
      </c>
      <c r="R573" s="15" t="n">
        <v>0.137823834196891</v>
      </c>
      <c r="S573" s="32" t="n">
        <v>146373150240</v>
      </c>
      <c r="T573" s="15" t="n">
        <v>0.0882061446977205</v>
      </c>
      <c r="U573" s="32" t="n">
        <v>4483091136</v>
      </c>
      <c r="V573" s="14" t="n">
        <v>28.3936041330496</v>
      </c>
      <c r="W573" s="13" t="n">
        <v>0.0871287128712872</v>
      </c>
      <c r="X573" s="15" t="n">
        <v>0.107468123861567</v>
      </c>
      <c r="Y573" s="13" t="n">
        <v>0.00504295442255609</v>
      </c>
      <c r="Z573" s="13" t="n">
        <v>0.0420921506295682</v>
      </c>
      <c r="AA573" s="30" t="s">
        <v>97</v>
      </c>
      <c r="AB573" s="28" t="s">
        <v>93</v>
      </c>
      <c r="AC573" s="28" t="s">
        <v>102</v>
      </c>
      <c r="AD573" s="28" t="s">
        <v>109</v>
      </c>
      <c r="AE573" s="28" t="s">
        <v>101</v>
      </c>
      <c r="AF573" s="28" t="s">
        <v>120</v>
      </c>
      <c r="AG573" s="30" t="s">
        <v>122</v>
      </c>
    </row>
    <row r="574" customFormat="false" ht="15" hidden="false" customHeight="false" outlineLevel="0" collapsed="false">
      <c r="A574" s="10" t="n">
        <v>2025</v>
      </c>
      <c r="B574" s="28" t="s">
        <v>73</v>
      </c>
      <c r="C574" s="29" t="n">
        <v>45965</v>
      </c>
      <c r="D574" s="30" t="s">
        <v>126</v>
      </c>
      <c r="E574" s="28" t="s">
        <v>573</v>
      </c>
      <c r="F574" s="30" t="s">
        <v>574</v>
      </c>
      <c r="G574" s="31" t="n">
        <v>26276</v>
      </c>
      <c r="H574" s="31" t="n">
        <v>3</v>
      </c>
      <c r="I574" s="31" t="n">
        <v>78829</v>
      </c>
      <c r="J574" s="29"/>
      <c r="K574" s="31"/>
      <c r="L574" s="30" t="s">
        <v>33</v>
      </c>
      <c r="M574" s="10" t="n">
        <v>39</v>
      </c>
      <c r="N574" s="12" t="n">
        <v>26976</v>
      </c>
      <c r="O574" s="13" t="n">
        <v>0.345321345321346</v>
      </c>
      <c r="P574" s="15" t="n">
        <v>0.579373007944437</v>
      </c>
      <c r="Q574" s="13" t="n">
        <v>-0.033347604776176</v>
      </c>
      <c r="R574" s="15" t="n">
        <v>0.0294117647058823</v>
      </c>
      <c r="S574" s="32" t="n">
        <v>113279118750</v>
      </c>
      <c r="T574" s="15" t="n">
        <v>0.00190839694656497</v>
      </c>
      <c r="U574" s="32" t="n">
        <v>45708168365</v>
      </c>
      <c r="V574" s="14" t="n">
        <v>2.42063077154007</v>
      </c>
      <c r="W574" s="13" t="n">
        <v>0.0334645669291338</v>
      </c>
      <c r="X574" s="15" t="n">
        <v>0.00761904761904764</v>
      </c>
      <c r="Y574" s="13" t="n">
        <v>-0.0237169784953113</v>
      </c>
      <c r="Z574" s="13" t="n">
        <v>0.0277602539391235</v>
      </c>
      <c r="AA574" s="30" t="s">
        <v>97</v>
      </c>
      <c r="AB574" s="28" t="s">
        <v>93</v>
      </c>
      <c r="AC574" s="28" t="s">
        <v>99</v>
      </c>
      <c r="AD574" s="28" t="s">
        <v>109</v>
      </c>
      <c r="AE574" s="28" t="s">
        <v>112</v>
      </c>
      <c r="AF574" s="28" t="s">
        <v>117</v>
      </c>
      <c r="AG574" s="30" t="s">
        <v>122</v>
      </c>
    </row>
    <row r="575" customFormat="false" ht="15" hidden="false" customHeight="false" outlineLevel="0" collapsed="false">
      <c r="A575" s="10" t="n">
        <v>2025</v>
      </c>
      <c r="B575" s="28" t="s">
        <v>73</v>
      </c>
      <c r="C575" s="29" t="n">
        <v>45967</v>
      </c>
      <c r="D575" s="30" t="s">
        <v>128</v>
      </c>
      <c r="E575" s="28" t="s">
        <v>823</v>
      </c>
      <c r="F575" s="30" t="s">
        <v>824</v>
      </c>
      <c r="G575" s="31" t="n">
        <v>30631</v>
      </c>
      <c r="H575" s="31" t="n">
        <v>3</v>
      </c>
      <c r="I575" s="31" t="n">
        <v>91892</v>
      </c>
      <c r="J575" s="29" t="n">
        <v>45968</v>
      </c>
      <c r="K575" s="31" t="n">
        <v>29121</v>
      </c>
      <c r="L575" s="30" t="s">
        <v>32</v>
      </c>
      <c r="M575" s="10" t="n">
        <v>1</v>
      </c>
      <c r="N575" s="12" t="n">
        <v>-4687</v>
      </c>
      <c r="O575" s="13" t="n">
        <v>-0.0510076195862961</v>
      </c>
      <c r="P575" s="15" t="n">
        <v>0.0381775087657443</v>
      </c>
      <c r="Q575" s="13" t="n">
        <v>-0.0973079208373324</v>
      </c>
      <c r="R575" s="15" t="n">
        <v>0.0774647887323943</v>
      </c>
      <c r="S575" s="32" t="n">
        <v>332320222800</v>
      </c>
      <c r="T575" s="15" t="n">
        <v>0.0774647887323943</v>
      </c>
      <c r="U575" s="32" t="n">
        <v>81070073222.5</v>
      </c>
      <c r="V575" s="14" t="n">
        <v>3.46716876336457</v>
      </c>
      <c r="W575" s="13" t="n">
        <v>0.0425894378194207</v>
      </c>
      <c r="X575" s="15" t="n">
        <v>0.0473856209150327</v>
      </c>
      <c r="Y575" s="13" t="n">
        <v>0.00550142092987249</v>
      </c>
      <c r="Z575" s="13" t="n">
        <v>-0.0147887513488252</v>
      </c>
      <c r="AA575" s="30" t="s">
        <v>97</v>
      </c>
      <c r="AB575" s="28" t="s">
        <v>94</v>
      </c>
      <c r="AC575" s="28" t="s">
        <v>101</v>
      </c>
      <c r="AD575" s="28" t="s">
        <v>110</v>
      </c>
      <c r="AE575" s="28" t="s">
        <v>101</v>
      </c>
      <c r="AF575" s="28" t="s">
        <v>118</v>
      </c>
      <c r="AG575" s="30" t="s">
        <v>122</v>
      </c>
    </row>
    <row r="576" customFormat="false" ht="15" hidden="false" customHeight="false" outlineLevel="0" collapsed="false">
      <c r="A576" s="10" t="n">
        <v>2025</v>
      </c>
      <c r="B576" s="28" t="s">
        <v>73</v>
      </c>
      <c r="C576" s="29" t="n">
        <v>45967</v>
      </c>
      <c r="D576" s="30" t="s">
        <v>128</v>
      </c>
      <c r="E576" s="28" t="s">
        <v>863</v>
      </c>
      <c r="F576" s="30" t="s">
        <v>864</v>
      </c>
      <c r="G576" s="31" t="n">
        <v>9219</v>
      </c>
      <c r="H576" s="31" t="n">
        <v>10</v>
      </c>
      <c r="I576" s="31" t="n">
        <v>92192</v>
      </c>
      <c r="J576" s="29" t="n">
        <v>45972</v>
      </c>
      <c r="K576" s="31" t="n">
        <v>8771</v>
      </c>
      <c r="L576" s="30" t="s">
        <v>32</v>
      </c>
      <c r="M576" s="10" t="n">
        <v>3</v>
      </c>
      <c r="N576" s="12" t="n">
        <v>-4638</v>
      </c>
      <c r="O576" s="13" t="n">
        <v>-0.0503129220941925</v>
      </c>
      <c r="P576" s="15" t="n">
        <v>0.0684212638610033</v>
      </c>
      <c r="Q576" s="13" t="n">
        <v>-0.0823508738818184</v>
      </c>
      <c r="R576" s="15" t="n">
        <v>0.137037037037037</v>
      </c>
      <c r="S576" s="32" t="n">
        <v>177373971660</v>
      </c>
      <c r="T576" s="15" t="n">
        <v>0.0359955005624297</v>
      </c>
      <c r="U576" s="32" t="n">
        <v>11472464429.5</v>
      </c>
      <c r="V576" s="14" t="n">
        <v>14.5078965238737</v>
      </c>
      <c r="W576" s="13" t="n">
        <v>0.0990453460620524</v>
      </c>
      <c r="X576" s="15" t="n">
        <v>0.0466883821932682</v>
      </c>
      <c r="Y576" s="13" t="n">
        <v>0.00550142092987249</v>
      </c>
      <c r="Z576" s="13" t="n">
        <v>-0.0147887513488252</v>
      </c>
      <c r="AA576" s="30" t="s">
        <v>97</v>
      </c>
      <c r="AB576" s="28" t="s">
        <v>94</v>
      </c>
      <c r="AC576" s="28" t="s">
        <v>102</v>
      </c>
      <c r="AD576" s="28" t="s">
        <v>109</v>
      </c>
      <c r="AE576" s="28" t="s">
        <v>113</v>
      </c>
      <c r="AF576" s="28" t="s">
        <v>120</v>
      </c>
      <c r="AG576" s="30" t="s">
        <v>122</v>
      </c>
    </row>
    <row r="577" customFormat="false" ht="15" hidden="false" customHeight="false" outlineLevel="0" collapsed="false">
      <c r="A577" s="10" t="n">
        <v>2025</v>
      </c>
      <c r="B577" s="28" t="s">
        <v>73</v>
      </c>
      <c r="C577" s="29" t="n">
        <v>45967</v>
      </c>
      <c r="D577" s="30" t="s">
        <v>128</v>
      </c>
      <c r="E577" s="28" t="s">
        <v>865</v>
      </c>
      <c r="F577" s="30" t="s">
        <v>866</v>
      </c>
      <c r="G577" s="31" t="n">
        <v>20120</v>
      </c>
      <c r="H577" s="31" t="n">
        <v>4</v>
      </c>
      <c r="I577" s="31" t="n">
        <v>80480</v>
      </c>
      <c r="J577" s="29"/>
      <c r="K577" s="31"/>
      <c r="L577" s="30" t="s">
        <v>33</v>
      </c>
      <c r="M577" s="10" t="n">
        <v>37</v>
      </c>
      <c r="N577" s="12" t="n">
        <v>928</v>
      </c>
      <c r="O577" s="13" t="n">
        <v>0.0139114616726557</v>
      </c>
      <c r="P577" s="15" t="n">
        <v>0.468680573158185</v>
      </c>
      <c r="Q577" s="13" t="n">
        <v>-0.0407602347900855</v>
      </c>
      <c r="R577" s="15" t="n">
        <v>0.0403726708074534</v>
      </c>
      <c r="S577" s="32" t="n">
        <v>48633517800</v>
      </c>
      <c r="T577" s="15" t="n">
        <v>0.0249872514023457</v>
      </c>
      <c r="U577" s="32" t="n">
        <v>18877202064.5</v>
      </c>
      <c r="V577" s="14" t="n">
        <v>2.46824311538448</v>
      </c>
      <c r="W577" s="13" t="n">
        <v>0.0339506172839506</v>
      </c>
      <c r="X577" s="15" t="n">
        <v>0.00248756218905477</v>
      </c>
      <c r="Y577" s="13" t="n">
        <v>0.00550142092987249</v>
      </c>
      <c r="Z577" s="13" t="n">
        <v>-0.0147887513488252</v>
      </c>
      <c r="AA577" s="30" t="s">
        <v>97</v>
      </c>
      <c r="AB577" s="28" t="s">
        <v>94</v>
      </c>
      <c r="AC577" s="28" t="s">
        <v>100</v>
      </c>
      <c r="AD577" s="28" t="s">
        <v>107</v>
      </c>
      <c r="AE577" s="28" t="s">
        <v>113</v>
      </c>
      <c r="AF577" s="28" t="s">
        <v>117</v>
      </c>
      <c r="AG577" s="30" t="s">
        <v>122</v>
      </c>
    </row>
    <row r="578" customFormat="false" ht="15" hidden="false" customHeight="false" outlineLevel="0" collapsed="false">
      <c r="A578" s="10" t="n">
        <v>2025</v>
      </c>
      <c r="B578" s="28" t="s">
        <v>73</v>
      </c>
      <c r="C578" s="29" t="n">
        <v>45967</v>
      </c>
      <c r="D578" s="30" t="s">
        <v>128</v>
      </c>
      <c r="E578" s="28" t="s">
        <v>705</v>
      </c>
      <c r="F578" s="30" t="s">
        <v>706</v>
      </c>
      <c r="G578" s="31" t="n">
        <v>29229</v>
      </c>
      <c r="H578" s="31" t="n">
        <v>3</v>
      </c>
      <c r="I578" s="31" t="n">
        <v>87688</v>
      </c>
      <c r="J578" s="29" t="n">
        <v>45968</v>
      </c>
      <c r="K578" s="31" t="n">
        <v>27822</v>
      </c>
      <c r="L578" s="30" t="s">
        <v>32</v>
      </c>
      <c r="M578" s="10" t="n">
        <v>1</v>
      </c>
      <c r="N578" s="12" t="n">
        <v>-4372</v>
      </c>
      <c r="O578" s="13" t="n">
        <v>-0.0498590767964911</v>
      </c>
      <c r="P578" s="15" t="n">
        <v>0.00242223529894781</v>
      </c>
      <c r="Q578" s="13" t="n">
        <v>-0.0488963091702817</v>
      </c>
      <c r="R578" s="15" t="n">
        <v>0.0656934306569343</v>
      </c>
      <c r="S578" s="32" t="n">
        <v>29289001600</v>
      </c>
      <c r="T578" s="15" t="n">
        <v>0.0373001776198934</v>
      </c>
      <c r="U578" s="32" t="n">
        <v>12972915930</v>
      </c>
      <c r="V578" s="14" t="n">
        <v>2.13069431607667</v>
      </c>
      <c r="W578" s="13" t="n">
        <v>0.0541516245487366</v>
      </c>
      <c r="X578" s="15" t="n">
        <v>0.0102739726027397</v>
      </c>
      <c r="Y578" s="13" t="n">
        <v>0.00550142092987249</v>
      </c>
      <c r="Z578" s="13" t="n">
        <v>-0.0147887513488252</v>
      </c>
      <c r="AA578" s="30" t="s">
        <v>97</v>
      </c>
      <c r="AB578" s="28" t="s">
        <v>94</v>
      </c>
      <c r="AC578" s="28" t="s">
        <v>101</v>
      </c>
      <c r="AD578" s="28" t="s">
        <v>106</v>
      </c>
      <c r="AE578" s="28" t="s">
        <v>113</v>
      </c>
      <c r="AF578" s="28" t="s">
        <v>117</v>
      </c>
      <c r="AG578" s="30" t="s">
        <v>122</v>
      </c>
    </row>
    <row r="579" customFormat="false" ht="15" hidden="false" customHeight="false" outlineLevel="0" collapsed="false">
      <c r="A579" s="10" t="n">
        <v>2025</v>
      </c>
      <c r="B579" s="28" t="s">
        <v>73</v>
      </c>
      <c r="C579" s="29" t="n">
        <v>45968</v>
      </c>
      <c r="D579" s="30" t="s">
        <v>129</v>
      </c>
      <c r="E579" s="28" t="s">
        <v>755</v>
      </c>
      <c r="F579" s="30" t="s">
        <v>756</v>
      </c>
      <c r="G579" s="31" t="n">
        <v>76977</v>
      </c>
      <c r="H579" s="31" t="n">
        <v>1</v>
      </c>
      <c r="I579" s="31" t="n">
        <v>76977</v>
      </c>
      <c r="J579" s="29" t="n">
        <v>45971</v>
      </c>
      <c r="K579" s="31" t="n">
        <v>73227</v>
      </c>
      <c r="L579" s="30" t="s">
        <v>32</v>
      </c>
      <c r="M579" s="10" t="n">
        <v>1</v>
      </c>
      <c r="N579" s="12" t="n">
        <v>-3883</v>
      </c>
      <c r="O579" s="13" t="n">
        <v>-0.0504381261131585</v>
      </c>
      <c r="P579" s="15" t="n">
        <v>0.00289827207902649</v>
      </c>
      <c r="Q579" s="13" t="n">
        <v>-0.0516635510133559</v>
      </c>
      <c r="R579" s="15" t="n">
        <v>0.134218289085546</v>
      </c>
      <c r="S579" s="32" t="n">
        <v>47797348800</v>
      </c>
      <c r="T579" s="15" t="n">
        <v>0.0907801418439715</v>
      </c>
      <c r="U579" s="32" t="n">
        <v>5762293530</v>
      </c>
      <c r="V579" s="14" t="n">
        <v>7.20399031744164</v>
      </c>
      <c r="W579" s="13" t="n">
        <v>0.0907801418439715</v>
      </c>
      <c r="X579" s="15" t="n">
        <v>0.05851755526658</v>
      </c>
      <c r="Y579" s="13" t="n">
        <v>-0.0180531237194054</v>
      </c>
      <c r="Z579" s="13" t="n">
        <v>-0.0374290931223371</v>
      </c>
      <c r="AA579" s="30" t="s">
        <v>97</v>
      </c>
      <c r="AB579" s="28" t="s">
        <v>94</v>
      </c>
      <c r="AC579" s="28" t="s">
        <v>102</v>
      </c>
      <c r="AD579" s="28" t="s">
        <v>107</v>
      </c>
      <c r="AE579" s="28" t="s">
        <v>101</v>
      </c>
      <c r="AF579" s="28" t="s">
        <v>119</v>
      </c>
      <c r="AG579" s="30" t="s">
        <v>122</v>
      </c>
    </row>
    <row r="580" customFormat="false" ht="15" hidden="false" customHeight="false" outlineLevel="0" collapsed="false">
      <c r="A580" s="10" t="n">
        <v>2025</v>
      </c>
      <c r="B580" s="28" t="s">
        <v>73</v>
      </c>
      <c r="C580" s="29" t="n">
        <v>45968</v>
      </c>
      <c r="D580" s="30" t="s">
        <v>129</v>
      </c>
      <c r="E580" s="28" t="s">
        <v>867</v>
      </c>
      <c r="F580" s="30" t="s">
        <v>868</v>
      </c>
      <c r="G580" s="31" t="n">
        <v>54554</v>
      </c>
      <c r="H580" s="31" t="n">
        <v>1</v>
      </c>
      <c r="I580" s="31" t="n">
        <v>54554</v>
      </c>
      <c r="J580" s="29" t="n">
        <v>45971</v>
      </c>
      <c r="K580" s="31" t="n">
        <v>42158</v>
      </c>
      <c r="L580" s="30" t="s">
        <v>32</v>
      </c>
      <c r="M580" s="10" t="n">
        <v>1</v>
      </c>
      <c r="N580" s="12" t="n">
        <v>-12474</v>
      </c>
      <c r="O580" s="13" t="n">
        <v>-0.228660212173148</v>
      </c>
      <c r="P580" s="15" t="n">
        <v>-0.207214803545079</v>
      </c>
      <c r="Q580" s="13" t="n">
        <v>-0.299782786021318</v>
      </c>
      <c r="R580" s="15" t="n">
        <v>0.162046908315565</v>
      </c>
      <c r="S580" s="32" t="n">
        <v>35748294000</v>
      </c>
      <c r="T580" s="15" t="n">
        <v>0.129533678756477</v>
      </c>
      <c r="U580" s="32" t="n">
        <v>12461153355</v>
      </c>
      <c r="V580" s="14" t="n">
        <v>2.42301780474732</v>
      </c>
      <c r="W580" s="13" t="n">
        <v>0.135416666666667</v>
      </c>
      <c r="X580" s="15" t="n">
        <v>0.0073394495412844</v>
      </c>
      <c r="Y580" s="13" t="n">
        <v>-0.0180531237194054</v>
      </c>
      <c r="Z580" s="13" t="n">
        <v>-0.0374290931223371</v>
      </c>
      <c r="AA580" s="30" t="s">
        <v>97</v>
      </c>
      <c r="AB580" s="28" t="s">
        <v>94</v>
      </c>
      <c r="AC580" s="28" t="s">
        <v>103</v>
      </c>
      <c r="AD580" s="28" t="s">
        <v>107</v>
      </c>
      <c r="AE580" s="28" t="s">
        <v>114</v>
      </c>
      <c r="AF580" s="28" t="s">
        <v>117</v>
      </c>
      <c r="AG580" s="30" t="s">
        <v>122</v>
      </c>
    </row>
    <row r="581" customFormat="false" ht="15" hidden="false" customHeight="false" outlineLevel="0" collapsed="false">
      <c r="A581" s="10" t="n">
        <v>2025</v>
      </c>
      <c r="B581" s="28" t="s">
        <v>73</v>
      </c>
      <c r="C581" s="29" t="n">
        <v>45971</v>
      </c>
      <c r="D581" s="30" t="s">
        <v>125</v>
      </c>
      <c r="E581" s="28" t="s">
        <v>869</v>
      </c>
      <c r="F581" s="30" t="s">
        <v>870</v>
      </c>
      <c r="G581" s="31" t="n">
        <v>74775</v>
      </c>
      <c r="H581" s="31" t="n">
        <v>1</v>
      </c>
      <c r="I581" s="31" t="n">
        <v>74775</v>
      </c>
      <c r="J581" s="29" t="n">
        <v>45972</v>
      </c>
      <c r="K581" s="31" t="n">
        <v>71129</v>
      </c>
      <c r="L581" s="30" t="s">
        <v>32</v>
      </c>
      <c r="M581" s="10" t="n">
        <v>1</v>
      </c>
      <c r="N581" s="12" t="n">
        <v>-3774</v>
      </c>
      <c r="O581" s="13" t="n">
        <v>-0.0504780189689827</v>
      </c>
      <c r="P581" s="15" t="n">
        <v>0.257109690844631</v>
      </c>
      <c r="Q581" s="13" t="n">
        <v>-0.0518183289267626</v>
      </c>
      <c r="R581" s="15" t="n">
        <v>0.147465437788019</v>
      </c>
      <c r="S581" s="32" t="n">
        <v>256722759900</v>
      </c>
      <c r="T581" s="15" t="n">
        <v>0.147465437788019</v>
      </c>
      <c r="U581" s="32" t="n">
        <v>104036482380</v>
      </c>
      <c r="V581" s="14" t="n">
        <v>1.95049453934936</v>
      </c>
      <c r="W581" s="13" t="n">
        <v>0.109955423476969</v>
      </c>
      <c r="X581" s="15" t="n">
        <v>0.131191432396252</v>
      </c>
      <c r="Y581" s="13" t="n">
        <v>0.0302193355185949</v>
      </c>
      <c r="Z581" s="13" t="n">
        <v>-0.0352047789249788</v>
      </c>
      <c r="AA581" s="30" t="s">
        <v>97</v>
      </c>
      <c r="AB581" s="28" t="s">
        <v>94</v>
      </c>
      <c r="AC581" s="28" t="s">
        <v>102</v>
      </c>
      <c r="AD581" s="28" t="s">
        <v>110</v>
      </c>
      <c r="AE581" s="28" t="s">
        <v>114</v>
      </c>
      <c r="AF581" s="28" t="s">
        <v>116</v>
      </c>
      <c r="AG581" s="30" t="s">
        <v>122</v>
      </c>
    </row>
    <row r="582" customFormat="false" ht="15" hidden="false" customHeight="false" outlineLevel="0" collapsed="false">
      <c r="A582" s="10" t="n">
        <v>2025</v>
      </c>
      <c r="B582" s="28" t="s">
        <v>73</v>
      </c>
      <c r="C582" s="29" t="n">
        <v>45971</v>
      </c>
      <c r="D582" s="30" t="s">
        <v>125</v>
      </c>
      <c r="E582" s="28" t="s">
        <v>871</v>
      </c>
      <c r="F582" s="28" t="s">
        <v>872</v>
      </c>
      <c r="G582" s="31" t="n">
        <v>21972</v>
      </c>
      <c r="H582" s="31" t="n">
        <v>4</v>
      </c>
      <c r="I582" s="31" t="n">
        <v>87888</v>
      </c>
      <c r="J582" s="29" t="n">
        <v>45979</v>
      </c>
      <c r="K582" s="31" t="n">
        <v>20879</v>
      </c>
      <c r="L582" s="30" t="s">
        <v>32</v>
      </c>
      <c r="M582" s="10" t="n">
        <v>6</v>
      </c>
      <c r="N582" s="12" t="n">
        <v>-4522</v>
      </c>
      <c r="O582" s="13" t="n">
        <v>-0.0514563480938195</v>
      </c>
      <c r="P582" s="15" t="n">
        <v>0.0376866868894206</v>
      </c>
      <c r="Q582" s="13" t="n">
        <v>-0.0715434906778869</v>
      </c>
      <c r="R582" s="15" t="n">
        <v>0.101354741595584</v>
      </c>
      <c r="S582" s="32" t="n">
        <v>46200733150</v>
      </c>
      <c r="T582" s="15" t="n">
        <v>0.0257009345794392</v>
      </c>
      <c r="U582" s="32" t="n">
        <v>19550605587.5</v>
      </c>
      <c r="V582" s="14" t="n">
        <v>2.18818794540449</v>
      </c>
      <c r="W582" s="13" t="n">
        <v>0.0733496332518338</v>
      </c>
      <c r="X582" s="15" t="n">
        <v>0.00911161731207288</v>
      </c>
      <c r="Y582" s="13" t="n">
        <v>0.0302193355185949</v>
      </c>
      <c r="Z582" s="13" t="n">
        <v>-0.0352047789249788</v>
      </c>
      <c r="AA582" s="30" t="s">
        <v>97</v>
      </c>
      <c r="AB582" s="28" t="s">
        <v>94</v>
      </c>
      <c r="AC582" s="28" t="s">
        <v>102</v>
      </c>
      <c r="AD582" s="28" t="s">
        <v>107</v>
      </c>
      <c r="AE582" s="28" t="s">
        <v>113</v>
      </c>
      <c r="AF582" s="28" t="s">
        <v>117</v>
      </c>
      <c r="AG582" s="30" t="s">
        <v>122</v>
      </c>
    </row>
    <row r="583" customFormat="false" ht="15" hidden="false" customHeight="false" outlineLevel="0" collapsed="false">
      <c r="A583" s="10" t="n">
        <v>2025</v>
      </c>
      <c r="B583" s="28" t="s">
        <v>73</v>
      </c>
      <c r="C583" s="29" t="n">
        <v>45971</v>
      </c>
      <c r="D583" s="30" t="s">
        <v>125</v>
      </c>
      <c r="E583" s="28" t="s">
        <v>873</v>
      </c>
      <c r="F583" s="28" t="s">
        <v>874</v>
      </c>
      <c r="G583" s="31" t="n">
        <v>91191</v>
      </c>
      <c r="H583" s="31" t="n">
        <v>1</v>
      </c>
      <c r="I583" s="31" t="n">
        <v>91191</v>
      </c>
      <c r="J583" s="29"/>
      <c r="K583" s="31"/>
      <c r="L583" s="30" t="s">
        <v>33</v>
      </c>
      <c r="M583" s="10" t="n">
        <v>35</v>
      </c>
      <c r="N583" s="12" t="n">
        <v>-21558</v>
      </c>
      <c r="O583" s="13" t="n">
        <v>-0.234574426671024</v>
      </c>
      <c r="P583" s="15" t="n">
        <v>0.688761293591151</v>
      </c>
      <c r="Q583" s="13" t="n">
        <v>-0.23896081964139</v>
      </c>
      <c r="R583" s="15" t="n">
        <v>0.0923261390887291</v>
      </c>
      <c r="S583" s="32" t="n">
        <v>35498572600</v>
      </c>
      <c r="T583" s="15" t="n">
        <v>0.0845238095238095</v>
      </c>
      <c r="U583" s="32" t="n">
        <v>5757780395</v>
      </c>
      <c r="V583" s="14" t="n">
        <v>5.56323972416944</v>
      </c>
      <c r="W583" s="13" t="n">
        <v>0.0781065088757396</v>
      </c>
      <c r="X583" s="15" t="n">
        <v>0.00658616904500553</v>
      </c>
      <c r="Y583" s="13" t="n">
        <v>0.0302193355185949</v>
      </c>
      <c r="Z583" s="13" t="n">
        <v>-0.0352047789249788</v>
      </c>
      <c r="AA583" s="30" t="s">
        <v>97</v>
      </c>
      <c r="AB583" s="28" t="s">
        <v>94</v>
      </c>
      <c r="AC583" s="28" t="s">
        <v>101</v>
      </c>
      <c r="AD583" s="28" t="s">
        <v>107</v>
      </c>
      <c r="AE583" s="28" t="s">
        <v>101</v>
      </c>
      <c r="AF583" s="28" t="s">
        <v>119</v>
      </c>
      <c r="AG583" s="30" t="s">
        <v>122</v>
      </c>
    </row>
    <row r="584" customFormat="false" ht="15" hidden="false" customHeight="false" outlineLevel="0" collapsed="false">
      <c r="A584" s="10" t="n">
        <v>2025</v>
      </c>
      <c r="B584" s="28" t="s">
        <v>73</v>
      </c>
      <c r="C584" s="29" t="n">
        <v>45972</v>
      </c>
      <c r="D584" s="30" t="s">
        <v>126</v>
      </c>
      <c r="E584" s="28" t="s">
        <v>875</v>
      </c>
      <c r="F584" s="30" t="s">
        <v>876</v>
      </c>
      <c r="G584" s="31" t="n">
        <v>54254</v>
      </c>
      <c r="H584" s="31" t="n">
        <v>1</v>
      </c>
      <c r="I584" s="31" t="n">
        <v>54254</v>
      </c>
      <c r="J584" s="29" t="n">
        <v>45987</v>
      </c>
      <c r="K584" s="31" t="n">
        <v>51648</v>
      </c>
      <c r="L584" s="30" t="s">
        <v>32</v>
      </c>
      <c r="M584" s="10" t="n">
        <v>11</v>
      </c>
      <c r="N584" s="12" t="n">
        <v>-2699</v>
      </c>
      <c r="O584" s="13" t="n">
        <v>-0.0497520528364625</v>
      </c>
      <c r="P584" s="15" t="n">
        <v>0.0764143605472019</v>
      </c>
      <c r="Q584" s="13" t="n">
        <v>-0.0544510839713791</v>
      </c>
      <c r="R584" s="15" t="n">
        <v>0.0861723446893787</v>
      </c>
      <c r="S584" s="32" t="n">
        <v>55400530000</v>
      </c>
      <c r="T584" s="15" t="n">
        <v>0.0343511450381679</v>
      </c>
      <c r="U584" s="32" t="n">
        <v>14965066922.5</v>
      </c>
      <c r="V584" s="14" t="n">
        <v>3.33830467423075</v>
      </c>
      <c r="W584" s="13" t="n">
        <v>0.0544747081712063</v>
      </c>
      <c r="X584" s="15" t="n">
        <v>0.0405904059040589</v>
      </c>
      <c r="Y584" s="13" t="n">
        <v>0.00813848435152376</v>
      </c>
      <c r="Z584" s="13" t="n">
        <v>-0.00372415533245651</v>
      </c>
      <c r="AA584" s="30" t="s">
        <v>97</v>
      </c>
      <c r="AB584" s="28" t="s">
        <v>94</v>
      </c>
      <c r="AC584" s="28" t="s">
        <v>101</v>
      </c>
      <c r="AD584" s="28" t="s">
        <v>108</v>
      </c>
      <c r="AE584" s="28" t="s">
        <v>113</v>
      </c>
      <c r="AF584" s="28" t="s">
        <v>118</v>
      </c>
      <c r="AG584" s="30" t="s">
        <v>122</v>
      </c>
    </row>
    <row r="585" customFormat="false" ht="15" hidden="false" customHeight="false" outlineLevel="0" collapsed="false">
      <c r="A585" s="10" t="n">
        <v>2025</v>
      </c>
      <c r="B585" s="28" t="s">
        <v>73</v>
      </c>
      <c r="C585" s="29" t="n">
        <v>45972</v>
      </c>
      <c r="D585" s="30" t="s">
        <v>126</v>
      </c>
      <c r="E585" s="28" t="s">
        <v>877</v>
      </c>
      <c r="F585" s="30" t="s">
        <v>878</v>
      </c>
      <c r="G585" s="31" t="n">
        <v>43543</v>
      </c>
      <c r="H585" s="31" t="n">
        <v>2</v>
      </c>
      <c r="I585" s="31" t="n">
        <v>87087</v>
      </c>
      <c r="J585" s="29" t="n">
        <v>45973</v>
      </c>
      <c r="K585" s="31" t="n">
        <v>41409</v>
      </c>
      <c r="L585" s="30" t="s">
        <v>32</v>
      </c>
      <c r="M585" s="10" t="n">
        <v>1</v>
      </c>
      <c r="N585" s="12" t="n">
        <v>-4420</v>
      </c>
      <c r="O585" s="13" t="n">
        <v>-0.0507493801026558</v>
      </c>
      <c r="P585" s="15" t="n">
        <v>-0.00214727800934678</v>
      </c>
      <c r="Q585" s="13" t="n">
        <v>-0.0503749124438778</v>
      </c>
      <c r="R585" s="15" t="n">
        <v>0.0929648241206029</v>
      </c>
      <c r="S585" s="32" t="n">
        <v>36580890000</v>
      </c>
      <c r="T585" s="15" t="n">
        <v>0.0915934755332497</v>
      </c>
      <c r="U585" s="32" t="n">
        <v>4468094035</v>
      </c>
      <c r="V585" s="14" t="n">
        <v>7.27242223530948</v>
      </c>
      <c r="W585" s="13" t="n">
        <v>0.0481927710843373</v>
      </c>
      <c r="X585" s="15" t="n">
        <v>0.0448275862068965</v>
      </c>
      <c r="Y585" s="13" t="n">
        <v>0.00813848435152376</v>
      </c>
      <c r="Z585" s="13" t="n">
        <v>-0.00372415533245651</v>
      </c>
      <c r="AA585" s="30" t="s">
        <v>97</v>
      </c>
      <c r="AB585" s="28" t="s">
        <v>94</v>
      </c>
      <c r="AC585" s="28" t="s">
        <v>101</v>
      </c>
      <c r="AD585" s="28" t="s">
        <v>107</v>
      </c>
      <c r="AE585" s="28" t="s">
        <v>101</v>
      </c>
      <c r="AF585" s="28" t="s">
        <v>119</v>
      </c>
      <c r="AG585" s="30" t="s">
        <v>122</v>
      </c>
    </row>
    <row r="586" customFormat="false" ht="15" hidden="false" customHeight="false" outlineLevel="0" collapsed="false">
      <c r="A586" s="10" t="n">
        <v>2025</v>
      </c>
      <c r="B586" s="28" t="s">
        <v>73</v>
      </c>
      <c r="C586" s="29" t="n">
        <v>45973</v>
      </c>
      <c r="D586" s="30" t="s">
        <v>127</v>
      </c>
      <c r="E586" s="28" t="s">
        <v>879</v>
      </c>
      <c r="F586" s="30" t="s">
        <v>880</v>
      </c>
      <c r="G586" s="31" t="n">
        <v>51251</v>
      </c>
      <c r="H586" s="31" t="n">
        <v>1</v>
      </c>
      <c r="I586" s="31" t="n">
        <v>51251</v>
      </c>
      <c r="J586" s="29" t="n">
        <v>45982</v>
      </c>
      <c r="K586" s="31" t="n">
        <v>61600</v>
      </c>
      <c r="L586" s="30" t="s">
        <v>31</v>
      </c>
      <c r="M586" s="10" t="n">
        <v>7</v>
      </c>
      <c r="N586" s="12" t="n">
        <v>10239</v>
      </c>
      <c r="O586" s="13" t="n">
        <v>0.199789903846154</v>
      </c>
      <c r="P586" s="15" t="n">
        <v>0.281921203796204</v>
      </c>
      <c r="Q586" s="13" t="n">
        <v>-0.0185595654345654</v>
      </c>
      <c r="R586" s="15" t="n">
        <v>0.0756302521008403</v>
      </c>
      <c r="S586" s="32" t="n">
        <v>65631129600</v>
      </c>
      <c r="T586" s="15" t="n">
        <v>0.0722513089005237</v>
      </c>
      <c r="U586" s="32" t="n">
        <v>15267254752.5</v>
      </c>
      <c r="V586" s="14" t="n">
        <v>3.83720773597326</v>
      </c>
      <c r="W586" s="13" t="n">
        <v>0.0312185297079557</v>
      </c>
      <c r="X586" s="15" t="n">
        <v>0.048828125</v>
      </c>
      <c r="Y586" s="13" t="n">
        <v>0.0107150075857383</v>
      </c>
      <c r="Z586" s="13" t="n">
        <v>0.0364522202965723</v>
      </c>
      <c r="AA586" s="30" t="s">
        <v>97</v>
      </c>
      <c r="AB586" s="28" t="s">
        <v>93</v>
      </c>
      <c r="AC586" s="28" t="s">
        <v>101</v>
      </c>
      <c r="AD586" s="28" t="s">
        <v>108</v>
      </c>
      <c r="AE586" s="28" t="s">
        <v>101</v>
      </c>
      <c r="AF586" s="28" t="s">
        <v>118</v>
      </c>
      <c r="AG586" s="30" t="s">
        <v>122</v>
      </c>
    </row>
    <row r="587" customFormat="false" ht="15" hidden="false" customHeight="false" outlineLevel="0" collapsed="false">
      <c r="A587" s="10" t="n">
        <v>2025</v>
      </c>
      <c r="B587" s="28" t="s">
        <v>73</v>
      </c>
      <c r="C587" s="29" t="n">
        <v>45979</v>
      </c>
      <c r="D587" s="30" t="s">
        <v>126</v>
      </c>
      <c r="E587" s="28" t="s">
        <v>881</v>
      </c>
      <c r="F587" s="30" t="s">
        <v>882</v>
      </c>
      <c r="G587" s="31" t="n">
        <v>5956</v>
      </c>
      <c r="H587" s="31" t="n">
        <v>16</v>
      </c>
      <c r="I587" s="31" t="n">
        <v>95295</v>
      </c>
      <c r="J587" s="29" t="n">
        <v>45982</v>
      </c>
      <c r="K587" s="31" t="n">
        <v>7150</v>
      </c>
      <c r="L587" s="30" t="s">
        <v>31</v>
      </c>
      <c r="M587" s="10" t="n">
        <v>3</v>
      </c>
      <c r="N587" s="12" t="n">
        <v>18902</v>
      </c>
      <c r="O587" s="13" t="n">
        <v>0.198349399759904</v>
      </c>
      <c r="P587" s="15" t="n">
        <v>0.213912138281887</v>
      </c>
      <c r="Q587" s="13" t="n">
        <v>-0.0161099404796882</v>
      </c>
      <c r="R587" s="15" t="n">
        <v>0.0188356164383561</v>
      </c>
      <c r="S587" s="32" t="n">
        <v>36591298100</v>
      </c>
      <c r="T587" s="15" t="n">
        <v>0.0153583617747439</v>
      </c>
      <c r="U587" s="32" t="n">
        <v>5465126078</v>
      </c>
      <c r="V587" s="14" t="n">
        <v>6.34428163634817</v>
      </c>
      <c r="W587" s="13" t="n">
        <v>0.00676818950930636</v>
      </c>
      <c r="X587" s="15" t="n">
        <v>0.0722689075630252</v>
      </c>
      <c r="Y587" s="13" t="n">
        <v>-0.0331674512441157</v>
      </c>
      <c r="Z587" s="13" t="n">
        <v>-0.0372029933834829</v>
      </c>
      <c r="AA587" s="30" t="s">
        <v>96</v>
      </c>
      <c r="AB587" s="28" t="s">
        <v>94</v>
      </c>
      <c r="AC587" s="28" t="s">
        <v>99</v>
      </c>
      <c r="AD587" s="28" t="s">
        <v>107</v>
      </c>
      <c r="AE587" s="28" t="s">
        <v>112</v>
      </c>
      <c r="AF587" s="28" t="s">
        <v>119</v>
      </c>
      <c r="AG587" s="30" t="s">
        <v>122</v>
      </c>
    </row>
    <row r="588" customFormat="false" ht="15" hidden="false" customHeight="false" outlineLevel="0" collapsed="false">
      <c r="A588" s="10" t="n">
        <v>2025</v>
      </c>
      <c r="B588" s="28" t="s">
        <v>73</v>
      </c>
      <c r="C588" s="29" t="n">
        <v>45980</v>
      </c>
      <c r="D588" s="30" t="s">
        <v>127</v>
      </c>
      <c r="E588" s="28" t="s">
        <v>545</v>
      </c>
      <c r="F588" s="30" t="s">
        <v>546</v>
      </c>
      <c r="G588" s="31" t="n">
        <v>46546</v>
      </c>
      <c r="H588" s="31" t="n">
        <v>2</v>
      </c>
      <c r="I588" s="31" t="n">
        <v>93093</v>
      </c>
      <c r="J588" s="29" t="n">
        <v>45987</v>
      </c>
      <c r="K588" s="31" t="n">
        <v>44306</v>
      </c>
      <c r="L588" s="30" t="s">
        <v>32</v>
      </c>
      <c r="M588" s="10" t="n">
        <v>5</v>
      </c>
      <c r="N588" s="12" t="n">
        <v>-4642</v>
      </c>
      <c r="O588" s="13" t="n">
        <v>-0.0498627458025843</v>
      </c>
      <c r="P588" s="15" t="n">
        <v>0.0365978107913594</v>
      </c>
      <c r="Q588" s="13" t="n">
        <v>-0.0482635643925965</v>
      </c>
      <c r="R588" s="15" t="n">
        <v>0.0356347438752784</v>
      </c>
      <c r="S588" s="32" t="n">
        <v>74276589000</v>
      </c>
      <c r="T588" s="15" t="n">
        <v>0.0186199342825848</v>
      </c>
      <c r="U588" s="32" t="n">
        <v>47211657072.5</v>
      </c>
      <c r="V588" s="14" t="n">
        <v>1.48235112882989</v>
      </c>
      <c r="W588" s="13" t="n">
        <v>0.0299003322259137</v>
      </c>
      <c r="X588" s="15" t="n">
        <v>0.0161290322580645</v>
      </c>
      <c r="Y588" s="13" t="n">
        <v>-0.00609820873022693</v>
      </c>
      <c r="Z588" s="13" t="n">
        <v>-0.0532190950729932</v>
      </c>
      <c r="AA588" s="30" t="s">
        <v>96</v>
      </c>
      <c r="AB588" s="28" t="s">
        <v>94</v>
      </c>
      <c r="AC588" s="28" t="s">
        <v>100</v>
      </c>
      <c r="AD588" s="28" t="s">
        <v>108</v>
      </c>
      <c r="AE588" s="28" t="s">
        <v>112</v>
      </c>
      <c r="AF588" s="28" t="s">
        <v>116</v>
      </c>
      <c r="AG588" s="30" t="s">
        <v>122</v>
      </c>
    </row>
    <row r="589" customFormat="false" ht="15" hidden="false" customHeight="false" outlineLevel="0" collapsed="false">
      <c r="A589" s="10" t="n">
        <v>2025</v>
      </c>
      <c r="B589" s="28" t="s">
        <v>73</v>
      </c>
      <c r="C589" s="29" t="n">
        <v>45982</v>
      </c>
      <c r="D589" s="30" t="s">
        <v>129</v>
      </c>
      <c r="E589" s="28" t="s">
        <v>883</v>
      </c>
      <c r="F589" s="30" t="s">
        <v>884</v>
      </c>
      <c r="G589" s="31" t="n">
        <v>31031</v>
      </c>
      <c r="H589" s="31" t="n">
        <v>3</v>
      </c>
      <c r="I589" s="31" t="n">
        <v>93093</v>
      </c>
      <c r="J589" s="29" t="n">
        <v>45986</v>
      </c>
      <c r="K589" s="31" t="n">
        <v>29520</v>
      </c>
      <c r="L589" s="30" t="s">
        <v>32</v>
      </c>
      <c r="M589" s="10" t="n">
        <v>2</v>
      </c>
      <c r="N589" s="12" t="n">
        <v>-4692</v>
      </c>
      <c r="O589" s="13" t="n">
        <v>-0.0503984206922108</v>
      </c>
      <c r="P589" s="15" t="n">
        <v>0.0763430118268829</v>
      </c>
      <c r="Q589" s="13" t="n">
        <v>-0.0960652250974831</v>
      </c>
      <c r="R589" s="15" t="n">
        <v>0.255060728744939</v>
      </c>
      <c r="S589" s="32" t="n">
        <v>88978370000</v>
      </c>
      <c r="T589" s="15" t="n">
        <v>0.0954063604240283</v>
      </c>
      <c r="U589" s="32" t="n">
        <v>3824612395</v>
      </c>
      <c r="V589" s="14" t="n">
        <v>19.3633432423398</v>
      </c>
      <c r="W589" s="13" t="n">
        <v>0.310782241014799</v>
      </c>
      <c r="X589" s="15" t="n">
        <v>0.0354838709677419</v>
      </c>
      <c r="Y589" s="13" t="n">
        <v>-0.0378516049290235</v>
      </c>
      <c r="Z589" s="13" t="n">
        <v>-0.0394633522536064</v>
      </c>
      <c r="AA589" s="30" t="s">
        <v>96</v>
      </c>
      <c r="AB589" s="28" t="s">
        <v>94</v>
      </c>
      <c r="AC589" s="28" t="s">
        <v>104</v>
      </c>
      <c r="AD589" s="28" t="s">
        <v>108</v>
      </c>
      <c r="AE589" s="28" t="s">
        <v>101</v>
      </c>
      <c r="AF589" s="28" t="s">
        <v>120</v>
      </c>
      <c r="AG589" s="30" t="s">
        <v>122</v>
      </c>
    </row>
    <row r="590" customFormat="false" ht="15" hidden="false" customHeight="false" outlineLevel="0" collapsed="false">
      <c r="A590" s="10" t="n">
        <v>2025</v>
      </c>
      <c r="B590" s="28" t="s">
        <v>73</v>
      </c>
      <c r="C590" s="29" t="n">
        <v>45985</v>
      </c>
      <c r="D590" s="30" t="s">
        <v>125</v>
      </c>
      <c r="E590" s="28" t="s">
        <v>885</v>
      </c>
      <c r="F590" s="30" t="s">
        <v>886</v>
      </c>
      <c r="G590" s="31" t="n">
        <v>6176</v>
      </c>
      <c r="H590" s="31" t="n">
        <v>16</v>
      </c>
      <c r="I590" s="31" t="n">
        <v>98819</v>
      </c>
      <c r="J590" s="29" t="n">
        <v>45986</v>
      </c>
      <c r="K590" s="31" t="n">
        <v>5874</v>
      </c>
      <c r="L590" s="30" t="s">
        <v>32</v>
      </c>
      <c r="M590" s="10" t="n">
        <v>1</v>
      </c>
      <c r="N590" s="12" t="n">
        <v>-5003</v>
      </c>
      <c r="O590" s="13" t="n">
        <v>-0.0506250189842572</v>
      </c>
      <c r="P590" s="15" t="n">
        <v>0.0216687688324644</v>
      </c>
      <c r="Q590" s="13" t="n">
        <v>-0.052811046328064</v>
      </c>
      <c r="R590" s="15" t="n">
        <v>0.051107325383305</v>
      </c>
      <c r="S590" s="32" t="n">
        <v>80049067890</v>
      </c>
      <c r="T590" s="15" t="n">
        <v>0.00325203252032513</v>
      </c>
      <c r="U590" s="32" t="n">
        <v>9781744598</v>
      </c>
      <c r="V590" s="14" t="n">
        <v>7.57799458719554</v>
      </c>
      <c r="W590" s="13" t="n">
        <v>0.013136288998358</v>
      </c>
      <c r="X590" s="15" t="n">
        <v>0.13290113452188</v>
      </c>
      <c r="Y590" s="13" t="n">
        <v>-0.0018685476713225</v>
      </c>
      <c r="Z590" s="13" t="n">
        <v>-0.0594705630616862</v>
      </c>
      <c r="AA590" s="30" t="s">
        <v>96</v>
      </c>
      <c r="AB590" s="28" t="s">
        <v>94</v>
      </c>
      <c r="AC590" s="28" t="s">
        <v>101</v>
      </c>
      <c r="AD590" s="28" t="s">
        <v>108</v>
      </c>
      <c r="AE590" s="28" t="s">
        <v>112</v>
      </c>
      <c r="AF590" s="28" t="s">
        <v>119</v>
      </c>
      <c r="AG590" s="30" t="s">
        <v>122</v>
      </c>
    </row>
    <row r="591" customFormat="false" ht="15" hidden="false" customHeight="false" outlineLevel="0" collapsed="false">
      <c r="A591" s="10" t="n">
        <v>2025</v>
      </c>
      <c r="B591" s="28" t="s">
        <v>73</v>
      </c>
      <c r="C591" s="29" t="n">
        <v>45986</v>
      </c>
      <c r="D591" s="30" t="s">
        <v>126</v>
      </c>
      <c r="E591" s="28" t="s">
        <v>887</v>
      </c>
      <c r="F591" s="30" t="s">
        <v>888</v>
      </c>
      <c r="G591" s="31" t="n">
        <v>27878</v>
      </c>
      <c r="H591" s="31" t="n">
        <v>3</v>
      </c>
      <c r="I591" s="31" t="n">
        <v>83634</v>
      </c>
      <c r="J591" s="29" t="n">
        <v>45987</v>
      </c>
      <c r="K591" s="31" t="n">
        <v>26523</v>
      </c>
      <c r="L591" s="30" t="s">
        <v>32</v>
      </c>
      <c r="M591" s="10" t="n">
        <v>1</v>
      </c>
      <c r="N591" s="12" t="n">
        <v>-4207</v>
      </c>
      <c r="O591" s="13" t="n">
        <v>-0.0503032109721516</v>
      </c>
      <c r="P591" s="15" t="n">
        <v>0.000794537598846512</v>
      </c>
      <c r="Q591" s="13" t="n">
        <v>-0.117579009859082</v>
      </c>
      <c r="R591" s="15" t="n">
        <v>0.155601659751037</v>
      </c>
      <c r="S591" s="32" t="n">
        <v>119802345000</v>
      </c>
      <c r="T591" s="15" t="n">
        <v>0.102970297029703</v>
      </c>
      <c r="U591" s="32" t="n">
        <v>13706431320.5</v>
      </c>
      <c r="V591" s="14" t="n">
        <v>7.1445043561347</v>
      </c>
      <c r="W591" s="13" t="n">
        <v>0.155601659751037</v>
      </c>
      <c r="X591" s="15" t="n">
        <v>0.0323159784560143</v>
      </c>
      <c r="Y591" s="13" t="n">
        <v>0.00304727435349439</v>
      </c>
      <c r="Z591" s="13" t="n">
        <v>-0.0242410752677292</v>
      </c>
      <c r="AA591" s="30" t="s">
        <v>96</v>
      </c>
      <c r="AB591" s="28" t="s">
        <v>94</v>
      </c>
      <c r="AC591" s="28" t="s">
        <v>103</v>
      </c>
      <c r="AD591" s="28" t="s">
        <v>109</v>
      </c>
      <c r="AE591" s="28" t="s">
        <v>114</v>
      </c>
      <c r="AF591" s="28" t="s">
        <v>119</v>
      </c>
      <c r="AG591" s="30" t="s">
        <v>122</v>
      </c>
    </row>
    <row r="592" customFormat="false" ht="15" hidden="false" customHeight="false" outlineLevel="0" collapsed="false">
      <c r="A592" s="10" t="n">
        <v>2025</v>
      </c>
      <c r="B592" s="28" t="s">
        <v>73</v>
      </c>
      <c r="C592" s="29" t="n">
        <v>45987</v>
      </c>
      <c r="D592" s="30" t="s">
        <v>127</v>
      </c>
      <c r="E592" s="28" t="s">
        <v>889</v>
      </c>
      <c r="F592" s="30" t="s">
        <v>890</v>
      </c>
      <c r="G592" s="31" t="n">
        <v>82082</v>
      </c>
      <c r="H592" s="31" t="n">
        <v>1</v>
      </c>
      <c r="I592" s="31" t="n">
        <v>82082</v>
      </c>
      <c r="J592" s="29"/>
      <c r="K592" s="31"/>
      <c r="L592" s="30" t="s">
        <v>33</v>
      </c>
      <c r="M592" s="10" t="n">
        <v>23</v>
      </c>
      <c r="N592" s="12" t="n">
        <v>-8556</v>
      </c>
      <c r="O592" s="13" t="n">
        <v>-0.102117394800321</v>
      </c>
      <c r="P592" s="15" t="n">
        <v>0.381545283984309</v>
      </c>
      <c r="Q592" s="13" t="n">
        <v>-0.247094369045589</v>
      </c>
      <c r="R592" s="15" t="n">
        <v>0.00613496932515334</v>
      </c>
      <c r="S592" s="32" t="n">
        <v>22874310000</v>
      </c>
      <c r="T592" s="15" t="n">
        <v>0.00122100122100122</v>
      </c>
      <c r="U592" s="32" t="n">
        <v>35435073870</v>
      </c>
      <c r="V592" s="14" t="n">
        <v>0.617553160755095</v>
      </c>
      <c r="W592" s="13" t="n">
        <v>-0.00485436893203883</v>
      </c>
      <c r="X592" s="15" t="n">
        <v>0.0146341463414634</v>
      </c>
      <c r="Y592" s="13" t="n">
        <v>0.0267226228556319</v>
      </c>
      <c r="Z592" s="13" t="n">
        <v>0.00798063880738309</v>
      </c>
      <c r="AA592" s="30" t="s">
        <v>96</v>
      </c>
      <c r="AB592" s="28" t="s">
        <v>93</v>
      </c>
      <c r="AC592" s="28" t="s">
        <v>99</v>
      </c>
      <c r="AD592" s="28" t="s">
        <v>106</v>
      </c>
      <c r="AE592" s="28" t="s">
        <v>112</v>
      </c>
      <c r="AF592" s="28" t="s">
        <v>116</v>
      </c>
      <c r="AG592" s="30" t="s">
        <v>123</v>
      </c>
    </row>
    <row r="593" customFormat="false" ht="15" hidden="false" customHeight="false" outlineLevel="0" collapsed="false">
      <c r="A593" s="10" t="n">
        <v>2025</v>
      </c>
      <c r="B593" s="28" t="s">
        <v>73</v>
      </c>
      <c r="C593" s="29" t="n">
        <v>45988</v>
      </c>
      <c r="D593" s="30" t="s">
        <v>128</v>
      </c>
      <c r="E593" s="28" t="s">
        <v>891</v>
      </c>
      <c r="F593" s="30" t="s">
        <v>892</v>
      </c>
      <c r="G593" s="31" t="n">
        <v>12533</v>
      </c>
      <c r="H593" s="31" t="n">
        <v>7</v>
      </c>
      <c r="I593" s="31" t="n">
        <v>87728</v>
      </c>
      <c r="J593" s="29" t="n">
        <v>45992</v>
      </c>
      <c r="K593" s="31" t="n">
        <v>15040</v>
      </c>
      <c r="L593" s="30" t="s">
        <v>31</v>
      </c>
      <c r="M593" s="10" t="n">
        <v>2</v>
      </c>
      <c r="N593" s="12" t="n">
        <v>17365</v>
      </c>
      <c r="O593" s="13" t="n">
        <v>0.197947748896471</v>
      </c>
      <c r="P593" s="15" t="n">
        <v>0.306201785435012</v>
      </c>
      <c r="Q593" s="13" t="n">
        <v>0.0037885437246461</v>
      </c>
      <c r="R593" s="15" t="n">
        <v>0.148623853211009</v>
      </c>
      <c r="S593" s="32" t="n">
        <v>338165500480</v>
      </c>
      <c r="T593" s="15" t="n">
        <v>0.028759244042728</v>
      </c>
      <c r="U593" s="32" t="n">
        <v>50196453002</v>
      </c>
      <c r="V593" s="14" t="n">
        <v>5.737947572392</v>
      </c>
      <c r="W593" s="13" t="n">
        <v>0.130984643179765</v>
      </c>
      <c r="X593" s="15" t="n">
        <v>0.049520766773163</v>
      </c>
      <c r="Y593" s="13" t="n">
        <v>0.00657431321906543</v>
      </c>
      <c r="Z593" s="13" t="n">
        <v>-0.00447956852316567</v>
      </c>
      <c r="AA593" s="30" t="s">
        <v>96</v>
      </c>
      <c r="AB593" s="28" t="s">
        <v>94</v>
      </c>
      <c r="AC593" s="28" t="s">
        <v>102</v>
      </c>
      <c r="AD593" s="28" t="s">
        <v>110</v>
      </c>
      <c r="AE593" s="28" t="s">
        <v>113</v>
      </c>
      <c r="AF593" s="28" t="s">
        <v>119</v>
      </c>
      <c r="AG593" s="30" t="s">
        <v>122</v>
      </c>
    </row>
    <row r="594" customFormat="false" ht="15" hidden="false" customHeight="false" outlineLevel="0" collapsed="false">
      <c r="A594" s="10" t="n">
        <v>2025</v>
      </c>
      <c r="B594" s="28" t="s">
        <v>73</v>
      </c>
      <c r="C594" s="29" t="n">
        <v>45988</v>
      </c>
      <c r="D594" s="30" t="s">
        <v>128</v>
      </c>
      <c r="E594" s="28" t="s">
        <v>893</v>
      </c>
      <c r="F594" s="30" t="s">
        <v>894</v>
      </c>
      <c r="G594" s="31" t="n">
        <v>17768</v>
      </c>
      <c r="H594" s="31" t="n">
        <v>5</v>
      </c>
      <c r="I594" s="31" t="n">
        <v>88839</v>
      </c>
      <c r="J594" s="29" t="n">
        <v>45989</v>
      </c>
      <c r="K594" s="31" t="n">
        <v>21350</v>
      </c>
      <c r="L594" s="30" t="s">
        <v>31</v>
      </c>
      <c r="M594" s="10" t="n">
        <v>1</v>
      </c>
      <c r="N594" s="12" t="n">
        <v>17722</v>
      </c>
      <c r="O594" s="13" t="n">
        <v>0.199482620900227</v>
      </c>
      <c r="P594" s="15" t="n">
        <v>0.207243460764588</v>
      </c>
      <c r="Q594" s="13" t="n">
        <v>-0.0100040804266154</v>
      </c>
      <c r="R594" s="15" t="n">
        <v>0.134910485933504</v>
      </c>
      <c r="S594" s="32" t="n">
        <v>190365572750</v>
      </c>
      <c r="T594" s="15" t="n">
        <v>0.00680657969370402</v>
      </c>
      <c r="U594" s="32" t="n">
        <v>55343804363.5</v>
      </c>
      <c r="V594" s="14" t="n">
        <v>2.96276012190366</v>
      </c>
      <c r="W594" s="13" t="n">
        <v>0.118462507876497</v>
      </c>
      <c r="X594" s="15" t="n">
        <v>0.0247887323943663</v>
      </c>
      <c r="Y594" s="13" t="n">
        <v>0.00657431321906543</v>
      </c>
      <c r="Z594" s="13" t="n">
        <v>-0.00447956852316567</v>
      </c>
      <c r="AA594" s="30" t="s">
        <v>96</v>
      </c>
      <c r="AB594" s="28" t="s">
        <v>94</v>
      </c>
      <c r="AC594" s="28" t="s">
        <v>102</v>
      </c>
      <c r="AD594" s="28" t="s">
        <v>109</v>
      </c>
      <c r="AE594" s="28" t="s">
        <v>112</v>
      </c>
      <c r="AF594" s="28" t="s">
        <v>117</v>
      </c>
      <c r="AG594" s="30" t="s">
        <v>122</v>
      </c>
    </row>
    <row r="595" customFormat="false" ht="15" hidden="false" customHeight="false" outlineLevel="0" collapsed="false">
      <c r="A595" s="10" t="n">
        <v>2025</v>
      </c>
      <c r="B595" s="28" t="s">
        <v>73</v>
      </c>
      <c r="C595" s="29" t="n">
        <v>45988</v>
      </c>
      <c r="D595" s="30" t="s">
        <v>128</v>
      </c>
      <c r="E595" s="28" t="s">
        <v>895</v>
      </c>
      <c r="F595" s="30" t="s">
        <v>896</v>
      </c>
      <c r="G595" s="31" t="n">
        <v>16316</v>
      </c>
      <c r="H595" s="31" t="n">
        <v>6</v>
      </c>
      <c r="I595" s="31" t="n">
        <v>97898</v>
      </c>
      <c r="J595" s="29" t="n">
        <v>45992</v>
      </c>
      <c r="K595" s="31" t="n">
        <v>15524</v>
      </c>
      <c r="L595" s="30" t="s">
        <v>32</v>
      </c>
      <c r="M595" s="10" t="n">
        <v>2</v>
      </c>
      <c r="N595" s="12" t="n">
        <v>-4919</v>
      </c>
      <c r="O595" s="13" t="n">
        <v>-0.0502505349864858</v>
      </c>
      <c r="P595" s="15" t="n">
        <v>0.00574272353413474</v>
      </c>
      <c r="Q595" s="13" t="n">
        <v>-0.0653518260880223</v>
      </c>
      <c r="R595" s="15" t="n">
        <v>0.0502577319587629</v>
      </c>
      <c r="S595" s="32" t="n">
        <v>20259514500</v>
      </c>
      <c r="T595" s="15" t="n">
        <v>0.0502577319587629</v>
      </c>
      <c r="U595" s="32" t="n">
        <v>16778770646</v>
      </c>
      <c r="V595" s="14" t="n">
        <v>1.10370183200838</v>
      </c>
      <c r="W595" s="13" t="n">
        <v>0.0448717948717949</v>
      </c>
      <c r="X595" s="15" t="n">
        <v>0.011042944785276</v>
      </c>
      <c r="Y595" s="13" t="n">
        <v>0.00657431321906543</v>
      </c>
      <c r="Z595" s="13" t="n">
        <v>-0.00447956852316567</v>
      </c>
      <c r="AA595" s="30" t="s">
        <v>96</v>
      </c>
      <c r="AB595" s="28" t="s">
        <v>94</v>
      </c>
      <c r="AC595" s="28" t="s">
        <v>101</v>
      </c>
      <c r="AD595" s="28" t="s">
        <v>106</v>
      </c>
      <c r="AE595" s="28" t="s">
        <v>101</v>
      </c>
      <c r="AF595" s="28" t="s">
        <v>116</v>
      </c>
      <c r="AG595" s="30" t="s">
        <v>122</v>
      </c>
    </row>
    <row r="596" customFormat="false" ht="15" hidden="false" customHeight="false" outlineLevel="0" collapsed="false">
      <c r="A596" s="10" t="n">
        <v>2025</v>
      </c>
      <c r="B596" s="28" t="s">
        <v>73</v>
      </c>
      <c r="C596" s="29" t="n">
        <v>45989</v>
      </c>
      <c r="D596" s="30" t="s">
        <v>129</v>
      </c>
      <c r="E596" s="28" t="s">
        <v>897</v>
      </c>
      <c r="F596" s="30" t="s">
        <v>898</v>
      </c>
      <c r="G596" s="31" t="n">
        <v>47798</v>
      </c>
      <c r="H596" s="31" t="n">
        <v>2</v>
      </c>
      <c r="I596" s="31" t="n">
        <v>95595</v>
      </c>
      <c r="J596" s="29" t="n">
        <v>45992</v>
      </c>
      <c r="K596" s="31" t="n">
        <v>45504</v>
      </c>
      <c r="L596" s="30" t="s">
        <v>32</v>
      </c>
      <c r="M596" s="10" t="n">
        <v>1</v>
      </c>
      <c r="N596" s="12" t="n">
        <v>-4751</v>
      </c>
      <c r="O596" s="13" t="n">
        <v>-0.0497000801292948</v>
      </c>
      <c r="P596" s="15" t="n">
        <v>0.0136460398240506</v>
      </c>
      <c r="Q596" s="13" t="n">
        <v>-0.0480723465016657</v>
      </c>
      <c r="R596" s="15" t="n">
        <v>0.126179245283019</v>
      </c>
      <c r="S596" s="32" t="n">
        <v>44865470250</v>
      </c>
      <c r="T596" s="15" t="n">
        <v>0.0889395667046751</v>
      </c>
      <c r="U596" s="32" t="n">
        <v>14537840507.5</v>
      </c>
      <c r="V596" s="14" t="n">
        <v>2.66096952430041</v>
      </c>
      <c r="W596" s="13" t="n">
        <v>0.124852767962309</v>
      </c>
      <c r="X596" s="15" t="n">
        <v>0.0157068062827226</v>
      </c>
      <c r="Y596" s="13" t="n">
        <v>-0.0151295113258136</v>
      </c>
      <c r="Z596" s="13" t="n">
        <v>0.0190306389913995</v>
      </c>
      <c r="AA596" s="30" t="s">
        <v>96</v>
      </c>
      <c r="AB596" s="28" t="s">
        <v>93</v>
      </c>
      <c r="AC596" s="28" t="s">
        <v>102</v>
      </c>
      <c r="AD596" s="28" t="s">
        <v>107</v>
      </c>
      <c r="AE596" s="28" t="s">
        <v>101</v>
      </c>
      <c r="AF596" s="28" t="s">
        <v>117</v>
      </c>
      <c r="AG596" s="30" t="s">
        <v>122</v>
      </c>
    </row>
    <row r="597" customFormat="false" ht="15" hidden="false" customHeight="false" outlineLevel="0" collapsed="false">
      <c r="A597" s="10" t="n">
        <v>2025</v>
      </c>
      <c r="B597" s="28" t="s">
        <v>74</v>
      </c>
      <c r="C597" s="29" t="n">
        <v>45992</v>
      </c>
      <c r="D597" s="30" t="s">
        <v>125</v>
      </c>
      <c r="E597" s="28" t="s">
        <v>899</v>
      </c>
      <c r="F597" s="30" t="s">
        <v>900</v>
      </c>
      <c r="G597" s="31" t="n">
        <v>4575</v>
      </c>
      <c r="H597" s="31" t="n">
        <v>21</v>
      </c>
      <c r="I597" s="31" t="n">
        <v>96066</v>
      </c>
      <c r="J597" s="29" t="n">
        <v>45993</v>
      </c>
      <c r="K597" s="31" t="n">
        <v>4351</v>
      </c>
      <c r="L597" s="30" t="s">
        <v>32</v>
      </c>
      <c r="M597" s="10" t="n">
        <v>1</v>
      </c>
      <c r="N597" s="12" t="n">
        <v>-4868</v>
      </c>
      <c r="O597" s="13" t="n">
        <v>-0.0506691885248229</v>
      </c>
      <c r="P597" s="15" t="n">
        <v>0.0143029836684103</v>
      </c>
      <c r="Q597" s="13" t="n">
        <v>-0.0534629484301257</v>
      </c>
      <c r="R597" s="15" t="n">
        <v>0.133995037220844</v>
      </c>
      <c r="S597" s="32" t="n">
        <v>57046062390</v>
      </c>
      <c r="T597" s="15" t="n">
        <v>0.0517836593785961</v>
      </c>
      <c r="U597" s="32" t="n">
        <v>4141698051.5</v>
      </c>
      <c r="V597" s="14" t="n">
        <v>12.4251414394846</v>
      </c>
      <c r="W597" s="13" t="n">
        <v>0.0316027088036117</v>
      </c>
      <c r="X597" s="15" t="n">
        <v>0.0765864332603938</v>
      </c>
      <c r="Y597" s="13" t="n">
        <v>-0.00158407167542329</v>
      </c>
      <c r="Z597" s="13" t="n">
        <v>0.019321071434143</v>
      </c>
      <c r="AA597" s="30" t="s">
        <v>96</v>
      </c>
      <c r="AB597" s="28" t="s">
        <v>93</v>
      </c>
      <c r="AC597" s="28" t="s">
        <v>102</v>
      </c>
      <c r="AD597" s="28" t="s">
        <v>108</v>
      </c>
      <c r="AE597" s="28" t="s">
        <v>101</v>
      </c>
      <c r="AF597" s="28" t="s">
        <v>120</v>
      </c>
      <c r="AG597" s="30" t="s">
        <v>122</v>
      </c>
    </row>
    <row r="598" customFormat="false" ht="15" hidden="false" customHeight="false" outlineLevel="0" collapsed="false">
      <c r="A598" s="10" t="n">
        <v>2025</v>
      </c>
      <c r="B598" s="28" t="s">
        <v>74</v>
      </c>
      <c r="C598" s="29" t="n">
        <v>45993</v>
      </c>
      <c r="D598" s="30" t="s">
        <v>126</v>
      </c>
      <c r="E598" s="28" t="s">
        <v>901</v>
      </c>
      <c r="F598" s="30" t="s">
        <v>902</v>
      </c>
      <c r="G598" s="31" t="n">
        <v>72172</v>
      </c>
      <c r="H598" s="31" t="n">
        <v>1</v>
      </c>
      <c r="I598" s="31" t="n">
        <v>72172</v>
      </c>
      <c r="J598" s="29" t="n">
        <v>46017</v>
      </c>
      <c r="K598" s="31" t="n">
        <v>68631</v>
      </c>
      <c r="L598" s="30" t="s">
        <v>32</v>
      </c>
      <c r="M598" s="10" t="n">
        <v>17</v>
      </c>
      <c r="N598" s="12" t="n">
        <v>-3665</v>
      </c>
      <c r="O598" s="13" t="n">
        <v>-0.0507795596913488</v>
      </c>
      <c r="P598" s="15" t="n">
        <v>0.0849067714532348</v>
      </c>
      <c r="Q598" s="13" t="n">
        <v>-0.0550365030254072</v>
      </c>
      <c r="R598" s="15" t="n">
        <v>0.0571847507331378</v>
      </c>
      <c r="S598" s="32" t="n">
        <v>55082020700</v>
      </c>
      <c r="T598" s="15" t="n">
        <v>0.0525547445255474</v>
      </c>
      <c r="U598" s="32" t="n">
        <v>42941075990</v>
      </c>
      <c r="V598" s="14" t="n">
        <v>1.15434030303951</v>
      </c>
      <c r="W598" s="13" t="n">
        <v>0.0525547445255474</v>
      </c>
      <c r="X598" s="15" t="n">
        <v>0.00554785020804438</v>
      </c>
      <c r="Y598" s="13" t="n">
        <v>0.0190186130390755</v>
      </c>
      <c r="Z598" s="13" t="n">
        <v>0.0355515348205444</v>
      </c>
      <c r="AA598" s="30" t="s">
        <v>97</v>
      </c>
      <c r="AB598" s="28" t="s">
        <v>93</v>
      </c>
      <c r="AC598" s="28" t="s">
        <v>101</v>
      </c>
      <c r="AD598" s="28" t="s">
        <v>108</v>
      </c>
      <c r="AE598" s="28" t="s">
        <v>101</v>
      </c>
      <c r="AF598" s="28" t="s">
        <v>116</v>
      </c>
      <c r="AG598" s="30" t="s">
        <v>122</v>
      </c>
    </row>
    <row r="599" customFormat="false" ht="15" hidden="false" customHeight="false" outlineLevel="0" collapsed="false">
      <c r="A599" s="10" t="n">
        <v>2025</v>
      </c>
      <c r="B599" s="28" t="s">
        <v>74</v>
      </c>
      <c r="C599" s="29" t="n">
        <v>45993</v>
      </c>
      <c r="D599" s="30" t="s">
        <v>126</v>
      </c>
      <c r="E599" s="28" t="s">
        <v>903</v>
      </c>
      <c r="F599" s="30" t="s">
        <v>904</v>
      </c>
      <c r="G599" s="31" t="n">
        <v>37638</v>
      </c>
      <c r="H599" s="31" t="n">
        <v>2</v>
      </c>
      <c r="I599" s="31" t="n">
        <v>75275</v>
      </c>
      <c r="J599" s="29" t="n">
        <v>45994</v>
      </c>
      <c r="K599" s="31" t="n">
        <v>45200</v>
      </c>
      <c r="L599" s="30" t="s">
        <v>31</v>
      </c>
      <c r="M599" s="10" t="n">
        <v>1</v>
      </c>
      <c r="N599" s="12" t="n">
        <v>14964</v>
      </c>
      <c r="O599" s="13" t="n">
        <v>0.198795203732438</v>
      </c>
      <c r="P599" s="15" t="n">
        <v>0.297904223436138</v>
      </c>
      <c r="Q599" s="13" t="n">
        <v>0.0268986332816121</v>
      </c>
      <c r="R599" s="15" t="n">
        <v>0.102639296187683</v>
      </c>
      <c r="S599" s="32" t="n">
        <v>38032588000</v>
      </c>
      <c r="T599" s="15" t="n">
        <v>0.102639296187683</v>
      </c>
      <c r="U599" s="32" t="n">
        <v>8428023140</v>
      </c>
      <c r="V599" s="14" t="n">
        <v>3.85729196180938</v>
      </c>
      <c r="W599" s="13" t="n">
        <v>0.0502793296089386</v>
      </c>
      <c r="X599" s="15" t="n">
        <v>0.0465425531914894</v>
      </c>
      <c r="Y599" s="13" t="n">
        <v>0.0190186130390755</v>
      </c>
      <c r="Z599" s="13" t="n">
        <v>0.0355515348205444</v>
      </c>
      <c r="AA599" s="30" t="s">
        <v>97</v>
      </c>
      <c r="AB599" s="28" t="s">
        <v>93</v>
      </c>
      <c r="AC599" s="28" t="s">
        <v>102</v>
      </c>
      <c r="AD599" s="28" t="s">
        <v>107</v>
      </c>
      <c r="AE599" s="28" t="s">
        <v>114</v>
      </c>
      <c r="AF599" s="28" t="s">
        <v>118</v>
      </c>
      <c r="AG599" s="30" t="s">
        <v>122</v>
      </c>
    </row>
    <row r="600" customFormat="false" ht="15" hidden="false" customHeight="false" outlineLevel="0" collapsed="false">
      <c r="A600" s="10" t="n">
        <v>2025</v>
      </c>
      <c r="B600" s="28" t="s">
        <v>74</v>
      </c>
      <c r="C600" s="29" t="n">
        <v>45993</v>
      </c>
      <c r="D600" s="30" t="s">
        <v>126</v>
      </c>
      <c r="E600" s="28" t="s">
        <v>681</v>
      </c>
      <c r="F600" s="30" t="s">
        <v>682</v>
      </c>
      <c r="G600" s="31" t="n">
        <v>55656</v>
      </c>
      <c r="H600" s="31" t="n">
        <v>1</v>
      </c>
      <c r="I600" s="31" t="n">
        <v>55656</v>
      </c>
      <c r="J600" s="29" t="n">
        <v>46006</v>
      </c>
      <c r="K600" s="31" t="n">
        <v>52947</v>
      </c>
      <c r="L600" s="30" t="s">
        <v>32</v>
      </c>
      <c r="M600" s="10" t="n">
        <v>9</v>
      </c>
      <c r="N600" s="12" t="n">
        <v>-2804</v>
      </c>
      <c r="O600" s="13" t="n">
        <v>-0.0503868593636578</v>
      </c>
      <c r="P600" s="15" t="n">
        <v>0.00618805654776899</v>
      </c>
      <c r="Q600" s="13" t="n">
        <v>-0.0566986969864666</v>
      </c>
      <c r="R600" s="15" t="n">
        <v>0.0431519699812384</v>
      </c>
      <c r="S600" s="32" t="n">
        <v>31000558400</v>
      </c>
      <c r="T600" s="15" t="n">
        <v>0.0183150183150183</v>
      </c>
      <c r="U600" s="32" t="n">
        <v>15662181825</v>
      </c>
      <c r="V600" s="14" t="n">
        <v>1.89068644555465</v>
      </c>
      <c r="W600" s="13" t="n">
        <v>0.0353817504655494</v>
      </c>
      <c r="X600" s="15" t="n">
        <v>0.00359712230215825</v>
      </c>
      <c r="Y600" s="13" t="n">
        <v>0.0190186130390755</v>
      </c>
      <c r="Z600" s="13" t="n">
        <v>0.0355515348205444</v>
      </c>
      <c r="AA600" s="30" t="s">
        <v>97</v>
      </c>
      <c r="AB600" s="28" t="s">
        <v>93</v>
      </c>
      <c r="AC600" s="28" t="s">
        <v>100</v>
      </c>
      <c r="AD600" s="28" t="s">
        <v>107</v>
      </c>
      <c r="AE600" s="28" t="s">
        <v>112</v>
      </c>
      <c r="AF600" s="28" t="s">
        <v>116</v>
      </c>
      <c r="AG600" s="30" t="s">
        <v>122</v>
      </c>
    </row>
    <row r="601" customFormat="false" ht="15" hidden="false" customHeight="false" outlineLevel="0" collapsed="false">
      <c r="A601" s="10" t="n">
        <v>2025</v>
      </c>
      <c r="B601" s="28" t="s">
        <v>74</v>
      </c>
      <c r="C601" s="29" t="n">
        <v>45994</v>
      </c>
      <c r="D601" s="30" t="s">
        <v>127</v>
      </c>
      <c r="E601" s="28" t="s">
        <v>717</v>
      </c>
      <c r="F601" s="30" t="s">
        <v>718</v>
      </c>
      <c r="G601" s="31" t="n">
        <v>70570</v>
      </c>
      <c r="H601" s="31" t="n">
        <v>1</v>
      </c>
      <c r="I601" s="31" t="n">
        <v>70570</v>
      </c>
      <c r="J601" s="29" t="n">
        <v>45995</v>
      </c>
      <c r="K601" s="31" t="n">
        <v>67133</v>
      </c>
      <c r="L601" s="30" t="s">
        <v>32</v>
      </c>
      <c r="M601" s="10" t="n">
        <v>1</v>
      </c>
      <c r="N601" s="12" t="n">
        <v>-3559</v>
      </c>
      <c r="O601" s="13" t="n">
        <v>-0.0504326127064423</v>
      </c>
      <c r="P601" s="15" t="n">
        <v>0.00183504438823601</v>
      </c>
      <c r="Q601" s="13" t="n">
        <v>-0.0491777725820277</v>
      </c>
      <c r="R601" s="15" t="n">
        <v>0.0698027314112291</v>
      </c>
      <c r="S601" s="32" t="n">
        <v>259803357000</v>
      </c>
      <c r="T601" s="15" t="n">
        <v>0.0522388059701493</v>
      </c>
      <c r="U601" s="32" t="n">
        <v>79464132850</v>
      </c>
      <c r="V601" s="14" t="n">
        <v>2.94935614884446</v>
      </c>
      <c r="W601" s="13" t="n">
        <v>0.0337243401759531</v>
      </c>
      <c r="X601" s="15" t="n">
        <v>0.00567375886524824</v>
      </c>
      <c r="Y601" s="13" t="n">
        <v>0.0103556257556454</v>
      </c>
      <c r="Z601" s="13" t="n">
        <v>0.0190437959337217</v>
      </c>
      <c r="AA601" s="30" t="s">
        <v>97</v>
      </c>
      <c r="AB601" s="28" t="s">
        <v>93</v>
      </c>
      <c r="AC601" s="28" t="s">
        <v>101</v>
      </c>
      <c r="AD601" s="28" t="s">
        <v>110</v>
      </c>
      <c r="AE601" s="28" t="s">
        <v>101</v>
      </c>
      <c r="AF601" s="28" t="s">
        <v>117</v>
      </c>
      <c r="AG601" s="30" t="s">
        <v>122</v>
      </c>
    </row>
    <row r="602" customFormat="false" ht="15" hidden="false" customHeight="false" outlineLevel="0" collapsed="false">
      <c r="A602" s="10" t="n">
        <v>2025</v>
      </c>
      <c r="B602" s="28" t="s">
        <v>74</v>
      </c>
      <c r="C602" s="29" t="n">
        <v>45995</v>
      </c>
      <c r="D602" s="30" t="s">
        <v>128</v>
      </c>
      <c r="E602" s="28" t="s">
        <v>641</v>
      </c>
      <c r="F602" s="30" t="s">
        <v>642</v>
      </c>
      <c r="G602" s="31" t="n">
        <v>42382</v>
      </c>
      <c r="H602" s="31" t="n">
        <v>2</v>
      </c>
      <c r="I602" s="31" t="n">
        <v>84763</v>
      </c>
      <c r="J602" s="29" t="n">
        <v>45996</v>
      </c>
      <c r="K602" s="31" t="n">
        <v>40310</v>
      </c>
      <c r="L602" s="30" t="s">
        <v>32</v>
      </c>
      <c r="M602" s="10" t="n">
        <v>1</v>
      </c>
      <c r="N602" s="12" t="n">
        <v>-4290</v>
      </c>
      <c r="O602" s="13" t="n">
        <v>-0.050609356743698</v>
      </c>
      <c r="P602" s="15" t="n">
        <v>0.0168802115110842</v>
      </c>
      <c r="Q602" s="13" t="n">
        <v>-0.0691634986937</v>
      </c>
      <c r="R602" s="15" t="n">
        <v>0.0347222222222221</v>
      </c>
      <c r="S602" s="32" t="n">
        <v>264227242800</v>
      </c>
      <c r="T602" s="15" t="n">
        <v>0.0335260115606937</v>
      </c>
      <c r="U602" s="32" t="n">
        <v>84432595990</v>
      </c>
      <c r="V602" s="14" t="n">
        <v>2.78844241987194</v>
      </c>
      <c r="W602" s="13" t="n">
        <v>-0.00445434298440972</v>
      </c>
      <c r="X602" s="15" t="n">
        <v>0.0425055928411633</v>
      </c>
      <c r="Y602" s="13" t="n">
        <v>-0.00192998538265243</v>
      </c>
      <c r="Z602" s="13" t="n">
        <v>0.0104341457419406</v>
      </c>
      <c r="AA602" s="30" t="s">
        <v>97</v>
      </c>
      <c r="AB602" s="28" t="s">
        <v>93</v>
      </c>
      <c r="AC602" s="28" t="s">
        <v>100</v>
      </c>
      <c r="AD602" s="28" t="s">
        <v>110</v>
      </c>
      <c r="AE602" s="28" t="s">
        <v>113</v>
      </c>
      <c r="AF602" s="28" t="s">
        <v>117</v>
      </c>
      <c r="AG602" s="30" t="s">
        <v>123</v>
      </c>
    </row>
    <row r="603" customFormat="false" ht="15" hidden="false" customHeight="false" outlineLevel="0" collapsed="false">
      <c r="A603" s="10" t="n">
        <v>2025</v>
      </c>
      <c r="B603" s="28" t="s">
        <v>74</v>
      </c>
      <c r="C603" s="29" t="n">
        <v>45996</v>
      </c>
      <c r="D603" s="30" t="s">
        <v>129</v>
      </c>
      <c r="E603" s="28" t="s">
        <v>549</v>
      </c>
      <c r="F603" s="30" t="s">
        <v>550</v>
      </c>
      <c r="G603" s="31" t="n">
        <v>96997</v>
      </c>
      <c r="H603" s="31" t="n">
        <v>1</v>
      </c>
      <c r="I603" s="31" t="n">
        <v>96997</v>
      </c>
      <c r="J603" s="29" t="n">
        <v>45999</v>
      </c>
      <c r="K603" s="31" t="n">
        <v>116400</v>
      </c>
      <c r="L603" s="30" t="s">
        <v>31</v>
      </c>
      <c r="M603" s="10" t="n">
        <v>1</v>
      </c>
      <c r="N603" s="12" t="n">
        <v>19196</v>
      </c>
      <c r="O603" s="13" t="n">
        <v>0.197908288460765</v>
      </c>
      <c r="P603" s="15" t="n">
        <v>0.22684333210649</v>
      </c>
      <c r="Q603" s="13" t="n">
        <v>0.0206511754499372</v>
      </c>
      <c r="R603" s="15" t="n">
        <v>0.0590163934426229</v>
      </c>
      <c r="S603" s="32" t="n">
        <v>825908835900</v>
      </c>
      <c r="T603" s="15" t="n">
        <v>0.0232312565997888</v>
      </c>
      <c r="U603" s="32" t="n">
        <v>314980302120</v>
      </c>
      <c r="V603" s="14" t="n">
        <v>2.39697867405204</v>
      </c>
      <c r="W603" s="13" t="n">
        <v>0.0707182320441988</v>
      </c>
      <c r="X603" s="15" t="n">
        <v>0.021671826625387</v>
      </c>
      <c r="Y603" s="13" t="n">
        <v>0.0177584268128912</v>
      </c>
      <c r="Z603" s="13" t="n">
        <v>0.0441757351798888</v>
      </c>
      <c r="AA603" s="30" t="s">
        <v>97</v>
      </c>
      <c r="AB603" s="28" t="s">
        <v>93</v>
      </c>
      <c r="AC603" s="28" t="s">
        <v>101</v>
      </c>
      <c r="AD603" s="28" t="s">
        <v>110</v>
      </c>
      <c r="AE603" s="28" t="s">
        <v>113</v>
      </c>
      <c r="AF603" s="28" t="s">
        <v>117</v>
      </c>
      <c r="AG603" s="30" t="s">
        <v>122</v>
      </c>
    </row>
    <row r="604" customFormat="false" ht="15" hidden="false" customHeight="false" outlineLevel="0" collapsed="false">
      <c r="A604" s="10" t="n">
        <v>2025</v>
      </c>
      <c r="B604" s="28" t="s">
        <v>74</v>
      </c>
      <c r="C604" s="29" t="n">
        <v>45999</v>
      </c>
      <c r="D604" s="30" t="s">
        <v>125</v>
      </c>
      <c r="E604" s="28" t="s">
        <v>455</v>
      </c>
      <c r="F604" s="30" t="s">
        <v>456</v>
      </c>
      <c r="G604" s="31" t="n">
        <v>28478</v>
      </c>
      <c r="H604" s="31" t="n">
        <v>3</v>
      </c>
      <c r="I604" s="31" t="n">
        <v>85435</v>
      </c>
      <c r="J604" s="29" t="n">
        <v>46002</v>
      </c>
      <c r="K604" s="31" t="n">
        <v>27073</v>
      </c>
      <c r="L604" s="30" t="s">
        <v>32</v>
      </c>
      <c r="M604" s="10" t="n">
        <v>3</v>
      </c>
      <c r="N604" s="12" t="n">
        <v>-4363</v>
      </c>
      <c r="O604" s="13" t="n">
        <v>-0.0510734275390689</v>
      </c>
      <c r="P604" s="15" t="n">
        <v>0.0306038425546336</v>
      </c>
      <c r="Q604" s="13" t="n">
        <v>-0.0554261204524824</v>
      </c>
      <c r="R604" s="15" t="n">
        <v>0.0776515151515151</v>
      </c>
      <c r="S604" s="32" t="n">
        <v>71327734700</v>
      </c>
      <c r="T604" s="15" t="n">
        <v>0.0326678765880217</v>
      </c>
      <c r="U604" s="32" t="n">
        <v>12400250650</v>
      </c>
      <c r="V604" s="14" t="n">
        <v>5.22046506862942</v>
      </c>
      <c r="W604" s="13" t="n">
        <v>0.0655430711610487</v>
      </c>
      <c r="X604" s="15" t="n">
        <v>0.0140597539543057</v>
      </c>
      <c r="Y604" s="13" t="n">
        <v>0.013365690662309</v>
      </c>
      <c r="Z604" s="13" t="n">
        <v>0.059810681134689</v>
      </c>
      <c r="AA604" s="30" t="s">
        <v>97</v>
      </c>
      <c r="AB604" s="28" t="s">
        <v>93</v>
      </c>
      <c r="AC604" s="28" t="s">
        <v>101</v>
      </c>
      <c r="AD604" s="28" t="s">
        <v>108</v>
      </c>
      <c r="AE604" s="28" t="s">
        <v>113</v>
      </c>
      <c r="AF604" s="28" t="s">
        <v>119</v>
      </c>
      <c r="AG604" s="30" t="s">
        <v>122</v>
      </c>
    </row>
    <row r="605" customFormat="false" ht="15" hidden="false" customHeight="false" outlineLevel="0" collapsed="false">
      <c r="A605" s="10" t="n">
        <v>2025</v>
      </c>
      <c r="B605" s="28" t="s">
        <v>74</v>
      </c>
      <c r="C605" s="29" t="n">
        <v>46003</v>
      </c>
      <c r="D605" s="30" t="s">
        <v>129</v>
      </c>
      <c r="E605" s="28" t="s">
        <v>629</v>
      </c>
      <c r="F605" s="30" t="s">
        <v>630</v>
      </c>
      <c r="G605" s="31" t="n">
        <v>4164</v>
      </c>
      <c r="H605" s="31" t="n">
        <v>23</v>
      </c>
      <c r="I605" s="31" t="n">
        <v>95776</v>
      </c>
      <c r="J605" s="29" t="n">
        <v>46006</v>
      </c>
      <c r="K605" s="31" t="n">
        <v>3961</v>
      </c>
      <c r="L605" s="30" t="s">
        <v>32</v>
      </c>
      <c r="M605" s="10" t="n">
        <v>1</v>
      </c>
      <c r="N605" s="12" t="n">
        <v>-4837</v>
      </c>
      <c r="O605" s="13" t="n">
        <v>-0.050498859734016</v>
      </c>
      <c r="P605" s="15" t="n">
        <v>0.00140244371013609</v>
      </c>
      <c r="Q605" s="13" t="n">
        <v>-0.0610351187274264</v>
      </c>
      <c r="R605" s="15" t="n">
        <v>0.176803394625177</v>
      </c>
      <c r="S605" s="32" t="n">
        <v>110983600000</v>
      </c>
      <c r="T605" s="15" t="n">
        <v>0.0374064837905237</v>
      </c>
      <c r="U605" s="32" t="n">
        <v>23908716513.75</v>
      </c>
      <c r="V605" s="14" t="n">
        <v>4.24361886814074</v>
      </c>
      <c r="W605" s="13" t="n">
        <v>0.168539325842697</v>
      </c>
      <c r="X605" s="15" t="n">
        <v>0</v>
      </c>
      <c r="Y605" s="13" t="n">
        <v>0.0137546160919764</v>
      </c>
      <c r="Z605" s="13" t="n">
        <v>0.0163680930720356</v>
      </c>
      <c r="AA605" s="30" t="s">
        <v>97</v>
      </c>
      <c r="AB605" s="28" t="s">
        <v>93</v>
      </c>
      <c r="AC605" s="28" t="s">
        <v>103</v>
      </c>
      <c r="AD605" s="28" t="s">
        <v>109</v>
      </c>
      <c r="AE605" s="28" t="s">
        <v>113</v>
      </c>
      <c r="AF605" s="28" t="s">
        <v>118</v>
      </c>
      <c r="AG605" s="30" t="s">
        <v>122</v>
      </c>
    </row>
    <row r="606" customFormat="false" ht="15" hidden="false" customHeight="false" outlineLevel="0" collapsed="false">
      <c r="A606" s="10" t="n">
        <v>2025</v>
      </c>
      <c r="B606" s="28" t="s">
        <v>74</v>
      </c>
      <c r="C606" s="29" t="n">
        <v>46006</v>
      </c>
      <c r="D606" s="30" t="s">
        <v>125</v>
      </c>
      <c r="E606" s="28" t="s">
        <v>649</v>
      </c>
      <c r="F606" s="30" t="s">
        <v>650</v>
      </c>
      <c r="G606" s="31" t="n">
        <v>37537</v>
      </c>
      <c r="H606" s="31" t="n">
        <v>2</v>
      </c>
      <c r="I606" s="31" t="n">
        <v>75075</v>
      </c>
      <c r="J606" s="29" t="n">
        <v>46007</v>
      </c>
      <c r="K606" s="31" t="n">
        <v>35714</v>
      </c>
      <c r="L606" s="30" t="s">
        <v>32</v>
      </c>
      <c r="M606" s="10" t="n">
        <v>1</v>
      </c>
      <c r="N606" s="12" t="n">
        <v>-3776</v>
      </c>
      <c r="O606" s="13" t="n">
        <v>-0.0502912857142855</v>
      </c>
      <c r="P606" s="15" t="n">
        <v>0.00965700965700989</v>
      </c>
      <c r="Q606" s="13" t="n">
        <v>-0.0929070929070928</v>
      </c>
      <c r="R606" s="15" t="n">
        <v>0.227495908346972</v>
      </c>
      <c r="S606" s="32" t="n">
        <v>830950012500</v>
      </c>
      <c r="T606" s="15" t="n">
        <v>0.219512195121951</v>
      </c>
      <c r="U606" s="32" t="n">
        <v>163382086242.5</v>
      </c>
      <c r="V606" s="14" t="n">
        <v>3.59186641972396</v>
      </c>
      <c r="W606" s="13" t="n">
        <v>0.264755480607083</v>
      </c>
      <c r="X606" s="15" t="n">
        <v>0.028</v>
      </c>
      <c r="Y606" s="13" t="n">
        <v>-0.0183746244444657</v>
      </c>
      <c r="Z606" s="13" t="n">
        <v>-0.0154662623199394</v>
      </c>
      <c r="AA606" s="30" t="s">
        <v>97</v>
      </c>
      <c r="AB606" s="28" t="s">
        <v>94</v>
      </c>
      <c r="AC606" s="28" t="s">
        <v>104</v>
      </c>
      <c r="AD606" s="28" t="s">
        <v>110</v>
      </c>
      <c r="AE606" s="28" t="s">
        <v>114</v>
      </c>
      <c r="AF606" s="28" t="s">
        <v>118</v>
      </c>
      <c r="AG606" s="30" t="s">
        <v>122</v>
      </c>
    </row>
    <row r="607" customFormat="false" ht="15" hidden="false" customHeight="false" outlineLevel="0" collapsed="false">
      <c r="A607" s="10" t="n">
        <v>2025</v>
      </c>
      <c r="B607" s="28" t="s">
        <v>74</v>
      </c>
      <c r="C607" s="29" t="n">
        <v>46006</v>
      </c>
      <c r="D607" s="30" t="s">
        <v>125</v>
      </c>
      <c r="E607" s="28" t="s">
        <v>539</v>
      </c>
      <c r="F607" s="30" t="s">
        <v>540</v>
      </c>
      <c r="G607" s="31" t="n">
        <v>47598</v>
      </c>
      <c r="H607" s="31" t="n">
        <v>2</v>
      </c>
      <c r="I607" s="31" t="n">
        <v>95195</v>
      </c>
      <c r="J607" s="29" t="n">
        <v>46007</v>
      </c>
      <c r="K607" s="31" t="n">
        <v>45305</v>
      </c>
      <c r="L607" s="30" t="s">
        <v>32</v>
      </c>
      <c r="M607" s="10" t="n">
        <v>1</v>
      </c>
      <c r="N607" s="12" t="n">
        <v>-4750</v>
      </c>
      <c r="O607" s="13" t="n">
        <v>-0.0498931626732888</v>
      </c>
      <c r="P607" s="15" t="n">
        <v>0.0158085867865048</v>
      </c>
      <c r="Q607" s="13" t="n">
        <v>-0.0692798263776181</v>
      </c>
      <c r="R607" s="15" t="n">
        <v>0.0450549450549451</v>
      </c>
      <c r="S607" s="32" t="n">
        <v>39754653000</v>
      </c>
      <c r="T607" s="15" t="n">
        <v>0.028108108108108</v>
      </c>
      <c r="U607" s="32" t="n">
        <v>15410014547.5</v>
      </c>
      <c r="V607" s="14" t="n">
        <v>2.30374265183633</v>
      </c>
      <c r="W607" s="13" t="n">
        <v>0.0806818181818181</v>
      </c>
      <c r="X607" s="15" t="n">
        <v>0.0010515247108307</v>
      </c>
      <c r="Y607" s="13" t="n">
        <v>-0.0183746244444657</v>
      </c>
      <c r="Z607" s="13" t="n">
        <v>-0.0154662623199394</v>
      </c>
      <c r="AA607" s="30" t="s">
        <v>97</v>
      </c>
      <c r="AB607" s="28" t="s">
        <v>94</v>
      </c>
      <c r="AC607" s="28" t="s">
        <v>100</v>
      </c>
      <c r="AD607" s="28" t="s">
        <v>107</v>
      </c>
      <c r="AE607" s="28" t="s">
        <v>113</v>
      </c>
      <c r="AF607" s="28" t="s">
        <v>117</v>
      </c>
      <c r="AG607" s="30" t="s">
        <v>122</v>
      </c>
    </row>
    <row r="608" customFormat="false" ht="15" hidden="false" customHeight="false" outlineLevel="0" collapsed="false">
      <c r="A608" s="10" t="n">
        <v>2025</v>
      </c>
      <c r="B608" s="28" t="s">
        <v>74</v>
      </c>
      <c r="C608" s="29" t="n">
        <v>46007</v>
      </c>
      <c r="D608" s="30" t="s">
        <v>126</v>
      </c>
      <c r="E608" s="28" t="s">
        <v>905</v>
      </c>
      <c r="F608" s="30" t="s">
        <v>906</v>
      </c>
      <c r="G608" s="31" t="n">
        <v>90090</v>
      </c>
      <c r="H608" s="31" t="n">
        <v>1</v>
      </c>
      <c r="I608" s="31" t="n">
        <v>90090</v>
      </c>
      <c r="J608" s="29" t="n">
        <v>46020</v>
      </c>
      <c r="K608" s="31" t="n">
        <v>85714</v>
      </c>
      <c r="L608" s="30" t="s">
        <v>32</v>
      </c>
      <c r="M608" s="10" t="n">
        <v>8</v>
      </c>
      <c r="N608" s="12" t="n">
        <v>-4531</v>
      </c>
      <c r="O608" s="13" t="n">
        <v>-0.0502912857142858</v>
      </c>
      <c r="P608" s="15" t="n">
        <v>0.0101010101010102</v>
      </c>
      <c r="Q608" s="13" t="n">
        <v>-0.0609390609390608</v>
      </c>
      <c r="R608" s="15" t="n">
        <v>0.00896860986547088</v>
      </c>
      <c r="S608" s="32" t="n">
        <v>33708420000</v>
      </c>
      <c r="T608" s="15" t="n">
        <v>0.00111234705228025</v>
      </c>
      <c r="U608" s="32" t="n">
        <v>20181633425</v>
      </c>
      <c r="V608" s="14" t="n">
        <v>1.61618384566989</v>
      </c>
      <c r="W608" s="13" t="n">
        <v>0.0215664018161181</v>
      </c>
      <c r="X608" s="15" t="n">
        <v>0.028888888888889</v>
      </c>
      <c r="Y608" s="13" t="n">
        <v>-0.0223586328622522</v>
      </c>
      <c r="Z608" s="13" t="n">
        <v>-0.0348541709403772</v>
      </c>
      <c r="AA608" s="30" t="s">
        <v>96</v>
      </c>
      <c r="AB608" s="28" t="s">
        <v>94</v>
      </c>
      <c r="AC608" s="28" t="s">
        <v>99</v>
      </c>
      <c r="AD608" s="28" t="s">
        <v>107</v>
      </c>
      <c r="AE608" s="28" t="s">
        <v>112</v>
      </c>
      <c r="AF608" s="28" t="s">
        <v>116</v>
      </c>
      <c r="AG608" s="30" t="s">
        <v>122</v>
      </c>
    </row>
    <row r="609" customFormat="false" ht="15" hidden="false" customHeight="false" outlineLevel="0" collapsed="false">
      <c r="A609" s="10" t="n">
        <v>2025</v>
      </c>
      <c r="B609" s="28" t="s">
        <v>74</v>
      </c>
      <c r="C609" s="29" t="n">
        <v>46008</v>
      </c>
      <c r="D609" s="30" t="s">
        <v>127</v>
      </c>
      <c r="E609" s="28" t="s">
        <v>907</v>
      </c>
      <c r="F609" s="30" t="s">
        <v>908</v>
      </c>
      <c r="G609" s="31" t="n">
        <v>58558</v>
      </c>
      <c r="H609" s="31" t="n">
        <v>1</v>
      </c>
      <c r="I609" s="31" t="n">
        <v>58558</v>
      </c>
      <c r="J609" s="29" t="n">
        <v>46009</v>
      </c>
      <c r="K609" s="31" t="n">
        <v>55744</v>
      </c>
      <c r="L609" s="30" t="s">
        <v>32</v>
      </c>
      <c r="M609" s="10" t="n">
        <v>1</v>
      </c>
      <c r="N609" s="12" t="n">
        <v>-2915</v>
      </c>
      <c r="O609" s="13" t="n">
        <v>-0.0497803342811034</v>
      </c>
      <c r="P609" s="15" t="n">
        <v>-0.00441438902977354</v>
      </c>
      <c r="Q609" s="13" t="n">
        <v>-0.0778452316913855</v>
      </c>
      <c r="R609" s="15" t="n">
        <v>0.192660550458716</v>
      </c>
      <c r="S609" s="32" t="n">
        <v>74585101500</v>
      </c>
      <c r="T609" s="15" t="n">
        <v>0.0465116279069768</v>
      </c>
      <c r="U609" s="32" t="n">
        <v>12412150717.5</v>
      </c>
      <c r="V609" s="14" t="n">
        <v>5.33092075279203</v>
      </c>
      <c r="W609" s="13" t="n">
        <v>0.153846153846154</v>
      </c>
      <c r="X609" s="15" t="n">
        <v>0.00512820512820511</v>
      </c>
      <c r="Y609" s="13" t="n">
        <v>0.0143231152775729</v>
      </c>
      <c r="Z609" s="13" t="n">
        <v>-0.0190060459492141</v>
      </c>
      <c r="AA609" s="30" t="s">
        <v>97</v>
      </c>
      <c r="AB609" s="28" t="s">
        <v>94</v>
      </c>
      <c r="AC609" s="28" t="s">
        <v>103</v>
      </c>
      <c r="AD609" s="28" t="s">
        <v>108</v>
      </c>
      <c r="AE609" s="28" t="s">
        <v>113</v>
      </c>
      <c r="AF609" s="28" t="s">
        <v>119</v>
      </c>
      <c r="AG609" s="30" t="s">
        <v>122</v>
      </c>
    </row>
    <row r="610" customFormat="false" ht="15" hidden="false" customHeight="false" outlineLevel="0" collapsed="false">
      <c r="A610" s="10" t="n">
        <v>2025</v>
      </c>
      <c r="B610" s="28" t="s">
        <v>74</v>
      </c>
      <c r="C610" s="29" t="n">
        <v>46010</v>
      </c>
      <c r="D610" s="30" t="s">
        <v>129</v>
      </c>
      <c r="E610" s="28" t="s">
        <v>241</v>
      </c>
      <c r="F610" s="30" t="s">
        <v>242</v>
      </c>
      <c r="G610" s="31" t="n">
        <v>22723</v>
      </c>
      <c r="H610" s="31" t="n">
        <v>4</v>
      </c>
      <c r="I610" s="31" t="n">
        <v>90891</v>
      </c>
      <c r="J610" s="29"/>
      <c r="K610" s="31"/>
      <c r="L610" s="30" t="s">
        <v>33</v>
      </c>
      <c r="M610" s="10" t="n">
        <v>6</v>
      </c>
      <c r="N610" s="12" t="n">
        <v>37812</v>
      </c>
      <c r="O610" s="13" t="n">
        <v>0.419285560254723</v>
      </c>
      <c r="P610" s="15" t="n">
        <v>2.86397743225937</v>
      </c>
      <c r="Q610" s="13" t="n">
        <v>-0.0076003291862321</v>
      </c>
      <c r="R610" s="15" t="n">
        <v>0.0271493212669682</v>
      </c>
      <c r="S610" s="32" t="n">
        <v>440848005900</v>
      </c>
      <c r="T610" s="15" t="n">
        <v>0.00888888888888895</v>
      </c>
      <c r="U610" s="32" t="n">
        <v>75488545530</v>
      </c>
      <c r="V610" s="14" t="n">
        <v>5.57718626509598</v>
      </c>
      <c r="W610" s="13" t="n">
        <v>0.0133928571428572</v>
      </c>
      <c r="X610" s="15" t="n">
        <v>0.0682819383259912</v>
      </c>
      <c r="Y610" s="13" t="n">
        <v>0.00651894725510771</v>
      </c>
      <c r="Z610" s="13" t="n">
        <v>-0.0351822344234442</v>
      </c>
      <c r="AA610" s="30" t="s">
        <v>96</v>
      </c>
      <c r="AB610" s="28" t="s">
        <v>94</v>
      </c>
      <c r="AC610" s="28" t="s">
        <v>99</v>
      </c>
      <c r="AD610" s="28" t="s">
        <v>110</v>
      </c>
      <c r="AE610" s="28" t="s">
        <v>112</v>
      </c>
      <c r="AF610" s="28" t="s">
        <v>119</v>
      </c>
      <c r="AG610" s="30" t="s">
        <v>122</v>
      </c>
    </row>
    <row r="611" customFormat="false" ht="15" hidden="false" customHeight="false" outlineLevel="0" collapsed="false">
      <c r="A611" s="10" t="n">
        <v>2025</v>
      </c>
      <c r="B611" s="28" t="s">
        <v>74</v>
      </c>
      <c r="C611" s="29" t="n">
        <v>46017</v>
      </c>
      <c r="D611" s="30" t="s">
        <v>129</v>
      </c>
      <c r="E611" s="28" t="s">
        <v>353</v>
      </c>
      <c r="F611" s="30" t="s">
        <v>354</v>
      </c>
      <c r="G611" s="31" t="n">
        <v>21121</v>
      </c>
      <c r="H611" s="31" t="n">
        <v>4</v>
      </c>
      <c r="I611" s="31" t="n">
        <v>84484</v>
      </c>
      <c r="J611" s="29" t="n">
        <v>46021</v>
      </c>
      <c r="K611" s="31" t="n">
        <v>25350</v>
      </c>
      <c r="L611" s="30" t="s">
        <v>31</v>
      </c>
      <c r="M611" s="10" t="n">
        <v>2</v>
      </c>
      <c r="N611" s="12" t="n">
        <v>16736</v>
      </c>
      <c r="O611" s="13" t="n">
        <v>0.198091213762541</v>
      </c>
      <c r="P611" s="15" t="n">
        <v>0.302015520024999</v>
      </c>
      <c r="Q611" s="13" t="n">
        <v>0.0179394065649992</v>
      </c>
      <c r="R611" s="15" t="n">
        <v>0.0989583333333333</v>
      </c>
      <c r="S611" s="32" t="n">
        <v>55810111900</v>
      </c>
      <c r="T611" s="15" t="n">
        <v>0.0683544303797468</v>
      </c>
      <c r="U611" s="32" t="n">
        <v>7087259119.5</v>
      </c>
      <c r="V611" s="14" t="n">
        <v>7.12153047954703</v>
      </c>
      <c r="W611" s="13" t="n">
        <v>0.0949662688116242</v>
      </c>
      <c r="X611" s="15" t="n">
        <v>0.00236966824644558</v>
      </c>
      <c r="Y611" s="13" t="n">
        <v>0.00512580866568357</v>
      </c>
      <c r="Z611" s="13" t="n">
        <v>0.0338389439505722</v>
      </c>
      <c r="AA611" s="30" t="s">
        <v>97</v>
      </c>
      <c r="AB611" s="28" t="s">
        <v>93</v>
      </c>
      <c r="AC611" s="28" t="s">
        <v>101</v>
      </c>
      <c r="AD611" s="28" t="s">
        <v>108</v>
      </c>
      <c r="AE611" s="28" t="s">
        <v>101</v>
      </c>
      <c r="AF611" s="28" t="s">
        <v>119</v>
      </c>
      <c r="AG611" s="30" t="s">
        <v>122</v>
      </c>
    </row>
    <row r="612" customFormat="false" ht="15" hidden="false" customHeight="false" outlineLevel="0" collapsed="false">
      <c r="A612" s="10" t="n">
        <v>2025</v>
      </c>
      <c r="B612" s="28" t="s">
        <v>74</v>
      </c>
      <c r="C612" s="29" t="n">
        <v>46020</v>
      </c>
      <c r="D612" s="30" t="s">
        <v>125</v>
      </c>
      <c r="E612" s="28" t="s">
        <v>741</v>
      </c>
      <c r="F612" s="30" t="s">
        <v>742</v>
      </c>
      <c r="G612" s="31" t="n">
        <v>97798</v>
      </c>
      <c r="H612" s="31" t="n">
        <v>1</v>
      </c>
      <c r="I612" s="31" t="n">
        <v>97798</v>
      </c>
      <c r="J612" s="29" t="n">
        <v>46021</v>
      </c>
      <c r="K612" s="31" t="n">
        <v>93107</v>
      </c>
      <c r="L612" s="30" t="s">
        <v>32</v>
      </c>
      <c r="M612" s="10" t="n">
        <v>1</v>
      </c>
      <c r="N612" s="12" t="n">
        <v>-4859</v>
      </c>
      <c r="O612" s="13" t="n">
        <v>-0.0496861978860441</v>
      </c>
      <c r="P612" s="15" t="n">
        <v>-0.00508907673697834</v>
      </c>
      <c r="Q612" s="13" t="n">
        <v>-0.0674627317411348</v>
      </c>
      <c r="R612" s="15" t="n">
        <v>0.029504741833509</v>
      </c>
      <c r="S612" s="32" t="n">
        <v>144402456300</v>
      </c>
      <c r="T612" s="15" t="n">
        <v>0.0113871635610765</v>
      </c>
      <c r="U612" s="32" t="n">
        <v>193971083295</v>
      </c>
      <c r="V612" s="14" t="n">
        <v>0.697685401788577</v>
      </c>
      <c r="W612" s="13" t="n">
        <v>0.0124352331606217</v>
      </c>
      <c r="X612" s="15" t="n">
        <v>0.0122824974411464</v>
      </c>
      <c r="Y612" s="13" t="n">
        <v>0.022006547722826</v>
      </c>
      <c r="Z612" s="13" t="n">
        <v>0.0497469251719294</v>
      </c>
      <c r="AA612" s="30" t="s">
        <v>97</v>
      </c>
      <c r="AB612" s="28" t="s">
        <v>93</v>
      </c>
      <c r="AC612" s="28" t="s">
        <v>99</v>
      </c>
      <c r="AD612" s="28" t="s">
        <v>109</v>
      </c>
      <c r="AE612" s="28" t="s">
        <v>112</v>
      </c>
      <c r="AF612" s="28" t="s">
        <v>116</v>
      </c>
      <c r="AG612" s="30" t="s">
        <v>122</v>
      </c>
    </row>
    <row r="613" customFormat="false" ht="15" hidden="false" customHeight="false" outlineLevel="0" collapsed="false">
      <c r="A613" s="10" t="n">
        <v>2025</v>
      </c>
      <c r="B613" s="28" t="s">
        <v>74</v>
      </c>
      <c r="C613" s="29" t="n">
        <v>46021</v>
      </c>
      <c r="D613" s="30" t="s">
        <v>126</v>
      </c>
      <c r="E613" s="28" t="s">
        <v>909</v>
      </c>
      <c r="F613" s="30" t="s">
        <v>910</v>
      </c>
      <c r="G613" s="31" t="n">
        <v>46346</v>
      </c>
      <c r="H613" s="31" t="n">
        <v>2</v>
      </c>
      <c r="I613" s="31" t="n">
        <v>92693</v>
      </c>
      <c r="J613" s="29"/>
      <c r="K613" s="31"/>
      <c r="L613" s="30" t="s">
        <v>33</v>
      </c>
      <c r="M613" s="10" t="n">
        <v>0</v>
      </c>
      <c r="N613" s="12" t="n">
        <v>-52096</v>
      </c>
      <c r="O613" s="13" t="n">
        <v>-0.560914247739302</v>
      </c>
      <c r="P613" s="15" t="n">
        <v>0.292444057022891</v>
      </c>
      <c r="Q613" s="13" t="n">
        <v>-0.673544597950645</v>
      </c>
      <c r="R613" s="15" t="n">
        <v>0.0705202312138729</v>
      </c>
      <c r="S613" s="32" t="n">
        <v>584021856900</v>
      </c>
      <c r="T613" s="15" t="n">
        <v>0.0243362831858407</v>
      </c>
      <c r="U613" s="32" t="n">
        <v>135373902177.5</v>
      </c>
      <c r="V613" s="14" t="n">
        <v>3.9669906562895</v>
      </c>
      <c r="W613" s="13" t="n">
        <v>0.0498866213151927</v>
      </c>
      <c r="X613" s="15" t="n">
        <v>0.0691144708423326</v>
      </c>
      <c r="Y613" s="13" t="n">
        <v>-0.00151401709725729</v>
      </c>
      <c r="Z613" s="13" t="n">
        <v>0.026361871731861</v>
      </c>
      <c r="AA613" s="30" t="s">
        <v>97</v>
      </c>
      <c r="AB613" s="28" t="s">
        <v>93</v>
      </c>
      <c r="AC613" s="28" t="s">
        <v>101</v>
      </c>
      <c r="AD613" s="28" t="s">
        <v>110</v>
      </c>
      <c r="AE613" s="28" t="s">
        <v>113</v>
      </c>
      <c r="AF613" s="28" t="s">
        <v>118</v>
      </c>
      <c r="AG613" s="30" t="s">
        <v>122</v>
      </c>
    </row>
    <row r="614" customFormat="false" ht="15" hidden="false" customHeight="false" outlineLevel="0" collapsed="false">
      <c r="A614" s="10" t="n">
        <v>2025</v>
      </c>
      <c r="B614" s="28" t="s">
        <v>74</v>
      </c>
      <c r="C614" s="29" t="n">
        <v>46021</v>
      </c>
      <c r="D614" s="30" t="s">
        <v>126</v>
      </c>
      <c r="E614" s="28" t="s">
        <v>713</v>
      </c>
      <c r="F614" s="30" t="s">
        <v>714</v>
      </c>
      <c r="G614" s="31" t="n">
        <v>25776</v>
      </c>
      <c r="H614" s="31" t="n">
        <v>3</v>
      </c>
      <c r="I614" s="31" t="n">
        <v>77327</v>
      </c>
      <c r="J614" s="29"/>
      <c r="K614" s="31"/>
      <c r="L614" s="30" t="s">
        <v>33</v>
      </c>
      <c r="M614" s="10" t="n">
        <v>0</v>
      </c>
      <c r="N614" s="12" t="n">
        <v>60956</v>
      </c>
      <c r="O614" s="13" t="n">
        <v>0.792382374906647</v>
      </c>
      <c r="P614" s="15" t="n">
        <v>1.26957508510907</v>
      </c>
      <c r="Q614" s="13" t="n">
        <v>-0.0553136184204144</v>
      </c>
      <c r="R614" s="15" t="n">
        <v>0.0218253968253968</v>
      </c>
      <c r="S614" s="32" t="n">
        <v>96845209250</v>
      </c>
      <c r="T614" s="15" t="n">
        <v>0.0117878192534382</v>
      </c>
      <c r="U614" s="32" t="n">
        <v>32044202005</v>
      </c>
      <c r="V614" s="14" t="n">
        <v>2.9026757710811</v>
      </c>
      <c r="W614" s="13" t="n">
        <v>0.03</v>
      </c>
      <c r="X614" s="15" t="n">
        <v>0.058252427184466</v>
      </c>
      <c r="Y614" s="13" t="n">
        <v>-0.00151401709725729</v>
      </c>
      <c r="Z614" s="13" t="n">
        <v>0.026361871731861</v>
      </c>
      <c r="AA614" s="30" t="s">
        <v>97</v>
      </c>
      <c r="AB614" s="28" t="s">
        <v>93</v>
      </c>
      <c r="AC614" s="28" t="s">
        <v>99</v>
      </c>
      <c r="AD614" s="28" t="s">
        <v>108</v>
      </c>
      <c r="AE614" s="28" t="s">
        <v>112</v>
      </c>
      <c r="AF614" s="28" t="s">
        <v>117</v>
      </c>
      <c r="AG614" s="30" t="s">
        <v>122</v>
      </c>
    </row>
    <row r="615" customFormat="false" ht="15" hidden="false" customHeight="false" outlineLevel="0" collapsed="false">
      <c r="A615" s="10" t="n">
        <v>2026</v>
      </c>
      <c r="B615" s="28" t="s">
        <v>75</v>
      </c>
      <c r="C615" s="29" t="n">
        <v>46024</v>
      </c>
      <c r="D615" s="30" t="s">
        <v>129</v>
      </c>
      <c r="E615" s="28" t="s">
        <v>613</v>
      </c>
      <c r="F615" s="30" t="s">
        <v>614</v>
      </c>
      <c r="G615" s="31" t="n">
        <v>62162</v>
      </c>
      <c r="H615" s="31" t="n">
        <v>1</v>
      </c>
      <c r="I615" s="31" t="n">
        <v>62162</v>
      </c>
      <c r="J615" s="29" t="n">
        <v>46029</v>
      </c>
      <c r="K615" s="31" t="n">
        <v>59141</v>
      </c>
      <c r="L615" s="30" t="s">
        <v>32</v>
      </c>
      <c r="M615" s="10" t="n">
        <v>3</v>
      </c>
      <c r="N615" s="12" t="n">
        <v>-3158</v>
      </c>
      <c r="O615" s="13" t="n">
        <v>-0.0507990726664639</v>
      </c>
      <c r="P615" s="15" t="n">
        <v>0.0327836414792937</v>
      </c>
      <c r="Q615" s="13" t="n">
        <v>-0.0556947078686207</v>
      </c>
      <c r="R615" s="15" t="n">
        <v>0.0332778702163061</v>
      </c>
      <c r="S615" s="32" t="n">
        <v>180289092600</v>
      </c>
      <c r="T615" s="15" t="n">
        <v>0.00161290322580654</v>
      </c>
      <c r="U615" s="32" t="n">
        <v>109509843080</v>
      </c>
      <c r="V615" s="14" t="n">
        <v>1.5799359004046</v>
      </c>
      <c r="W615" s="13" t="n">
        <v>0.0332778702163061</v>
      </c>
      <c r="X615" s="15" t="n">
        <v>0.00644122383252821</v>
      </c>
      <c r="Y615" s="13" t="n">
        <v>0.0226521473979455</v>
      </c>
      <c r="Z615" s="13" t="n">
        <v>0.0467075670581836</v>
      </c>
      <c r="AA615" s="30" t="s">
        <v>97</v>
      </c>
      <c r="AB615" s="28" t="s">
        <v>93</v>
      </c>
      <c r="AC615" s="28" t="s">
        <v>100</v>
      </c>
      <c r="AD615" s="28" t="s">
        <v>109</v>
      </c>
      <c r="AE615" s="28" t="s">
        <v>112</v>
      </c>
      <c r="AF615" s="28" t="s">
        <v>116</v>
      </c>
      <c r="AG615" s="30" t="s">
        <v>122</v>
      </c>
    </row>
    <row r="616" customFormat="false" ht="15" hidden="false" customHeight="false" outlineLevel="0" collapsed="false">
      <c r="A616" s="10" t="n">
        <v>2026</v>
      </c>
      <c r="B616" s="28" t="s">
        <v>75</v>
      </c>
      <c r="C616" s="29" t="n">
        <v>46024</v>
      </c>
      <c r="D616" s="30" t="s">
        <v>129</v>
      </c>
      <c r="E616" s="28" t="s">
        <v>911</v>
      </c>
      <c r="F616" s="30" t="s">
        <v>912</v>
      </c>
      <c r="G616" s="31" t="n">
        <v>2686</v>
      </c>
      <c r="H616" s="31" t="n">
        <v>37</v>
      </c>
      <c r="I616" s="31" t="n">
        <v>99375</v>
      </c>
      <c r="J616" s="29" t="n">
        <v>46027</v>
      </c>
      <c r="K616" s="31" t="n">
        <v>3225</v>
      </c>
      <c r="L616" s="30" t="s">
        <v>31</v>
      </c>
      <c r="M616" s="10" t="n">
        <v>1</v>
      </c>
      <c r="N616" s="12" t="n">
        <v>19678</v>
      </c>
      <c r="O616" s="13" t="n">
        <v>0.198021865566376</v>
      </c>
      <c r="P616" s="15" t="n">
        <v>0.223776223776224</v>
      </c>
      <c r="Q616" s="13" t="n">
        <v>0.027543884686742</v>
      </c>
      <c r="R616" s="15" t="n">
        <v>0.258426966292135</v>
      </c>
      <c r="S616" s="32" t="n">
        <v>88801322400</v>
      </c>
      <c r="T616" s="15" t="n">
        <v>0.0789980732177265</v>
      </c>
      <c r="U616" s="32" t="n">
        <v>18601628990.5</v>
      </c>
      <c r="V616" s="14" t="n">
        <v>3.957461216163</v>
      </c>
      <c r="W616" s="13" t="n">
        <v>0.220043572984749</v>
      </c>
      <c r="X616" s="15" t="n">
        <v>0.030357142857143</v>
      </c>
      <c r="Y616" s="13" t="n">
        <v>0.0226521473979455</v>
      </c>
      <c r="Z616" s="13" t="n">
        <v>0.0467075670581836</v>
      </c>
      <c r="AA616" s="30" t="s">
        <v>97</v>
      </c>
      <c r="AB616" s="28" t="s">
        <v>93</v>
      </c>
      <c r="AC616" s="28" t="s">
        <v>104</v>
      </c>
      <c r="AD616" s="28" t="s">
        <v>108</v>
      </c>
      <c r="AE616" s="28" t="s">
        <v>101</v>
      </c>
      <c r="AF616" s="28" t="s">
        <v>118</v>
      </c>
      <c r="AG616" s="30" t="s">
        <v>122</v>
      </c>
    </row>
    <row r="617" customFormat="false" ht="15" hidden="false" customHeight="false" outlineLevel="0" collapsed="false">
      <c r="A617" s="10" t="n">
        <v>2026</v>
      </c>
      <c r="B617" s="28" t="s">
        <v>75</v>
      </c>
      <c r="C617" s="29" t="n">
        <v>46024</v>
      </c>
      <c r="D617" s="30" t="s">
        <v>129</v>
      </c>
      <c r="E617" s="28" t="s">
        <v>655</v>
      </c>
      <c r="F617" s="30" t="s">
        <v>656</v>
      </c>
      <c r="G617" s="31" t="n">
        <v>50951</v>
      </c>
      <c r="H617" s="31" t="n">
        <v>1</v>
      </c>
      <c r="I617" s="31" t="n">
        <v>50951</v>
      </c>
      <c r="J617" s="29" t="n">
        <v>46031</v>
      </c>
      <c r="K617" s="31" t="n">
        <v>48501</v>
      </c>
      <c r="L617" s="30" t="s">
        <v>32</v>
      </c>
      <c r="M617" s="10" t="n">
        <v>5</v>
      </c>
      <c r="N617" s="12" t="n">
        <v>-2561</v>
      </c>
      <c r="O617" s="13" t="n">
        <v>-0.0502713544314232</v>
      </c>
      <c r="P617" s="15" t="n">
        <v>0.0971346924195649</v>
      </c>
      <c r="Q617" s="13" t="n">
        <v>-0.0687112494578113</v>
      </c>
      <c r="R617" s="15" t="n">
        <v>0.111353711790393</v>
      </c>
      <c r="S617" s="32" t="n">
        <v>68286167500</v>
      </c>
      <c r="T617" s="15" t="n">
        <v>0.0727081138040042</v>
      </c>
      <c r="U617" s="32" t="n">
        <v>19828232967.5</v>
      </c>
      <c r="V617" s="14" t="n">
        <v>3.01968243450002</v>
      </c>
      <c r="W617" s="13" t="n">
        <v>0.101731601731602</v>
      </c>
      <c r="X617" s="15" t="n">
        <v>0.00785854616895865</v>
      </c>
      <c r="Y617" s="13" t="n">
        <v>0.0226521473979455</v>
      </c>
      <c r="Z617" s="13" t="n">
        <v>0.0467075670581836</v>
      </c>
      <c r="AA617" s="30" t="s">
        <v>97</v>
      </c>
      <c r="AB617" s="28" t="s">
        <v>93</v>
      </c>
      <c r="AC617" s="28" t="s">
        <v>102</v>
      </c>
      <c r="AD617" s="28" t="s">
        <v>108</v>
      </c>
      <c r="AE617" s="28" t="s">
        <v>101</v>
      </c>
      <c r="AF617" s="28" t="s">
        <v>118</v>
      </c>
      <c r="AG617" s="30" t="s">
        <v>122</v>
      </c>
    </row>
    <row r="618" customFormat="false" ht="15" hidden="false" customHeight="false" outlineLevel="0" collapsed="false">
      <c r="A618" s="10" t="n">
        <v>2026</v>
      </c>
      <c r="B618" s="28" t="s">
        <v>75</v>
      </c>
      <c r="C618" s="29" t="n">
        <v>46024</v>
      </c>
      <c r="D618" s="30" t="s">
        <v>129</v>
      </c>
      <c r="E618" s="28" t="s">
        <v>331</v>
      </c>
      <c r="F618" s="30" t="s">
        <v>332</v>
      </c>
      <c r="G618" s="31" t="n">
        <v>85686</v>
      </c>
      <c r="H618" s="31" t="n">
        <v>1</v>
      </c>
      <c r="I618" s="31" t="n">
        <v>85686</v>
      </c>
      <c r="J618" s="29" t="n">
        <v>46031</v>
      </c>
      <c r="K618" s="31" t="n">
        <v>81518</v>
      </c>
      <c r="L618" s="30" t="s">
        <v>32</v>
      </c>
      <c r="M618" s="10" t="n">
        <v>5</v>
      </c>
      <c r="N618" s="12" t="n">
        <v>-4355</v>
      </c>
      <c r="O618" s="13" t="n">
        <v>-0.0508290471211032</v>
      </c>
      <c r="P618" s="15" t="n">
        <v>0.129711410085242</v>
      </c>
      <c r="Q618" s="13" t="n">
        <v>-0.0581848058483572</v>
      </c>
      <c r="R618" s="15" t="n">
        <v>0.141333333333333</v>
      </c>
      <c r="S618" s="32" t="n">
        <v>53405155200</v>
      </c>
      <c r="T618" s="15" t="n">
        <v>0.0607187112763321</v>
      </c>
      <c r="U618" s="32" t="n">
        <v>18201588040</v>
      </c>
      <c r="V618" s="14" t="n">
        <v>2.58804881888425</v>
      </c>
      <c r="W618" s="13" t="n">
        <v>0.139813581890812</v>
      </c>
      <c r="X618" s="15" t="n">
        <v>0.0116822429906542</v>
      </c>
      <c r="Y618" s="13" t="n">
        <v>0.0226521473979455</v>
      </c>
      <c r="Z618" s="13" t="n">
        <v>0.0467075670581836</v>
      </c>
      <c r="AA618" s="30" t="s">
        <v>97</v>
      </c>
      <c r="AB618" s="28" t="s">
        <v>93</v>
      </c>
      <c r="AC618" s="28" t="s">
        <v>102</v>
      </c>
      <c r="AD618" s="28" t="s">
        <v>108</v>
      </c>
      <c r="AE618" s="28" t="s">
        <v>101</v>
      </c>
      <c r="AF618" s="28" t="s">
        <v>117</v>
      </c>
      <c r="AG618" s="30" t="s">
        <v>122</v>
      </c>
    </row>
    <row r="619" customFormat="false" ht="15" hidden="false" customHeight="false" outlineLevel="0" collapsed="false">
      <c r="A619" s="10" t="n">
        <v>2026</v>
      </c>
      <c r="B619" s="28" t="s">
        <v>75</v>
      </c>
      <c r="C619" s="29" t="n">
        <v>46024</v>
      </c>
      <c r="D619" s="30" t="s">
        <v>129</v>
      </c>
      <c r="E619" s="28" t="s">
        <v>305</v>
      </c>
      <c r="F619" s="30" t="s">
        <v>306</v>
      </c>
      <c r="G619" s="31" t="n">
        <v>39690</v>
      </c>
      <c r="H619" s="31" t="n">
        <v>2</v>
      </c>
      <c r="I619" s="31" t="n">
        <v>79379</v>
      </c>
      <c r="J619" s="29" t="n">
        <v>46050</v>
      </c>
      <c r="K619" s="31" t="n">
        <v>47650</v>
      </c>
      <c r="L619" s="30" t="s">
        <v>31</v>
      </c>
      <c r="M619" s="10" t="n">
        <v>18</v>
      </c>
      <c r="N619" s="12" t="n">
        <v>15704</v>
      </c>
      <c r="O619" s="13" t="n">
        <v>0.197833668286317</v>
      </c>
      <c r="P619" s="15" t="n">
        <v>0.220721271162633</v>
      </c>
      <c r="Q619" s="13" t="n">
        <v>-0.0450911005765986</v>
      </c>
      <c r="R619" s="15" t="n">
        <v>0.0818553888130968</v>
      </c>
      <c r="S619" s="32" t="n">
        <v>39389459850</v>
      </c>
      <c r="T619" s="15" t="n">
        <v>0.0140664961636829</v>
      </c>
      <c r="U619" s="32" t="n">
        <v>22514370077.5</v>
      </c>
      <c r="V619" s="14" t="n">
        <v>1.6702329431137</v>
      </c>
      <c r="W619" s="13" t="n">
        <v>0.0774456521739131</v>
      </c>
      <c r="X619" s="15" t="n">
        <v>0.00126103404791933</v>
      </c>
      <c r="Y619" s="13" t="n">
        <v>0.0226521473979455</v>
      </c>
      <c r="Z619" s="13" t="n">
        <v>0.0467075670581836</v>
      </c>
      <c r="AA619" s="30" t="s">
        <v>97</v>
      </c>
      <c r="AB619" s="28" t="s">
        <v>93</v>
      </c>
      <c r="AC619" s="28" t="s">
        <v>101</v>
      </c>
      <c r="AD619" s="28" t="s">
        <v>107</v>
      </c>
      <c r="AE619" s="28" t="s">
        <v>112</v>
      </c>
      <c r="AF619" s="28" t="s">
        <v>116</v>
      </c>
      <c r="AG619" s="30" t="s">
        <v>122</v>
      </c>
    </row>
    <row r="620" customFormat="false" ht="15" hidden="false" customHeight="false" outlineLevel="0" collapsed="false">
      <c r="A620" s="10" t="n">
        <v>2026</v>
      </c>
      <c r="B620" s="28" t="s">
        <v>75</v>
      </c>
      <c r="C620" s="29" t="n">
        <v>46024</v>
      </c>
      <c r="D620" s="30" t="s">
        <v>129</v>
      </c>
      <c r="E620" s="28" t="s">
        <v>435</v>
      </c>
      <c r="F620" s="30" t="s">
        <v>436</v>
      </c>
      <c r="G620" s="31" t="n">
        <v>24124</v>
      </c>
      <c r="H620" s="31" t="n">
        <v>4</v>
      </c>
      <c r="I620" s="31" t="n">
        <v>96496</v>
      </c>
      <c r="J620" s="29" t="n">
        <v>46028</v>
      </c>
      <c r="K620" s="31" t="n">
        <v>28950</v>
      </c>
      <c r="L620" s="30" t="s">
        <v>31</v>
      </c>
      <c r="M620" s="10" t="n">
        <v>2</v>
      </c>
      <c r="N620" s="12" t="n">
        <v>19040</v>
      </c>
      <c r="O620" s="13" t="n">
        <v>0.197314672257203</v>
      </c>
      <c r="P620" s="15" t="n">
        <v>0.224916162675499</v>
      </c>
      <c r="Q620" s="13" t="n">
        <v>0.00729146372299905</v>
      </c>
      <c r="R620" s="15" t="n">
        <v>0.128805620608899</v>
      </c>
      <c r="S620" s="32" t="n">
        <v>22840991900</v>
      </c>
      <c r="T620" s="15" t="n">
        <v>0.0524017467248907</v>
      </c>
      <c r="U620" s="32" t="n">
        <v>8913420349</v>
      </c>
      <c r="V620" s="14" t="n">
        <v>2.27085515963223</v>
      </c>
      <c r="W620" s="13" t="n">
        <v>0.128805620608899</v>
      </c>
      <c r="X620" s="15" t="n">
        <v>0.00622406639004147</v>
      </c>
      <c r="Y620" s="13" t="n">
        <v>0.0226521473979455</v>
      </c>
      <c r="Z620" s="13" t="n">
        <v>0.0467075670581836</v>
      </c>
      <c r="AA620" s="30" t="s">
        <v>97</v>
      </c>
      <c r="AB620" s="28" t="s">
        <v>93</v>
      </c>
      <c r="AC620" s="28" t="s">
        <v>102</v>
      </c>
      <c r="AD620" s="28" t="s">
        <v>106</v>
      </c>
      <c r="AE620" s="28" t="s">
        <v>101</v>
      </c>
      <c r="AF620" s="28" t="s">
        <v>117</v>
      </c>
      <c r="AG620" s="30" t="s">
        <v>122</v>
      </c>
    </row>
    <row r="621" customFormat="false" ht="15" hidden="false" customHeight="false" outlineLevel="0" collapsed="false">
      <c r="A621" s="10" t="n">
        <v>2026</v>
      </c>
      <c r="B621" s="28" t="s">
        <v>75</v>
      </c>
      <c r="C621" s="29" t="n">
        <v>46027</v>
      </c>
      <c r="D621" s="30" t="s">
        <v>125</v>
      </c>
      <c r="E621" s="28" t="s">
        <v>477</v>
      </c>
      <c r="F621" s="30" t="s">
        <v>478</v>
      </c>
      <c r="G621" s="31" t="n">
        <v>83283</v>
      </c>
      <c r="H621" s="31" t="n">
        <v>1</v>
      </c>
      <c r="I621" s="31" t="n">
        <v>83283</v>
      </c>
      <c r="J621" s="29" t="n">
        <v>46072</v>
      </c>
      <c r="K621" s="31" t="n">
        <v>100500</v>
      </c>
      <c r="L621" s="30" t="s">
        <v>31</v>
      </c>
      <c r="M621" s="10" t="n">
        <v>30</v>
      </c>
      <c r="N621" s="12" t="n">
        <v>16988</v>
      </c>
      <c r="O621" s="13" t="n">
        <v>0.203981505513717</v>
      </c>
      <c r="P621" s="15" t="n">
        <v>0.20792668869592</v>
      </c>
      <c r="Q621" s="13" t="n">
        <v>-0.0166083916083916</v>
      </c>
      <c r="R621" s="15" t="n">
        <v>0.106382978723404</v>
      </c>
      <c r="S621" s="32" t="n">
        <v>1258458822400</v>
      </c>
      <c r="T621" s="15" t="n">
        <v>0.0348258706467661</v>
      </c>
      <c r="U621" s="32" t="n">
        <v>305947619050</v>
      </c>
      <c r="V621" s="14" t="n">
        <v>3.80965448011175</v>
      </c>
      <c r="W621" s="13" t="n">
        <v>0.0861618798955615</v>
      </c>
      <c r="X621" s="15" t="n">
        <v>0.00120192307692313</v>
      </c>
      <c r="Y621" s="13" t="n">
        <v>0.0343161709937976</v>
      </c>
      <c r="Z621" s="13" t="n">
        <v>0.0849190239058371</v>
      </c>
      <c r="AA621" s="30" t="s">
        <v>97</v>
      </c>
      <c r="AB621" s="28" t="s">
        <v>93</v>
      </c>
      <c r="AC621" s="28" t="s">
        <v>102</v>
      </c>
      <c r="AD621" s="28" t="s">
        <v>110</v>
      </c>
      <c r="AE621" s="28" t="s">
        <v>113</v>
      </c>
      <c r="AF621" s="28" t="s">
        <v>118</v>
      </c>
      <c r="AG621" s="30" t="s">
        <v>122</v>
      </c>
    </row>
    <row r="622" customFormat="false" ht="15" hidden="false" customHeight="false" outlineLevel="0" collapsed="false">
      <c r="A622" s="10" t="n">
        <v>2026</v>
      </c>
      <c r="B622" s="28" t="s">
        <v>75</v>
      </c>
      <c r="C622" s="29" t="n">
        <v>46027</v>
      </c>
      <c r="D622" s="30" t="s">
        <v>125</v>
      </c>
      <c r="E622" s="28" t="s">
        <v>227</v>
      </c>
      <c r="F622" s="30" t="s">
        <v>228</v>
      </c>
      <c r="G622" s="31" t="n">
        <v>25726</v>
      </c>
      <c r="H622" s="31" t="n">
        <v>3</v>
      </c>
      <c r="I622" s="31" t="n">
        <v>77177</v>
      </c>
      <c r="J622" s="29" t="n">
        <v>46056</v>
      </c>
      <c r="K622" s="31" t="n">
        <v>30900</v>
      </c>
      <c r="L622" s="30" t="s">
        <v>31</v>
      </c>
      <c r="M622" s="10" t="n">
        <v>21</v>
      </c>
      <c r="N622" s="12" t="n">
        <v>15312</v>
      </c>
      <c r="O622" s="13" t="n">
        <v>0.198401059835107</v>
      </c>
      <c r="P622" s="15" t="n">
        <v>0.224456477374766</v>
      </c>
      <c r="Q622" s="13" t="n">
        <v>-0.0301527266507811</v>
      </c>
      <c r="R622" s="15" t="n">
        <v>0.0798319327731092</v>
      </c>
      <c r="S622" s="32" t="n">
        <v>152654787500</v>
      </c>
      <c r="T622" s="15" t="n">
        <v>0.0532786885245902</v>
      </c>
      <c r="U622" s="32" t="n">
        <v>64357920537.5</v>
      </c>
      <c r="V622" s="14" t="n">
        <v>2.14861602522919</v>
      </c>
      <c r="W622" s="13" t="n">
        <v>0.0641821946169772</v>
      </c>
      <c r="X622" s="15" t="n">
        <v>0.00583657587548636</v>
      </c>
      <c r="Y622" s="13" t="n">
        <v>0.0343161709937976</v>
      </c>
      <c r="Z622" s="13" t="n">
        <v>0.0849190239058371</v>
      </c>
      <c r="AA622" s="30" t="s">
        <v>97</v>
      </c>
      <c r="AB622" s="28" t="s">
        <v>93</v>
      </c>
      <c r="AC622" s="28" t="s">
        <v>101</v>
      </c>
      <c r="AD622" s="28" t="s">
        <v>109</v>
      </c>
      <c r="AE622" s="28" t="s">
        <v>101</v>
      </c>
      <c r="AF622" s="28" t="s">
        <v>117</v>
      </c>
      <c r="AG622" s="30" t="s">
        <v>122</v>
      </c>
    </row>
    <row r="623" customFormat="false" ht="15" hidden="false" customHeight="false" outlineLevel="0" collapsed="false">
      <c r="A623" s="10" t="n">
        <v>2026</v>
      </c>
      <c r="B623" s="28" t="s">
        <v>75</v>
      </c>
      <c r="C623" s="29" t="n">
        <v>46027</v>
      </c>
      <c r="D623" s="30" t="s">
        <v>125</v>
      </c>
      <c r="E623" s="28" t="s">
        <v>235</v>
      </c>
      <c r="F623" s="30" t="s">
        <v>236</v>
      </c>
      <c r="G623" s="31" t="n">
        <v>31231</v>
      </c>
      <c r="H623" s="31" t="n">
        <v>3</v>
      </c>
      <c r="I623" s="31" t="n">
        <v>93694</v>
      </c>
      <c r="J623" s="29" t="n">
        <v>46050</v>
      </c>
      <c r="K623" s="31" t="n">
        <v>37500</v>
      </c>
      <c r="L623" s="30" t="s">
        <v>31</v>
      </c>
      <c r="M623" s="10" t="n">
        <v>17</v>
      </c>
      <c r="N623" s="12" t="n">
        <v>18550</v>
      </c>
      <c r="O623" s="13" t="n">
        <v>0.197990801506186</v>
      </c>
      <c r="P623" s="15" t="n">
        <v>0.231140654217577</v>
      </c>
      <c r="Q623" s="13" t="n">
        <v>-0.0282153743692204</v>
      </c>
      <c r="R623" s="15" t="n">
        <v>0.0246305418719213</v>
      </c>
      <c r="S623" s="32" t="n">
        <v>30165158400</v>
      </c>
      <c r="T623" s="15" t="n">
        <v>0.0196078431372548</v>
      </c>
      <c r="U623" s="32" t="n">
        <v>7205128817.5</v>
      </c>
      <c r="V623" s="14" t="n">
        <v>3.8460003894404</v>
      </c>
      <c r="W623" s="13" t="n">
        <v>-0.0204081632653062</v>
      </c>
      <c r="X623" s="15" t="n">
        <v>0.0320512820512822</v>
      </c>
      <c r="Y623" s="13" t="n">
        <v>0.0343161709937976</v>
      </c>
      <c r="Z623" s="13" t="n">
        <v>0.0849190239058371</v>
      </c>
      <c r="AA623" s="30" t="s">
        <v>97</v>
      </c>
      <c r="AB623" s="28" t="s">
        <v>93</v>
      </c>
      <c r="AC623" s="28" t="s">
        <v>99</v>
      </c>
      <c r="AD623" s="28" t="s">
        <v>107</v>
      </c>
      <c r="AE623" s="28" t="s">
        <v>112</v>
      </c>
      <c r="AF623" s="28" t="s">
        <v>118</v>
      </c>
      <c r="AG623" s="30" t="s">
        <v>123</v>
      </c>
    </row>
    <row r="624" customFormat="false" ht="15" hidden="false" customHeight="false" outlineLevel="0" collapsed="false">
      <c r="A624" s="10" t="n">
        <v>2026</v>
      </c>
      <c r="B624" s="28" t="s">
        <v>75</v>
      </c>
      <c r="C624" s="29" t="n">
        <v>46027</v>
      </c>
      <c r="D624" s="30" t="s">
        <v>125</v>
      </c>
      <c r="E624" s="28" t="s">
        <v>913</v>
      </c>
      <c r="F624" s="30" t="s">
        <v>914</v>
      </c>
      <c r="G624" s="31" t="n">
        <v>54054</v>
      </c>
      <c r="H624" s="31" t="n">
        <v>1</v>
      </c>
      <c r="I624" s="31" t="n">
        <v>54054</v>
      </c>
      <c r="J624" s="29" t="n">
        <v>46031</v>
      </c>
      <c r="K624" s="31" t="n">
        <v>51448</v>
      </c>
      <c r="L624" s="30" t="s">
        <v>32</v>
      </c>
      <c r="M624" s="10" t="n">
        <v>4</v>
      </c>
      <c r="N624" s="12" t="n">
        <v>-2724</v>
      </c>
      <c r="O624" s="13" t="n">
        <v>-0.0503981643356643</v>
      </c>
      <c r="P624" s="15" t="n">
        <v>0.0341510341510343</v>
      </c>
      <c r="Q624" s="13" t="n">
        <v>-0.0749990749990749</v>
      </c>
      <c r="R624" s="15" t="n">
        <v>0.0526315789473684</v>
      </c>
      <c r="S624" s="32" t="n">
        <v>23311908000</v>
      </c>
      <c r="T624" s="15" t="n">
        <v>0.0227272727272727</v>
      </c>
      <c r="U624" s="32" t="n">
        <v>7299156487.5</v>
      </c>
      <c r="V624" s="14" t="n">
        <v>2.86840799110711</v>
      </c>
      <c r="W624" s="13" t="n">
        <v>0.005586592178771</v>
      </c>
      <c r="X624" s="15" t="n">
        <v>0.0351851851851852</v>
      </c>
      <c r="Y624" s="13" t="n">
        <v>0.0343161709937976</v>
      </c>
      <c r="Z624" s="13" t="n">
        <v>0.0849190239058371</v>
      </c>
      <c r="AA624" s="30" t="s">
        <v>97</v>
      </c>
      <c r="AB624" s="28" t="s">
        <v>93</v>
      </c>
      <c r="AC624" s="28" t="s">
        <v>101</v>
      </c>
      <c r="AD624" s="28" t="s">
        <v>106</v>
      </c>
      <c r="AE624" s="28" t="s">
        <v>113</v>
      </c>
      <c r="AF624" s="28" t="s">
        <v>117</v>
      </c>
      <c r="AG624" s="30" t="s">
        <v>122</v>
      </c>
    </row>
    <row r="625" customFormat="false" ht="15" hidden="false" customHeight="false" outlineLevel="0" collapsed="false">
      <c r="A625" s="10" t="n">
        <v>2026</v>
      </c>
      <c r="B625" s="28" t="s">
        <v>75</v>
      </c>
      <c r="C625" s="29" t="n">
        <v>46027</v>
      </c>
      <c r="D625" s="30" t="s">
        <v>125</v>
      </c>
      <c r="E625" s="28" t="s">
        <v>459</v>
      </c>
      <c r="F625" s="30" t="s">
        <v>460</v>
      </c>
      <c r="G625" s="31" t="n">
        <v>48298</v>
      </c>
      <c r="H625" s="31" t="n">
        <v>2</v>
      </c>
      <c r="I625" s="31" t="n">
        <v>96596</v>
      </c>
      <c r="J625" s="29" t="n">
        <v>46031</v>
      </c>
      <c r="K625" s="31" t="n">
        <v>45954</v>
      </c>
      <c r="L625" s="30" t="s">
        <v>32</v>
      </c>
      <c r="M625" s="10" t="n">
        <v>4</v>
      </c>
      <c r="N625" s="12" t="n">
        <v>-4901</v>
      </c>
      <c r="O625" s="13" t="n">
        <v>-0.0507326008188701</v>
      </c>
      <c r="P625" s="15" t="n">
        <v>0.149109957400113</v>
      </c>
      <c r="Q625" s="13" t="n">
        <v>-0.0610425843586464</v>
      </c>
      <c r="R625" s="15" t="n">
        <v>0.0639470782800442</v>
      </c>
      <c r="S625" s="32" t="n">
        <v>20023894750</v>
      </c>
      <c r="T625" s="15" t="n">
        <v>0.0443722943722944</v>
      </c>
      <c r="U625" s="32" t="n">
        <v>6593210940</v>
      </c>
      <c r="V625" s="14" t="n">
        <v>2.73399086985408</v>
      </c>
      <c r="W625" s="13" t="n">
        <v>0.0244161358811041</v>
      </c>
      <c r="X625" s="15" t="n">
        <v>0.00103626943005186</v>
      </c>
      <c r="Y625" s="13" t="n">
        <v>0.0343161709937976</v>
      </c>
      <c r="Z625" s="13" t="n">
        <v>0.0849190239058371</v>
      </c>
      <c r="AA625" s="30" t="s">
        <v>97</v>
      </c>
      <c r="AB625" s="28" t="s">
        <v>93</v>
      </c>
      <c r="AC625" s="28" t="s">
        <v>101</v>
      </c>
      <c r="AD625" s="28" t="s">
        <v>106</v>
      </c>
      <c r="AE625" s="28" t="s">
        <v>113</v>
      </c>
      <c r="AF625" s="28" t="s">
        <v>117</v>
      </c>
      <c r="AG625" s="30" t="s">
        <v>122</v>
      </c>
    </row>
    <row r="626" customFormat="false" ht="15" hidden="false" customHeight="false" outlineLevel="0" collapsed="false">
      <c r="A626" s="10" t="n">
        <v>2026</v>
      </c>
      <c r="B626" s="28" t="s">
        <v>75</v>
      </c>
      <c r="C626" s="29" t="n">
        <v>46028</v>
      </c>
      <c r="D626" s="30" t="s">
        <v>126</v>
      </c>
      <c r="E626" s="28" t="s">
        <v>547</v>
      </c>
      <c r="F626" s="30" t="s">
        <v>548</v>
      </c>
      <c r="G626" s="31" t="n">
        <v>12833</v>
      </c>
      <c r="H626" s="31" t="n">
        <v>7</v>
      </c>
      <c r="I626" s="31" t="n">
        <v>89830</v>
      </c>
      <c r="J626" s="29" t="n">
        <v>46030</v>
      </c>
      <c r="K626" s="31" t="n">
        <v>12208</v>
      </c>
      <c r="L626" s="30" t="s">
        <v>32</v>
      </c>
      <c r="M626" s="10" t="n">
        <v>2</v>
      </c>
      <c r="N626" s="12" t="n">
        <v>-4572</v>
      </c>
      <c r="O626" s="13" t="n">
        <v>-0.0509016451567152</v>
      </c>
      <c r="P626" s="15" t="n">
        <v>0.0247163133278581</v>
      </c>
      <c r="Q626" s="13" t="n">
        <v>-0.0648976608414984</v>
      </c>
      <c r="R626" s="15" t="n">
        <v>0.036378334680679</v>
      </c>
      <c r="S626" s="32" t="n">
        <v>112604418720</v>
      </c>
      <c r="T626" s="15" t="n">
        <v>0.036378334680679</v>
      </c>
      <c r="U626" s="32" t="n">
        <v>3750857352</v>
      </c>
      <c r="V626" s="14" t="n">
        <v>28.5511785838271</v>
      </c>
      <c r="W626" s="13" t="n">
        <v>0.0313757039420757</v>
      </c>
      <c r="X626" s="15" t="n">
        <v>0.0998439937597504</v>
      </c>
      <c r="Y626" s="13" t="n">
        <v>0.0152461458389417</v>
      </c>
      <c r="Z626" s="13" t="n">
        <v>0.0958427771643322</v>
      </c>
      <c r="AA626" s="30" t="s">
        <v>97</v>
      </c>
      <c r="AB626" s="28" t="s">
        <v>93</v>
      </c>
      <c r="AC626" s="28" t="s">
        <v>100</v>
      </c>
      <c r="AD626" s="28" t="s">
        <v>109</v>
      </c>
      <c r="AE626" s="28" t="s">
        <v>113</v>
      </c>
      <c r="AF626" s="28" t="s">
        <v>120</v>
      </c>
      <c r="AG626" s="30" t="s">
        <v>122</v>
      </c>
    </row>
    <row r="627" customFormat="false" ht="15" hidden="false" customHeight="false" outlineLevel="0" collapsed="false">
      <c r="A627" s="10" t="n">
        <v>2026</v>
      </c>
      <c r="B627" s="28" t="s">
        <v>75</v>
      </c>
      <c r="C627" s="29" t="n">
        <v>46029</v>
      </c>
      <c r="D627" s="30" t="s">
        <v>127</v>
      </c>
      <c r="E627" s="28" t="s">
        <v>393</v>
      </c>
      <c r="F627" s="28" t="s">
        <v>394</v>
      </c>
      <c r="G627" s="31" t="n">
        <v>54855</v>
      </c>
      <c r="H627" s="31" t="n">
        <v>1</v>
      </c>
      <c r="I627" s="31" t="n">
        <v>54855</v>
      </c>
      <c r="J627" s="29" t="n">
        <v>46030</v>
      </c>
      <c r="K627" s="31" t="n">
        <v>52148</v>
      </c>
      <c r="L627" s="30" t="s">
        <v>32</v>
      </c>
      <c r="M627" s="10" t="n">
        <v>1</v>
      </c>
      <c r="N627" s="12" t="n">
        <v>-2827</v>
      </c>
      <c r="O627" s="13" t="n">
        <v>-0.0515423625644428</v>
      </c>
      <c r="P627" s="15" t="n">
        <v>0.00629297709589682</v>
      </c>
      <c r="Q627" s="13" t="n">
        <v>-0.0520428476632856</v>
      </c>
      <c r="R627" s="15" t="n">
        <v>0.0682261208576998</v>
      </c>
      <c r="S627" s="32" t="n">
        <v>41932631200</v>
      </c>
      <c r="T627" s="15" t="n">
        <v>0.0378787878787879</v>
      </c>
      <c r="U627" s="32" t="n">
        <v>8381685955</v>
      </c>
      <c r="V627" s="14" t="n">
        <v>4.68305729170651</v>
      </c>
      <c r="W627" s="13" t="n">
        <v>0.0703125</v>
      </c>
      <c r="X627" s="15" t="n">
        <v>0.00912408759124084</v>
      </c>
      <c r="Y627" s="13" t="n">
        <v>0.00565243907828572</v>
      </c>
      <c r="Z627" s="13" t="n">
        <v>0.0783071440756678</v>
      </c>
      <c r="AA627" s="30" t="s">
        <v>97</v>
      </c>
      <c r="AB627" s="28" t="s">
        <v>93</v>
      </c>
      <c r="AC627" s="28" t="s">
        <v>101</v>
      </c>
      <c r="AD627" s="28" t="s">
        <v>107</v>
      </c>
      <c r="AE627" s="28" t="s">
        <v>113</v>
      </c>
      <c r="AF627" s="28" t="s">
        <v>118</v>
      </c>
      <c r="AG627" s="30" t="s">
        <v>122</v>
      </c>
    </row>
    <row r="628" customFormat="false" ht="15" hidden="false" customHeight="false" outlineLevel="0" collapsed="false">
      <c r="A628" s="10" t="n">
        <v>2026</v>
      </c>
      <c r="B628" s="28" t="s">
        <v>75</v>
      </c>
      <c r="C628" s="29" t="n">
        <v>46030</v>
      </c>
      <c r="D628" s="30" t="s">
        <v>128</v>
      </c>
      <c r="E628" s="28" t="s">
        <v>869</v>
      </c>
      <c r="F628" s="30" t="s">
        <v>870</v>
      </c>
      <c r="G628" s="31" t="n">
        <v>80881</v>
      </c>
      <c r="H628" s="31" t="n">
        <v>1</v>
      </c>
      <c r="I628" s="31" t="n">
        <v>80881</v>
      </c>
      <c r="J628" s="29" t="n">
        <v>46031</v>
      </c>
      <c r="K628" s="31" t="n">
        <v>76923</v>
      </c>
      <c r="L628" s="30" t="s">
        <v>32</v>
      </c>
      <c r="M628" s="10" t="n">
        <v>1</v>
      </c>
      <c r="N628" s="12" t="n">
        <v>-4135</v>
      </c>
      <c r="O628" s="13" t="n">
        <v>-0.0511285319878141</v>
      </c>
      <c r="P628" s="15" t="n">
        <v>0.0163104222510164</v>
      </c>
      <c r="Q628" s="13" t="n">
        <v>-0.0578728202490577</v>
      </c>
      <c r="R628" s="15" t="n">
        <v>0.252713178294574</v>
      </c>
      <c r="S628" s="32" t="n">
        <v>292051115200</v>
      </c>
      <c r="T628" s="15" t="n">
        <v>0.0466321243523316</v>
      </c>
      <c r="U628" s="32" t="n">
        <v>50634305420</v>
      </c>
      <c r="V628" s="14" t="n">
        <v>5.10903666335322</v>
      </c>
      <c r="W628" s="13" t="n">
        <v>0.222390317700454</v>
      </c>
      <c r="X628" s="15" t="n">
        <v>0.021039603960396</v>
      </c>
      <c r="Y628" s="13" t="n">
        <v>0.000287845029509404</v>
      </c>
      <c r="Z628" s="13" t="n">
        <v>0.0802530510159769</v>
      </c>
      <c r="AA628" s="30" t="s">
        <v>97</v>
      </c>
      <c r="AB628" s="28" t="s">
        <v>93</v>
      </c>
      <c r="AC628" s="28" t="s">
        <v>104</v>
      </c>
      <c r="AD628" s="28" t="s">
        <v>110</v>
      </c>
      <c r="AE628" s="28" t="s">
        <v>113</v>
      </c>
      <c r="AF628" s="28" t="s">
        <v>119</v>
      </c>
      <c r="AG628" s="30" t="s">
        <v>122</v>
      </c>
    </row>
    <row r="629" customFormat="false" ht="15" hidden="false" customHeight="false" outlineLevel="0" collapsed="false">
      <c r="A629" s="10" t="n">
        <v>2026</v>
      </c>
      <c r="B629" s="28" t="s">
        <v>75</v>
      </c>
      <c r="C629" s="29" t="n">
        <v>46030</v>
      </c>
      <c r="D629" s="30" t="s">
        <v>128</v>
      </c>
      <c r="E629" s="28" t="s">
        <v>565</v>
      </c>
      <c r="F629" s="30" t="s">
        <v>566</v>
      </c>
      <c r="G629" s="31" t="n">
        <v>52653</v>
      </c>
      <c r="H629" s="31" t="n">
        <v>1</v>
      </c>
      <c r="I629" s="31" t="n">
        <v>52653</v>
      </c>
      <c r="J629" s="29" t="n">
        <v>46031</v>
      </c>
      <c r="K629" s="31" t="n">
        <v>50050</v>
      </c>
      <c r="L629" s="30" t="s">
        <v>32</v>
      </c>
      <c r="M629" s="10" t="n">
        <v>1</v>
      </c>
      <c r="N629" s="12" t="n">
        <v>-2718</v>
      </c>
      <c r="O629" s="13" t="n">
        <v>-0.051625279188492</v>
      </c>
      <c r="P629" s="15" t="n">
        <v>-0.000999000999000854</v>
      </c>
      <c r="Q629" s="13" t="n">
        <v>-0.0522785199591281</v>
      </c>
      <c r="R629" s="15" t="n">
        <v>0.0374753451676528</v>
      </c>
      <c r="S629" s="32" t="n">
        <v>46344755400</v>
      </c>
      <c r="T629" s="15" t="n">
        <v>0.021359223300971</v>
      </c>
      <c r="U629" s="32" t="n">
        <v>37275694527.5</v>
      </c>
      <c r="V629" s="14" t="n">
        <v>1.0644106405909</v>
      </c>
      <c r="W629" s="13" t="n">
        <v>0.0253411306042886</v>
      </c>
      <c r="X629" s="15" t="n">
        <v>0.0171102661596958</v>
      </c>
      <c r="Y629" s="13" t="n">
        <v>0.000287845029509404</v>
      </c>
      <c r="Z629" s="13" t="n">
        <v>0.0802530510159769</v>
      </c>
      <c r="AA629" s="30" t="s">
        <v>97</v>
      </c>
      <c r="AB629" s="28" t="s">
        <v>93</v>
      </c>
      <c r="AC629" s="28" t="s">
        <v>100</v>
      </c>
      <c r="AD629" s="28" t="s">
        <v>107</v>
      </c>
      <c r="AE629" s="28" t="s">
        <v>113</v>
      </c>
      <c r="AF629" s="28" t="s">
        <v>116</v>
      </c>
      <c r="AG629" s="30" t="s">
        <v>122</v>
      </c>
    </row>
    <row r="630" customFormat="false" ht="15" hidden="false" customHeight="false" outlineLevel="0" collapsed="false">
      <c r="A630" s="10" t="n">
        <v>2026</v>
      </c>
      <c r="B630" s="28" t="s">
        <v>75</v>
      </c>
      <c r="C630" s="29" t="n">
        <v>46031</v>
      </c>
      <c r="D630" s="30" t="s">
        <v>129</v>
      </c>
      <c r="E630" s="28" t="s">
        <v>915</v>
      </c>
      <c r="F630" s="30" t="s">
        <v>916</v>
      </c>
      <c r="G630" s="31" t="n">
        <v>11491</v>
      </c>
      <c r="H630" s="31" t="n">
        <v>8</v>
      </c>
      <c r="I630" s="31" t="n">
        <v>91932</v>
      </c>
      <c r="J630" s="29" t="n">
        <v>46035</v>
      </c>
      <c r="K630" s="31" t="n">
        <v>10939</v>
      </c>
      <c r="L630" s="30" t="s">
        <v>32</v>
      </c>
      <c r="M630" s="10" t="n">
        <v>2</v>
      </c>
      <c r="N630" s="12" t="n">
        <v>-4621</v>
      </c>
      <c r="O630" s="13" t="n">
        <v>-0.0502696501669064</v>
      </c>
      <c r="P630" s="15" t="n">
        <v>0.0616561139209224</v>
      </c>
      <c r="Q630" s="13" t="n">
        <v>-0.0506009669772736</v>
      </c>
      <c r="R630" s="15" t="n">
        <v>0.164300202839757</v>
      </c>
      <c r="S630" s="32" t="n">
        <v>203843506440</v>
      </c>
      <c r="T630" s="15" t="n">
        <v>0.143426294820717</v>
      </c>
      <c r="U630" s="32" t="n">
        <v>18510584934.5</v>
      </c>
      <c r="V630" s="14" t="n">
        <v>9.14507749538205</v>
      </c>
      <c r="W630" s="13" t="n">
        <v>0.124387855044075</v>
      </c>
      <c r="X630" s="15" t="n">
        <v>0.0331010452961673</v>
      </c>
      <c r="Y630" s="13" t="n">
        <v>0.00745765392531794</v>
      </c>
      <c r="Z630" s="13" t="n">
        <v>0.0642027273803087</v>
      </c>
      <c r="AA630" s="30" t="s">
        <v>97</v>
      </c>
      <c r="AB630" s="28" t="s">
        <v>93</v>
      </c>
      <c r="AC630" s="28" t="s">
        <v>103</v>
      </c>
      <c r="AD630" s="28" t="s">
        <v>110</v>
      </c>
      <c r="AE630" s="28" t="s">
        <v>114</v>
      </c>
      <c r="AF630" s="28" t="s">
        <v>119</v>
      </c>
      <c r="AG630" s="30" t="s">
        <v>122</v>
      </c>
    </row>
    <row r="631" customFormat="false" ht="15" hidden="false" customHeight="false" outlineLevel="0" collapsed="false">
      <c r="A631" s="10" t="n">
        <v>2026</v>
      </c>
      <c r="B631" s="28" t="s">
        <v>75</v>
      </c>
      <c r="C631" s="29" t="n">
        <v>46031</v>
      </c>
      <c r="D631" s="30" t="s">
        <v>129</v>
      </c>
      <c r="E631" s="28" t="s">
        <v>917</v>
      </c>
      <c r="F631" s="30" t="s">
        <v>918</v>
      </c>
      <c r="G631" s="31" t="n">
        <v>63964</v>
      </c>
      <c r="H631" s="31" t="n">
        <v>1</v>
      </c>
      <c r="I631" s="31" t="n">
        <v>63964</v>
      </c>
      <c r="J631" s="29" t="n">
        <v>46034</v>
      </c>
      <c r="K631" s="31" t="n">
        <v>76800</v>
      </c>
      <c r="L631" s="30" t="s">
        <v>31</v>
      </c>
      <c r="M631" s="10" t="n">
        <v>1</v>
      </c>
      <c r="N631" s="12" t="n">
        <v>12661</v>
      </c>
      <c r="O631" s="13" t="n">
        <v>0.197945800912702</v>
      </c>
      <c r="P631" s="15" t="n">
        <v>0.227254748381509</v>
      </c>
      <c r="Q631" s="13" t="n">
        <v>0.0443390725080868</v>
      </c>
      <c r="R631" s="15" t="n">
        <v>0.0923076923076922</v>
      </c>
      <c r="S631" s="32" t="n">
        <v>35552937600</v>
      </c>
      <c r="T631" s="15" t="n">
        <v>0.0424143556280587</v>
      </c>
      <c r="U631" s="32" t="n">
        <v>23332432945</v>
      </c>
      <c r="V631" s="14" t="n">
        <v>1.28024858337939</v>
      </c>
      <c r="W631" s="13" t="n">
        <v>0.0527182866556837</v>
      </c>
      <c r="X631" s="15" t="n">
        <v>0.0438184663536776</v>
      </c>
      <c r="Y631" s="13" t="n">
        <v>0.00745765392531794</v>
      </c>
      <c r="Z631" s="13" t="n">
        <v>0.0642027273803087</v>
      </c>
      <c r="AA631" s="30" t="s">
        <v>97</v>
      </c>
      <c r="AB631" s="28" t="s">
        <v>93</v>
      </c>
      <c r="AC631" s="28" t="s">
        <v>101</v>
      </c>
      <c r="AD631" s="28" t="s">
        <v>107</v>
      </c>
      <c r="AE631" s="28" t="s">
        <v>113</v>
      </c>
      <c r="AF631" s="28" t="s">
        <v>116</v>
      </c>
      <c r="AG631" s="30" t="s">
        <v>122</v>
      </c>
    </row>
    <row r="632" customFormat="false" ht="15" hidden="false" customHeight="false" outlineLevel="0" collapsed="false">
      <c r="A632" s="10" t="n">
        <v>2026</v>
      </c>
      <c r="B632" s="28" t="s">
        <v>75</v>
      </c>
      <c r="C632" s="29" t="n">
        <v>46031</v>
      </c>
      <c r="D632" s="30" t="s">
        <v>129</v>
      </c>
      <c r="E632" s="28" t="s">
        <v>545</v>
      </c>
      <c r="F632" s="30" t="s">
        <v>546</v>
      </c>
      <c r="G632" s="31" t="n">
        <v>43694</v>
      </c>
      <c r="H632" s="31" t="n">
        <v>2</v>
      </c>
      <c r="I632" s="31" t="n">
        <v>87387</v>
      </c>
      <c r="J632" s="29" t="n">
        <v>46034</v>
      </c>
      <c r="K632" s="31" t="n">
        <v>41558</v>
      </c>
      <c r="L632" s="30" t="s">
        <v>32</v>
      </c>
      <c r="M632" s="10" t="n">
        <v>1</v>
      </c>
      <c r="N632" s="12" t="n">
        <v>-4462</v>
      </c>
      <c r="O632" s="13" t="n">
        <v>-0.0510635895032801</v>
      </c>
      <c r="P632" s="15" t="n">
        <v>-0.00672065620519213</v>
      </c>
      <c r="Q632" s="13" t="n">
        <v>-0.0513495668134842</v>
      </c>
      <c r="R632" s="15" t="n">
        <v>0.0282685512367491</v>
      </c>
      <c r="S632" s="32" t="n">
        <v>32807776500</v>
      </c>
      <c r="T632" s="15" t="n">
        <v>0.0246478873239437</v>
      </c>
      <c r="U632" s="32" t="n">
        <v>20200724932.5</v>
      </c>
      <c r="V632" s="14" t="n">
        <v>1.51277224908965</v>
      </c>
      <c r="W632" s="13" t="n">
        <v>0.0282685512367491</v>
      </c>
      <c r="X632" s="15" t="n">
        <v>0.0103092783505154</v>
      </c>
      <c r="Y632" s="13" t="n">
        <v>0.00745765392531794</v>
      </c>
      <c r="Z632" s="13" t="n">
        <v>0.0642027273803087</v>
      </c>
      <c r="AA632" s="30" t="s">
        <v>97</v>
      </c>
      <c r="AB632" s="28" t="s">
        <v>93</v>
      </c>
      <c r="AC632" s="28" t="s">
        <v>99</v>
      </c>
      <c r="AD632" s="28" t="s">
        <v>107</v>
      </c>
      <c r="AE632" s="28" t="s">
        <v>113</v>
      </c>
      <c r="AF632" s="28" t="s">
        <v>116</v>
      </c>
      <c r="AG632" s="30" t="s">
        <v>122</v>
      </c>
    </row>
    <row r="633" customFormat="false" ht="15" hidden="false" customHeight="false" outlineLevel="0" collapsed="false">
      <c r="A633" s="10" t="n">
        <v>2026</v>
      </c>
      <c r="B633" s="28" t="s">
        <v>75</v>
      </c>
      <c r="C633" s="29" t="n">
        <v>46034</v>
      </c>
      <c r="D633" s="30" t="s">
        <v>125</v>
      </c>
      <c r="E633" s="28" t="s">
        <v>261</v>
      </c>
      <c r="F633" s="28" t="s">
        <v>262</v>
      </c>
      <c r="G633" s="31" t="n">
        <v>87187</v>
      </c>
      <c r="H633" s="31" t="n">
        <v>1</v>
      </c>
      <c r="I633" s="31" t="n">
        <v>87187</v>
      </c>
      <c r="J633" s="29" t="n">
        <v>46052</v>
      </c>
      <c r="K633" s="31" t="n">
        <v>104700</v>
      </c>
      <c r="L633" s="30" t="s">
        <v>31</v>
      </c>
      <c r="M633" s="10" t="n">
        <v>14</v>
      </c>
      <c r="N633" s="12" t="n">
        <v>17275</v>
      </c>
      <c r="O633" s="13" t="n">
        <v>0.198133863094426</v>
      </c>
      <c r="P633" s="15" t="n">
        <v>0.231833608412254</v>
      </c>
      <c r="Q633" s="13" t="n">
        <v>-0.0204972983388597</v>
      </c>
      <c r="R633" s="15" t="n">
        <v>0.036904761904762</v>
      </c>
      <c r="S633" s="32" t="n">
        <v>28287205700</v>
      </c>
      <c r="T633" s="15" t="n">
        <v>0.00810185185185186</v>
      </c>
      <c r="U633" s="32" t="n">
        <v>21802663005</v>
      </c>
      <c r="V633" s="14" t="n">
        <v>1.23734384471281</v>
      </c>
      <c r="W633" s="13" t="n">
        <v>0.0319905213270142</v>
      </c>
      <c r="X633" s="15" t="n">
        <v>0.00114810562571766</v>
      </c>
      <c r="Y633" s="13" t="n">
        <v>0.00838798862704748</v>
      </c>
      <c r="Z633" s="13" t="n">
        <v>0.0375253504190669</v>
      </c>
      <c r="AA633" s="30" t="s">
        <v>97</v>
      </c>
      <c r="AB633" s="28" t="s">
        <v>93</v>
      </c>
      <c r="AC633" s="28" t="s">
        <v>100</v>
      </c>
      <c r="AD633" s="28" t="s">
        <v>106</v>
      </c>
      <c r="AE633" s="28" t="s">
        <v>112</v>
      </c>
      <c r="AF633" s="28" t="s">
        <v>116</v>
      </c>
      <c r="AG633" s="30" t="s">
        <v>122</v>
      </c>
    </row>
    <row r="634" customFormat="false" ht="15" hidden="false" customHeight="false" outlineLevel="0" collapsed="false">
      <c r="A634" s="10" t="n">
        <v>2026</v>
      </c>
      <c r="B634" s="28" t="s">
        <v>75</v>
      </c>
      <c r="C634" s="29" t="n">
        <v>46035</v>
      </c>
      <c r="D634" s="30" t="s">
        <v>126</v>
      </c>
      <c r="E634" s="28" t="s">
        <v>749</v>
      </c>
      <c r="F634" s="30" t="s">
        <v>750</v>
      </c>
      <c r="G634" s="31" t="n">
        <v>29780</v>
      </c>
      <c r="H634" s="31" t="n">
        <v>3</v>
      </c>
      <c r="I634" s="31" t="n">
        <v>89339</v>
      </c>
      <c r="J634" s="29" t="n">
        <v>46036</v>
      </c>
      <c r="K634" s="31" t="n">
        <v>28322</v>
      </c>
      <c r="L634" s="30" t="s">
        <v>32</v>
      </c>
      <c r="M634" s="10" t="n">
        <v>1</v>
      </c>
      <c r="N634" s="12" t="n">
        <v>-4570</v>
      </c>
      <c r="O634" s="13" t="n">
        <v>-0.0511575318798847</v>
      </c>
      <c r="P634" s="15" t="n">
        <v>-0.0194679270309521</v>
      </c>
      <c r="Q634" s="13" t="n">
        <v>-0.071516718575542</v>
      </c>
      <c r="R634" s="15" t="n">
        <v>0.133333333333333</v>
      </c>
      <c r="S634" s="32" t="n">
        <v>654787206500</v>
      </c>
      <c r="T634" s="15" t="n">
        <v>0.0917431192660549</v>
      </c>
      <c r="U634" s="32" t="n">
        <v>102917731620</v>
      </c>
      <c r="V634" s="14" t="n">
        <v>5.4298911274912</v>
      </c>
      <c r="W634" s="13" t="n">
        <v>0.099815157116451</v>
      </c>
      <c r="X634" s="15" t="n">
        <v>0.0369747899159665</v>
      </c>
      <c r="Y634" s="13" t="n">
        <v>0.0146709364100857</v>
      </c>
      <c r="Z634" s="13" t="n">
        <v>0.0369375182301106</v>
      </c>
      <c r="AA634" s="30" t="s">
        <v>97</v>
      </c>
      <c r="AB634" s="28" t="s">
        <v>93</v>
      </c>
      <c r="AC634" s="28" t="s">
        <v>102</v>
      </c>
      <c r="AD634" s="28" t="s">
        <v>110</v>
      </c>
      <c r="AE634" s="28" t="s">
        <v>101</v>
      </c>
      <c r="AF634" s="28" t="s">
        <v>119</v>
      </c>
      <c r="AG634" s="30" t="s">
        <v>122</v>
      </c>
    </row>
    <row r="635" customFormat="false" ht="15" hidden="false" customHeight="false" outlineLevel="0" collapsed="false">
      <c r="A635" s="10" t="n">
        <v>2026</v>
      </c>
      <c r="B635" s="28" t="s">
        <v>75</v>
      </c>
      <c r="C635" s="29" t="n">
        <v>46035</v>
      </c>
      <c r="D635" s="30" t="s">
        <v>126</v>
      </c>
      <c r="E635" s="28" t="s">
        <v>247</v>
      </c>
      <c r="F635" s="30" t="s">
        <v>248</v>
      </c>
      <c r="G635" s="31" t="n">
        <v>55756</v>
      </c>
      <c r="H635" s="31" t="n">
        <v>1</v>
      </c>
      <c r="I635" s="31" t="n">
        <v>55756</v>
      </c>
      <c r="J635" s="29" t="n">
        <v>46036</v>
      </c>
      <c r="K635" s="31" t="n">
        <v>53047</v>
      </c>
      <c r="L635" s="30" t="s">
        <v>32</v>
      </c>
      <c r="M635" s="10" t="n">
        <v>1</v>
      </c>
      <c r="N635" s="12" t="n">
        <v>-2831</v>
      </c>
      <c r="O635" s="13" t="n">
        <v>-0.0507789192853826</v>
      </c>
      <c r="P635" s="15" t="n">
        <v>-0.0135537711839328</v>
      </c>
      <c r="Q635" s="13" t="n">
        <v>-0.0476310045430333</v>
      </c>
      <c r="R635" s="15" t="n">
        <v>0.0921568627450979</v>
      </c>
      <c r="S635" s="32" t="n">
        <v>395072134900</v>
      </c>
      <c r="T635" s="15" t="n">
        <v>0.087890625</v>
      </c>
      <c r="U635" s="32" t="n">
        <v>149528365107.5</v>
      </c>
      <c r="V635" s="14" t="n">
        <v>2.32982728809304</v>
      </c>
      <c r="W635" s="13" t="n">
        <v>0.0752895752895753</v>
      </c>
      <c r="X635" s="15" t="n">
        <v>0.00179533213644523</v>
      </c>
      <c r="Y635" s="13" t="n">
        <v>0.0146709364100857</v>
      </c>
      <c r="Z635" s="13" t="n">
        <v>0.0369375182301106</v>
      </c>
      <c r="AA635" s="30" t="s">
        <v>97</v>
      </c>
      <c r="AB635" s="28" t="s">
        <v>93</v>
      </c>
      <c r="AC635" s="28" t="s">
        <v>101</v>
      </c>
      <c r="AD635" s="28" t="s">
        <v>110</v>
      </c>
      <c r="AE635" s="28" t="s">
        <v>101</v>
      </c>
      <c r="AF635" s="28" t="s">
        <v>117</v>
      </c>
      <c r="AG635" s="30" t="s">
        <v>122</v>
      </c>
    </row>
    <row r="636" customFormat="false" ht="15" hidden="false" customHeight="false" outlineLevel="0" collapsed="false">
      <c r="A636" s="10" t="n">
        <v>2026</v>
      </c>
      <c r="B636" s="28" t="s">
        <v>75</v>
      </c>
      <c r="C636" s="29" t="n">
        <v>46035</v>
      </c>
      <c r="D636" s="30" t="s">
        <v>126</v>
      </c>
      <c r="E636" s="28" t="s">
        <v>465</v>
      </c>
      <c r="F636" s="28" t="s">
        <v>466</v>
      </c>
      <c r="G636" s="31" t="n">
        <v>54354</v>
      </c>
      <c r="H636" s="31" t="n">
        <v>1</v>
      </c>
      <c r="I636" s="31" t="n">
        <v>54354</v>
      </c>
      <c r="J636" s="29" t="n">
        <v>46049</v>
      </c>
      <c r="K636" s="31" t="n">
        <v>65300</v>
      </c>
      <c r="L636" s="30" t="s">
        <v>31</v>
      </c>
      <c r="M636" s="10" t="n">
        <v>10</v>
      </c>
      <c r="N636" s="12" t="n">
        <v>10797</v>
      </c>
      <c r="O636" s="13" t="n">
        <v>0.19864393166686</v>
      </c>
      <c r="P636" s="15" t="n">
        <v>0.317283085238886</v>
      </c>
      <c r="Q636" s="13" t="n">
        <v>-0.00467856268961231</v>
      </c>
      <c r="R636" s="15" t="n">
        <v>0.0245283018867926</v>
      </c>
      <c r="S636" s="32" t="n">
        <v>96965682000</v>
      </c>
      <c r="T636" s="15" t="n">
        <v>0.00555555555555554</v>
      </c>
      <c r="U636" s="32" t="n">
        <v>29618636865</v>
      </c>
      <c r="V636" s="14" t="n">
        <v>3.20865838606859</v>
      </c>
      <c r="W636" s="13" t="n">
        <v>0.0149532710280373</v>
      </c>
      <c r="X636" s="15" t="n">
        <v>0.00184162062615112</v>
      </c>
      <c r="Y636" s="13" t="n">
        <v>0.0146709364100857</v>
      </c>
      <c r="Z636" s="13" t="n">
        <v>0.0369375182301106</v>
      </c>
      <c r="AA636" s="30" t="s">
        <v>97</v>
      </c>
      <c r="AB636" s="28" t="s">
        <v>93</v>
      </c>
      <c r="AC636" s="28" t="s">
        <v>99</v>
      </c>
      <c r="AD636" s="28" t="s">
        <v>108</v>
      </c>
      <c r="AE636" s="28" t="s">
        <v>112</v>
      </c>
      <c r="AF636" s="28" t="s">
        <v>118</v>
      </c>
      <c r="AG636" s="30" t="s">
        <v>122</v>
      </c>
    </row>
    <row r="637" customFormat="false" ht="15" hidden="false" customHeight="false" outlineLevel="0" collapsed="false">
      <c r="A637" s="10" t="n">
        <v>2026</v>
      </c>
      <c r="B637" s="28" t="s">
        <v>75</v>
      </c>
      <c r="C637" s="29" t="n">
        <v>46035</v>
      </c>
      <c r="D637" s="30" t="s">
        <v>126</v>
      </c>
      <c r="E637" s="28" t="s">
        <v>653</v>
      </c>
      <c r="F637" s="30" t="s">
        <v>654</v>
      </c>
      <c r="G637" s="31" t="n">
        <v>26862</v>
      </c>
      <c r="H637" s="31" t="n">
        <v>3</v>
      </c>
      <c r="I637" s="31" t="n">
        <v>80586</v>
      </c>
      <c r="J637" s="29" t="n">
        <v>46043</v>
      </c>
      <c r="K637" s="31" t="n">
        <v>25524</v>
      </c>
      <c r="L637" s="30" t="s">
        <v>32</v>
      </c>
      <c r="M637" s="10" t="n">
        <v>6</v>
      </c>
      <c r="N637" s="12" t="n">
        <v>-4190</v>
      </c>
      <c r="O637" s="13" t="n">
        <v>-0.0519900579559526</v>
      </c>
      <c r="P637" s="15" t="n">
        <v>0.0499166913929656</v>
      </c>
      <c r="Q637" s="13" t="n">
        <v>-0.0554261204524824</v>
      </c>
      <c r="R637" s="15" t="n">
        <v>0.0556586270871984</v>
      </c>
      <c r="S637" s="32" t="n">
        <v>78273574600</v>
      </c>
      <c r="T637" s="15" t="n">
        <v>0.0106571936056839</v>
      </c>
      <c r="U637" s="32" t="n">
        <v>21159309427.5</v>
      </c>
      <c r="V637" s="14" t="n">
        <v>3.52823218097311</v>
      </c>
      <c r="W637" s="13" t="n">
        <v>0.0440366972477064</v>
      </c>
      <c r="X637" s="15" t="n">
        <v>0.0140597539543057</v>
      </c>
      <c r="Y637" s="13" t="n">
        <v>0.0146709364100857</v>
      </c>
      <c r="Z637" s="13" t="n">
        <v>0.0369375182301106</v>
      </c>
      <c r="AA637" s="30" t="s">
        <v>97</v>
      </c>
      <c r="AB637" s="28" t="s">
        <v>93</v>
      </c>
      <c r="AC637" s="28" t="s">
        <v>101</v>
      </c>
      <c r="AD637" s="28" t="s">
        <v>108</v>
      </c>
      <c r="AE637" s="28" t="s">
        <v>112</v>
      </c>
      <c r="AF637" s="28" t="s">
        <v>118</v>
      </c>
      <c r="AG637" s="30" t="s">
        <v>122</v>
      </c>
    </row>
    <row r="638" customFormat="false" ht="15" hidden="false" customHeight="false" outlineLevel="0" collapsed="false">
      <c r="A638" s="10" t="n">
        <v>2026</v>
      </c>
      <c r="B638" s="28" t="s">
        <v>75</v>
      </c>
      <c r="C638" s="29" t="n">
        <v>46035</v>
      </c>
      <c r="D638" s="30" t="s">
        <v>126</v>
      </c>
      <c r="E638" s="28" t="s">
        <v>177</v>
      </c>
      <c r="F638" s="30" t="s">
        <v>178</v>
      </c>
      <c r="G638" s="31" t="n">
        <v>34034</v>
      </c>
      <c r="H638" s="31" t="n">
        <v>2</v>
      </c>
      <c r="I638" s="31" t="n">
        <v>68068</v>
      </c>
      <c r="J638" s="29" t="n">
        <v>46055</v>
      </c>
      <c r="K638" s="31" t="n">
        <v>32368</v>
      </c>
      <c r="L638" s="30" t="s">
        <v>32</v>
      </c>
      <c r="M638" s="10" t="n">
        <v>14</v>
      </c>
      <c r="N638" s="12" t="n">
        <v>-3482</v>
      </c>
      <c r="O638" s="13" t="n">
        <v>-0.0511575318798846</v>
      </c>
      <c r="P638" s="15" t="n">
        <v>0.173826173826174</v>
      </c>
      <c r="Q638" s="13" t="n">
        <v>-0.0641711229946522</v>
      </c>
      <c r="R638" s="15" t="n">
        <v>0.0742496050552923</v>
      </c>
      <c r="S638" s="32" t="n">
        <v>38269210000</v>
      </c>
      <c r="T638" s="15" t="n">
        <v>0.0591900311526479</v>
      </c>
      <c r="U638" s="32" t="n">
        <v>13726256102.5</v>
      </c>
      <c r="V638" s="14" t="n">
        <v>2.48700996249041</v>
      </c>
      <c r="W638" s="13" t="n">
        <v>0.0625</v>
      </c>
      <c r="X638" s="15" t="n">
        <v>0.0102941176470588</v>
      </c>
      <c r="Y638" s="13" t="n">
        <v>0.0146709364100857</v>
      </c>
      <c r="Z638" s="13" t="n">
        <v>0.0369375182301106</v>
      </c>
      <c r="AA638" s="30" t="s">
        <v>97</v>
      </c>
      <c r="AB638" s="28" t="s">
        <v>93</v>
      </c>
      <c r="AC638" s="28" t="s">
        <v>101</v>
      </c>
      <c r="AD638" s="28" t="s">
        <v>107</v>
      </c>
      <c r="AE638" s="28" t="s">
        <v>101</v>
      </c>
      <c r="AF638" s="28" t="s">
        <v>117</v>
      </c>
      <c r="AG638" s="30" t="s">
        <v>122</v>
      </c>
    </row>
    <row r="639" customFormat="false" ht="15" hidden="false" customHeight="false" outlineLevel="0" collapsed="false">
      <c r="A639" s="10" t="n">
        <v>2026</v>
      </c>
      <c r="B639" s="28" t="s">
        <v>75</v>
      </c>
      <c r="C639" s="29" t="n">
        <v>46036</v>
      </c>
      <c r="D639" s="30" t="s">
        <v>127</v>
      </c>
      <c r="E639" s="28" t="s">
        <v>401</v>
      </c>
      <c r="F639" s="30" t="s">
        <v>402</v>
      </c>
      <c r="G639" s="31" t="n">
        <v>96196</v>
      </c>
      <c r="H639" s="31" t="n">
        <v>1</v>
      </c>
      <c r="I639" s="31" t="n">
        <v>96196</v>
      </c>
      <c r="J639" s="29" t="n">
        <v>46058</v>
      </c>
      <c r="K639" s="31" t="n">
        <v>115500</v>
      </c>
      <c r="L639" s="30" t="s">
        <v>31</v>
      </c>
      <c r="M639" s="10" t="n">
        <v>16</v>
      </c>
      <c r="N639" s="12" t="n">
        <v>19041</v>
      </c>
      <c r="O639" s="13" t="n">
        <v>0.197940930921316</v>
      </c>
      <c r="P639" s="15" t="n">
        <v>0.201711919714001</v>
      </c>
      <c r="Q639" s="13" t="n">
        <v>-0.00931534646414967</v>
      </c>
      <c r="R639" s="15" t="n">
        <v>0.0190880169671261</v>
      </c>
      <c r="S639" s="32" t="n">
        <v>69880652600</v>
      </c>
      <c r="T639" s="15" t="n">
        <v>0.0126448893572182</v>
      </c>
      <c r="U639" s="32" t="n">
        <v>51940632540</v>
      </c>
      <c r="V639" s="14" t="n">
        <v>1.30613293290129</v>
      </c>
      <c r="W639" s="13" t="n">
        <v>0.0267094017094016</v>
      </c>
      <c r="X639" s="15" t="n">
        <v>0.00104058272632668</v>
      </c>
      <c r="Y639" s="13" t="n">
        <v>0.00649101571823119</v>
      </c>
      <c r="Z639" s="13" t="n">
        <v>0.0378021823487276</v>
      </c>
      <c r="AA639" s="30" t="s">
        <v>97</v>
      </c>
      <c r="AB639" s="28" t="s">
        <v>93</v>
      </c>
      <c r="AC639" s="28" t="s">
        <v>99</v>
      </c>
      <c r="AD639" s="28" t="s">
        <v>108</v>
      </c>
      <c r="AE639" s="28" t="s">
        <v>112</v>
      </c>
      <c r="AF639" s="28" t="s">
        <v>116</v>
      </c>
      <c r="AG639" s="30" t="s">
        <v>122</v>
      </c>
    </row>
    <row r="640" customFormat="false" ht="15" hidden="false" customHeight="false" outlineLevel="0" collapsed="false">
      <c r="A640" s="10" t="n">
        <v>2026</v>
      </c>
      <c r="B640" s="28" t="s">
        <v>75</v>
      </c>
      <c r="C640" s="29" t="n">
        <v>46036</v>
      </c>
      <c r="D640" s="30" t="s">
        <v>127</v>
      </c>
      <c r="E640" s="28" t="s">
        <v>471</v>
      </c>
      <c r="F640" s="30" t="s">
        <v>472</v>
      </c>
      <c r="G640" s="31" t="n">
        <v>81081</v>
      </c>
      <c r="H640" s="31" t="n">
        <v>1</v>
      </c>
      <c r="I640" s="31" t="n">
        <v>81081</v>
      </c>
      <c r="J640" s="29" t="n">
        <v>46063</v>
      </c>
      <c r="K640" s="31" t="n">
        <v>97300</v>
      </c>
      <c r="L640" s="30" t="s">
        <v>31</v>
      </c>
      <c r="M640" s="10" t="n">
        <v>19</v>
      </c>
      <c r="N640" s="12" t="n">
        <v>15998</v>
      </c>
      <c r="O640" s="13" t="n">
        <v>0.197304459121126</v>
      </c>
      <c r="P640" s="15" t="n">
        <v>0.217301217301217</v>
      </c>
      <c r="Q640" s="13" t="n">
        <v>-0.010865677532344</v>
      </c>
      <c r="R640" s="15" t="n">
        <v>0.0318471337579618</v>
      </c>
      <c r="S640" s="32" t="n">
        <v>61622370000</v>
      </c>
      <c r="T640" s="15" t="n">
        <v>0.0112359550561798</v>
      </c>
      <c r="U640" s="32" t="n">
        <v>34749431805</v>
      </c>
      <c r="V640" s="14" t="n">
        <v>1.70399357886248</v>
      </c>
      <c r="W640" s="13" t="n">
        <v>0.0331632653061225</v>
      </c>
      <c r="X640" s="15" t="n">
        <v>0</v>
      </c>
      <c r="Y640" s="13" t="n">
        <v>0.00649101571823119</v>
      </c>
      <c r="Z640" s="13" t="n">
        <v>0.0378021823487276</v>
      </c>
      <c r="AA640" s="30" t="s">
        <v>97</v>
      </c>
      <c r="AB640" s="28" t="s">
        <v>93</v>
      </c>
      <c r="AC640" s="28" t="s">
        <v>100</v>
      </c>
      <c r="AD640" s="28" t="s">
        <v>108</v>
      </c>
      <c r="AE640" s="28" t="s">
        <v>112</v>
      </c>
      <c r="AF640" s="28" t="s">
        <v>116</v>
      </c>
      <c r="AG640" s="30" t="s">
        <v>122</v>
      </c>
    </row>
    <row r="641" customFormat="false" ht="15" hidden="false" customHeight="false" outlineLevel="0" collapsed="false">
      <c r="A641" s="10" t="n">
        <v>2026</v>
      </c>
      <c r="B641" s="28" t="s">
        <v>75</v>
      </c>
      <c r="C641" s="29" t="n">
        <v>46043</v>
      </c>
      <c r="D641" s="30" t="s">
        <v>127</v>
      </c>
      <c r="E641" s="28" t="s">
        <v>919</v>
      </c>
      <c r="F641" s="30" t="s">
        <v>920</v>
      </c>
      <c r="G641" s="31" t="n">
        <v>7207</v>
      </c>
      <c r="H641" s="31" t="n">
        <v>13</v>
      </c>
      <c r="I641" s="31" t="n">
        <v>93694</v>
      </c>
      <c r="J641" s="29" t="n">
        <v>46044</v>
      </c>
      <c r="K641" s="31" t="n">
        <v>6853</v>
      </c>
      <c r="L641" s="30" t="s">
        <v>32</v>
      </c>
      <c r="M641" s="10" t="n">
        <v>1</v>
      </c>
      <c r="N641" s="12" t="n">
        <v>-4808</v>
      </c>
      <c r="O641" s="13" t="n">
        <v>-0.0513202534965033</v>
      </c>
      <c r="P641" s="15" t="n">
        <v>0.0323010323010324</v>
      </c>
      <c r="Q641" s="13" t="n">
        <v>-0.0773115773115771</v>
      </c>
      <c r="R641" s="15" t="n">
        <v>0.105990783410138</v>
      </c>
      <c r="S641" s="32" t="n">
        <v>147755728800</v>
      </c>
      <c r="T641" s="15" t="n">
        <v>0.0526315789473684</v>
      </c>
      <c r="U641" s="32" t="n">
        <v>22120306020.5</v>
      </c>
      <c r="V641" s="14" t="n">
        <v>5.93440126919017</v>
      </c>
      <c r="W641" s="13" t="n">
        <v>0.133858267716535</v>
      </c>
      <c r="X641" s="15" t="n">
        <v>0.102777777777778</v>
      </c>
      <c r="Y641" s="13" t="n">
        <v>0.00494908662948368</v>
      </c>
      <c r="Z641" s="13" t="n">
        <v>0.0395566471173594</v>
      </c>
      <c r="AA641" s="30" t="s">
        <v>97</v>
      </c>
      <c r="AB641" s="28" t="s">
        <v>93</v>
      </c>
      <c r="AC641" s="28" t="s">
        <v>102</v>
      </c>
      <c r="AD641" s="28" t="s">
        <v>109</v>
      </c>
      <c r="AE641" s="28" t="s">
        <v>101</v>
      </c>
      <c r="AF641" s="28" t="s">
        <v>119</v>
      </c>
      <c r="AG641" s="30" t="s">
        <v>122</v>
      </c>
    </row>
    <row r="642" customFormat="false" ht="15" hidden="false" customHeight="false" outlineLevel="0" collapsed="false">
      <c r="A642" s="10" t="n">
        <v>2026</v>
      </c>
      <c r="B642" s="28" t="s">
        <v>75</v>
      </c>
      <c r="C642" s="29" t="n">
        <v>46044</v>
      </c>
      <c r="D642" s="30" t="s">
        <v>128</v>
      </c>
      <c r="E642" s="28" t="s">
        <v>921</v>
      </c>
      <c r="F642" s="30" t="s">
        <v>922</v>
      </c>
      <c r="G642" s="31" t="n">
        <v>17658</v>
      </c>
      <c r="H642" s="31" t="n">
        <v>5</v>
      </c>
      <c r="I642" s="31" t="n">
        <v>88288</v>
      </c>
      <c r="J642" s="29" t="n">
        <v>46045</v>
      </c>
      <c r="K642" s="31" t="n">
        <v>16803</v>
      </c>
      <c r="L642" s="30" t="s">
        <v>32</v>
      </c>
      <c r="M642" s="10" t="n">
        <v>1</v>
      </c>
      <c r="N642" s="12" t="n">
        <v>-4466</v>
      </c>
      <c r="O642" s="13" t="n">
        <v>-0.0505863457970602</v>
      </c>
      <c r="P642" s="15" t="n">
        <v>0.0873480261235364</v>
      </c>
      <c r="Q642" s="13" t="n">
        <v>-0.0621623274684499</v>
      </c>
      <c r="R642" s="15" t="n">
        <v>0.281976744186047</v>
      </c>
      <c r="S642" s="32" t="n">
        <v>129060608040</v>
      </c>
      <c r="T642" s="15" t="n">
        <v>0.226703755215577</v>
      </c>
      <c r="U642" s="32" t="n">
        <v>4573668551</v>
      </c>
      <c r="V642" s="14" t="n">
        <v>22.0161971754697</v>
      </c>
      <c r="W642" s="13" t="n">
        <v>0.264516129032258</v>
      </c>
      <c r="X642" s="15" t="n">
        <v>0.00566893424036286</v>
      </c>
      <c r="Y642" s="13" t="n">
        <v>0.00867629477405973</v>
      </c>
      <c r="Z642" s="13" t="n">
        <v>0.0323039884941272</v>
      </c>
      <c r="AA642" s="30" t="s">
        <v>97</v>
      </c>
      <c r="AB642" s="28" t="s">
        <v>93</v>
      </c>
      <c r="AC642" s="28" t="s">
        <v>104</v>
      </c>
      <c r="AD642" s="28" t="s">
        <v>109</v>
      </c>
      <c r="AE642" s="28" t="s">
        <v>114</v>
      </c>
      <c r="AF642" s="28" t="s">
        <v>120</v>
      </c>
      <c r="AG642" s="30" t="s">
        <v>122</v>
      </c>
    </row>
    <row r="643" customFormat="false" ht="15" hidden="false" customHeight="false" outlineLevel="0" collapsed="false">
      <c r="A643" s="10" t="n">
        <v>2026</v>
      </c>
      <c r="B643" s="28" t="s">
        <v>75</v>
      </c>
      <c r="C643" s="29" t="n">
        <v>46045</v>
      </c>
      <c r="D643" s="30" t="s">
        <v>129</v>
      </c>
      <c r="E643" s="28" t="s">
        <v>879</v>
      </c>
      <c r="F643" s="30" t="s">
        <v>880</v>
      </c>
      <c r="G643" s="31" t="n">
        <v>83183</v>
      </c>
      <c r="H643" s="31" t="n">
        <v>1</v>
      </c>
      <c r="I643" s="31" t="n">
        <v>83183</v>
      </c>
      <c r="J643" s="29" t="n">
        <v>46049</v>
      </c>
      <c r="K643" s="31" t="n">
        <v>99900</v>
      </c>
      <c r="L643" s="30" t="s">
        <v>31</v>
      </c>
      <c r="M643" s="10" t="n">
        <v>2</v>
      </c>
      <c r="N643" s="12" t="n">
        <v>16490</v>
      </c>
      <c r="O643" s="13" t="n">
        <v>0.198233024917321</v>
      </c>
      <c r="P643" s="15" t="n">
        <v>0.240636619697992</v>
      </c>
      <c r="Q643" s="13" t="n">
        <v>0.00861833713819293</v>
      </c>
      <c r="R643" s="15" t="n">
        <v>0.0681233933161953</v>
      </c>
      <c r="S643" s="32" t="n">
        <v>67187097900</v>
      </c>
      <c r="T643" s="15" t="n">
        <v>0.0439698492462313</v>
      </c>
      <c r="U643" s="32" t="n">
        <v>30409353900</v>
      </c>
      <c r="V643" s="14" t="n">
        <v>1.95317033340017</v>
      </c>
      <c r="W643" s="13" t="n">
        <v>0.0413533834586466</v>
      </c>
      <c r="X643" s="15" t="n">
        <v>0.00481347773766538</v>
      </c>
      <c r="Y643" s="13" t="n">
        <v>0.00757996417992413</v>
      </c>
      <c r="Z643" s="13" t="n">
        <v>0.0308485892652777</v>
      </c>
      <c r="AA643" s="30" t="s">
        <v>97</v>
      </c>
      <c r="AB643" s="28" t="s">
        <v>93</v>
      </c>
      <c r="AC643" s="28" t="s">
        <v>101</v>
      </c>
      <c r="AD643" s="28" t="s">
        <v>108</v>
      </c>
      <c r="AE643" s="28" t="s">
        <v>113</v>
      </c>
      <c r="AF643" s="28" t="s">
        <v>116</v>
      </c>
      <c r="AG643" s="30" t="s">
        <v>122</v>
      </c>
    </row>
    <row r="644" customFormat="false" ht="15" hidden="false" customHeight="false" outlineLevel="0" collapsed="false">
      <c r="A644" s="10" t="n">
        <v>2026</v>
      </c>
      <c r="B644" s="28" t="s">
        <v>75</v>
      </c>
      <c r="C644" s="29" t="n">
        <v>46049</v>
      </c>
      <c r="D644" s="30" t="s">
        <v>126</v>
      </c>
      <c r="E644" s="28" t="s">
        <v>901</v>
      </c>
      <c r="F644" s="30" t="s">
        <v>902</v>
      </c>
      <c r="G644" s="31" t="n">
        <v>73573</v>
      </c>
      <c r="H644" s="31" t="n">
        <v>1</v>
      </c>
      <c r="I644" s="31" t="n">
        <v>73573</v>
      </c>
      <c r="J644" s="29" t="n">
        <v>46052</v>
      </c>
      <c r="K644" s="31" t="n">
        <v>70030</v>
      </c>
      <c r="L644" s="30" t="s">
        <v>32</v>
      </c>
      <c r="M644" s="10" t="n">
        <v>3</v>
      </c>
      <c r="N644" s="12" t="n">
        <v>-3705</v>
      </c>
      <c r="O644" s="13" t="n">
        <v>-0.0503605280433852</v>
      </c>
      <c r="P644" s="15" t="n">
        <v>0.000360184033653566</v>
      </c>
      <c r="Q644" s="13" t="n">
        <v>-0.0540072172725232</v>
      </c>
      <c r="R644" s="15" t="n">
        <v>0.05</v>
      </c>
      <c r="S644" s="32" t="n">
        <v>66392550000</v>
      </c>
      <c r="T644" s="15" t="n">
        <v>0.0352112676056338</v>
      </c>
      <c r="U644" s="32" t="n">
        <v>12767598455</v>
      </c>
      <c r="V644" s="14" t="n">
        <v>4.85216683654354</v>
      </c>
      <c r="W644" s="13" t="n">
        <v>0.0381355932203389</v>
      </c>
      <c r="X644" s="15" t="n">
        <v>0.0585034013605443</v>
      </c>
      <c r="Y644" s="13" t="n">
        <v>0.0273275160164781</v>
      </c>
      <c r="Z644" s="13" t="n">
        <v>0.0407511640996776</v>
      </c>
      <c r="AA644" s="30" t="s">
        <v>97</v>
      </c>
      <c r="AB644" s="28" t="s">
        <v>93</v>
      </c>
      <c r="AC644" s="28" t="s">
        <v>101</v>
      </c>
      <c r="AD644" s="28" t="s">
        <v>108</v>
      </c>
      <c r="AE644" s="28" t="s">
        <v>113</v>
      </c>
      <c r="AF644" s="28" t="s">
        <v>118</v>
      </c>
      <c r="AG644" s="30" t="s">
        <v>122</v>
      </c>
    </row>
    <row r="645" customFormat="false" ht="15" hidden="false" customHeight="false" outlineLevel="0" collapsed="false">
      <c r="A645" s="10" t="n">
        <v>2026</v>
      </c>
      <c r="B645" s="28" t="s">
        <v>75</v>
      </c>
      <c r="C645" s="29" t="n">
        <v>46049</v>
      </c>
      <c r="D645" s="30" t="s">
        <v>126</v>
      </c>
      <c r="E645" s="28" t="s">
        <v>923</v>
      </c>
      <c r="F645" s="30" t="s">
        <v>924</v>
      </c>
      <c r="G645" s="31" t="n">
        <v>15415</v>
      </c>
      <c r="H645" s="31" t="n">
        <v>6</v>
      </c>
      <c r="I645" s="31" t="n">
        <v>92492</v>
      </c>
      <c r="J645" s="29" t="n">
        <v>46051</v>
      </c>
      <c r="K645" s="31" t="n">
        <v>14675</v>
      </c>
      <c r="L645" s="30" t="s">
        <v>32</v>
      </c>
      <c r="M645" s="10" t="n">
        <v>2</v>
      </c>
      <c r="N645" s="12" t="n">
        <v>-4644</v>
      </c>
      <c r="O645" s="13" t="n">
        <v>-0.0502065613931524</v>
      </c>
      <c r="P645" s="15" t="n">
        <v>0.255238268225281</v>
      </c>
      <c r="Q645" s="13" t="n">
        <v>-0.059382176265293</v>
      </c>
      <c r="R645" s="15" t="n">
        <v>0.0761705101327743</v>
      </c>
      <c r="S645" s="32" t="n">
        <v>44679327000</v>
      </c>
      <c r="T645" s="15" t="n">
        <v>0.0391363022941971</v>
      </c>
      <c r="U645" s="32" t="n">
        <v>33936383834.5</v>
      </c>
      <c r="V645" s="14" t="n">
        <v>1.16370290448313</v>
      </c>
      <c r="W645" s="13" t="n">
        <v>0.0071942446043165</v>
      </c>
      <c r="X645" s="15" t="n">
        <v>0.014935064935065</v>
      </c>
      <c r="Y645" s="13" t="n">
        <v>0.0273275160164781</v>
      </c>
      <c r="Z645" s="13" t="n">
        <v>0.0407511640996776</v>
      </c>
      <c r="AA645" s="30" t="s">
        <v>97</v>
      </c>
      <c r="AB645" s="28" t="s">
        <v>93</v>
      </c>
      <c r="AC645" s="28" t="s">
        <v>101</v>
      </c>
      <c r="AD645" s="28" t="s">
        <v>107</v>
      </c>
      <c r="AE645" s="28" t="s">
        <v>113</v>
      </c>
      <c r="AF645" s="28" t="s">
        <v>116</v>
      </c>
      <c r="AG645" s="30" t="s">
        <v>122</v>
      </c>
    </row>
    <row r="646" customFormat="false" ht="15" hidden="false" customHeight="false" outlineLevel="0" collapsed="false">
      <c r="A646" s="10" t="n">
        <v>2026</v>
      </c>
      <c r="B646" s="28" t="s">
        <v>75</v>
      </c>
      <c r="C646" s="29" t="n">
        <v>46050</v>
      </c>
      <c r="D646" s="30" t="s">
        <v>127</v>
      </c>
      <c r="E646" s="28" t="s">
        <v>925</v>
      </c>
      <c r="F646" s="28" t="s">
        <v>926</v>
      </c>
      <c r="G646" s="31" t="n">
        <v>3984</v>
      </c>
      <c r="H646" s="31" t="n">
        <v>25</v>
      </c>
      <c r="I646" s="31" t="n">
        <v>99599</v>
      </c>
      <c r="J646" s="29" t="n">
        <v>46051</v>
      </c>
      <c r="K646" s="31" t="n">
        <v>3791</v>
      </c>
      <c r="L646" s="30" t="s">
        <v>32</v>
      </c>
      <c r="M646" s="10" t="n">
        <v>1</v>
      </c>
      <c r="N646" s="12" t="n">
        <v>-5038</v>
      </c>
      <c r="O646" s="13" t="n">
        <v>-0.0505835088906068</v>
      </c>
      <c r="P646" s="15" t="n">
        <v>0.0291216321367076</v>
      </c>
      <c r="Q646" s="13" t="n">
        <v>-0.0486900034638728</v>
      </c>
      <c r="R646" s="15" t="n">
        <v>0.107093184979138</v>
      </c>
      <c r="S646" s="32" t="n">
        <v>159448176880</v>
      </c>
      <c r="T646" s="15" t="n">
        <v>0.105555555555556</v>
      </c>
      <c r="U646" s="32" t="n">
        <v>3259789303</v>
      </c>
      <c r="V646" s="14" t="n">
        <v>43.538649391193</v>
      </c>
      <c r="W646" s="13" t="n">
        <v>0.0889192886456909</v>
      </c>
      <c r="X646" s="15" t="n">
        <v>0.173366834170854</v>
      </c>
      <c r="Y646" s="13" t="n">
        <v>0.0169051201117043</v>
      </c>
      <c r="Z646" s="13" t="n">
        <v>0.0531331403910036</v>
      </c>
      <c r="AA646" s="30" t="s">
        <v>97</v>
      </c>
      <c r="AB646" s="28" t="s">
        <v>93</v>
      </c>
      <c r="AC646" s="28" t="s">
        <v>102</v>
      </c>
      <c r="AD646" s="28" t="s">
        <v>109</v>
      </c>
      <c r="AE646" s="28" t="s">
        <v>114</v>
      </c>
      <c r="AF646" s="28" t="s">
        <v>120</v>
      </c>
      <c r="AG646" s="30" t="s">
        <v>122</v>
      </c>
    </row>
    <row r="647" customFormat="false" ht="15" hidden="false" customHeight="false" outlineLevel="0" collapsed="false">
      <c r="A647" s="10" t="n">
        <v>2026</v>
      </c>
      <c r="B647" s="28" t="s">
        <v>75</v>
      </c>
      <c r="C647" s="29" t="n">
        <v>46051</v>
      </c>
      <c r="D647" s="30" t="s">
        <v>128</v>
      </c>
      <c r="E647" s="28" t="s">
        <v>927</v>
      </c>
      <c r="F647" s="30" t="s">
        <v>928</v>
      </c>
      <c r="G647" s="31" t="n">
        <v>16817</v>
      </c>
      <c r="H647" s="31" t="n">
        <v>5</v>
      </c>
      <c r="I647" s="31" t="n">
        <v>84084</v>
      </c>
      <c r="J647" s="29" t="n">
        <v>46059</v>
      </c>
      <c r="K647" s="31" t="n">
        <v>15185</v>
      </c>
      <c r="L647" s="30" t="s">
        <v>32</v>
      </c>
      <c r="M647" s="10" t="n">
        <v>6</v>
      </c>
      <c r="N647" s="12" t="n">
        <v>-8336</v>
      </c>
      <c r="O647" s="13" t="n">
        <v>-0.099137162837163</v>
      </c>
      <c r="P647" s="15" t="n">
        <v>0.161338661338661</v>
      </c>
      <c r="Q647" s="13" t="n">
        <v>-0.131820560391989</v>
      </c>
      <c r="R647" s="15" t="n">
        <v>0.125251172136638</v>
      </c>
      <c r="S647" s="32" t="n">
        <v>32631564000</v>
      </c>
      <c r="T647" s="15" t="n">
        <v>0.0212765957446808</v>
      </c>
      <c r="U647" s="32" t="n">
        <v>14578746890</v>
      </c>
      <c r="V647" s="14" t="n">
        <v>2.1032618964988</v>
      </c>
      <c r="W647" s="13" t="n">
        <v>0.11925383077948</v>
      </c>
      <c r="X647" s="15" t="n">
        <v>0.025595238095238</v>
      </c>
      <c r="Y647" s="13" t="n">
        <v>0.00975475795861769</v>
      </c>
      <c r="Z647" s="13" t="n">
        <v>0.0542591362394576</v>
      </c>
      <c r="AA647" s="30" t="s">
        <v>97</v>
      </c>
      <c r="AB647" s="28" t="s">
        <v>93</v>
      </c>
      <c r="AC647" s="28" t="s">
        <v>102</v>
      </c>
      <c r="AD647" s="28" t="s">
        <v>107</v>
      </c>
      <c r="AE647" s="28" t="s">
        <v>113</v>
      </c>
      <c r="AF647" s="28" t="s">
        <v>117</v>
      </c>
      <c r="AG647" s="30" t="s">
        <v>122</v>
      </c>
    </row>
    <row r="648" customFormat="false" ht="15" hidden="false" customHeight="false" outlineLevel="0" collapsed="false">
      <c r="A648" s="10" t="n">
        <v>2026</v>
      </c>
      <c r="B648" s="28" t="s">
        <v>75</v>
      </c>
      <c r="C648" s="29" t="n">
        <v>46051</v>
      </c>
      <c r="D648" s="30" t="s">
        <v>128</v>
      </c>
      <c r="E648" s="28" t="s">
        <v>929</v>
      </c>
      <c r="F648" s="28" t="s">
        <v>930</v>
      </c>
      <c r="G648" s="31" t="n">
        <v>48949</v>
      </c>
      <c r="H648" s="31" t="n">
        <v>2</v>
      </c>
      <c r="I648" s="31" t="n">
        <v>97898</v>
      </c>
      <c r="J648" s="29" t="n">
        <v>46058</v>
      </c>
      <c r="K648" s="31" t="n">
        <v>58800</v>
      </c>
      <c r="L648" s="30" t="s">
        <v>31</v>
      </c>
      <c r="M648" s="10" t="n">
        <v>5</v>
      </c>
      <c r="N648" s="12" t="n">
        <v>19435</v>
      </c>
      <c r="O648" s="13" t="n">
        <v>0.198520041614827</v>
      </c>
      <c r="P648" s="15" t="n">
        <v>0.291142395436874</v>
      </c>
      <c r="Q648" s="13" t="n">
        <v>-0.0255143629376757</v>
      </c>
      <c r="R648" s="15" t="n">
        <v>0.103837471783296</v>
      </c>
      <c r="S648" s="32" t="n">
        <v>22345588500</v>
      </c>
      <c r="T648" s="15" t="n">
        <v>0.0927374301675978</v>
      </c>
      <c r="U648" s="32" t="n">
        <v>6880031700</v>
      </c>
      <c r="V648" s="14" t="n">
        <v>2.83881648938236</v>
      </c>
      <c r="W648" s="13" t="n">
        <v>0.102593010146562</v>
      </c>
      <c r="X648" s="15" t="n">
        <v>0.0633946830265848</v>
      </c>
      <c r="Y648" s="13" t="n">
        <v>0.00975475795861769</v>
      </c>
      <c r="Z648" s="13" t="n">
        <v>0.0542591362394576</v>
      </c>
      <c r="AA648" s="30" t="s">
        <v>97</v>
      </c>
      <c r="AB648" s="28" t="s">
        <v>93</v>
      </c>
      <c r="AC648" s="28" t="s">
        <v>102</v>
      </c>
      <c r="AD648" s="28" t="s">
        <v>106</v>
      </c>
      <c r="AE648" s="28" t="s">
        <v>101</v>
      </c>
      <c r="AF648" s="28" t="s">
        <v>117</v>
      </c>
      <c r="AG648" s="30" t="s">
        <v>122</v>
      </c>
    </row>
    <row r="649" customFormat="false" ht="15" hidden="false" customHeight="false" outlineLevel="0" collapsed="false">
      <c r="A649" s="10" t="n">
        <v>2026</v>
      </c>
      <c r="B649" s="28" t="s">
        <v>75</v>
      </c>
      <c r="C649" s="29" t="n">
        <v>46052</v>
      </c>
      <c r="D649" s="30" t="s">
        <v>129</v>
      </c>
      <c r="E649" s="28" t="s">
        <v>891</v>
      </c>
      <c r="F649" s="30" t="s">
        <v>892</v>
      </c>
      <c r="G649" s="31" t="n">
        <v>24024</v>
      </c>
      <c r="H649" s="31" t="n">
        <v>4</v>
      </c>
      <c r="I649" s="31" t="n">
        <v>96096</v>
      </c>
      <c r="J649" s="29" t="n">
        <v>46055</v>
      </c>
      <c r="K649" s="31" t="n">
        <v>22827</v>
      </c>
      <c r="L649" s="30" t="s">
        <v>32</v>
      </c>
      <c r="M649" s="10" t="n">
        <v>1</v>
      </c>
      <c r="N649" s="12" t="n">
        <v>-4998</v>
      </c>
      <c r="O649" s="13" t="n">
        <v>-0.0520118203671328</v>
      </c>
      <c r="P649" s="15" t="n">
        <v>0.0551948051948055</v>
      </c>
      <c r="Q649" s="13" t="n">
        <v>-0.109224109224109</v>
      </c>
      <c r="R649" s="15" t="n">
        <v>0.24804992199688</v>
      </c>
      <c r="S649" s="32" t="n">
        <v>409154040000</v>
      </c>
      <c r="T649" s="15" t="n">
        <v>0.151079136690647</v>
      </c>
      <c r="U649" s="32" t="n">
        <v>50831769643</v>
      </c>
      <c r="V649" s="14" t="n">
        <v>6.46579306076101</v>
      </c>
      <c r="W649" s="13" t="n">
        <v>0.156626506024096</v>
      </c>
      <c r="X649" s="15" t="n">
        <v>0.0291666666666666</v>
      </c>
      <c r="Y649" s="13" t="n">
        <v>0.000595642805841345</v>
      </c>
      <c r="Z649" s="13" t="n">
        <v>0.0469512451729135</v>
      </c>
      <c r="AA649" s="30" t="s">
        <v>97</v>
      </c>
      <c r="AB649" s="28" t="s">
        <v>93</v>
      </c>
      <c r="AC649" s="28" t="s">
        <v>104</v>
      </c>
      <c r="AD649" s="28" t="s">
        <v>110</v>
      </c>
      <c r="AE649" s="28" t="s">
        <v>114</v>
      </c>
      <c r="AF649" s="28" t="s">
        <v>119</v>
      </c>
      <c r="AG649" s="30" t="s">
        <v>122</v>
      </c>
    </row>
    <row r="650" customFormat="false" ht="15" hidden="false" customHeight="false" outlineLevel="0" collapsed="false">
      <c r="A650" s="10" t="n">
        <v>2026</v>
      </c>
      <c r="B650" s="28" t="s">
        <v>75</v>
      </c>
      <c r="C650" s="29" t="n">
        <v>46052</v>
      </c>
      <c r="D650" s="30" t="s">
        <v>129</v>
      </c>
      <c r="E650" s="28" t="s">
        <v>931</v>
      </c>
      <c r="F650" s="28" t="s">
        <v>932</v>
      </c>
      <c r="G650" s="31" t="n">
        <v>6747</v>
      </c>
      <c r="H650" s="31" t="n">
        <v>14</v>
      </c>
      <c r="I650" s="31" t="n">
        <v>94454</v>
      </c>
      <c r="J650" s="29" t="n">
        <v>46055</v>
      </c>
      <c r="K650" s="31" t="n">
        <v>6414</v>
      </c>
      <c r="L650" s="30" t="s">
        <v>32</v>
      </c>
      <c r="M650" s="10" t="n">
        <v>1</v>
      </c>
      <c r="N650" s="12" t="n">
        <v>-4871</v>
      </c>
      <c r="O650" s="13" t="n">
        <v>-0.0515747172708598</v>
      </c>
      <c r="P650" s="15" t="n">
        <v>0.073110865395732</v>
      </c>
      <c r="Q650" s="13" t="n">
        <v>-0.0721444727379444</v>
      </c>
      <c r="R650" s="15" t="n">
        <v>0.0564263322884013</v>
      </c>
      <c r="S650" s="32" t="n">
        <v>60153131780</v>
      </c>
      <c r="T650" s="15" t="n">
        <v>0.0196671709531013</v>
      </c>
      <c r="U650" s="32" t="n">
        <v>5469174672</v>
      </c>
      <c r="V650" s="14" t="n">
        <v>10.4272835817722</v>
      </c>
      <c r="W650" s="13" t="n">
        <v>0.0531250000000001</v>
      </c>
      <c r="X650" s="15" t="n">
        <v>0.0979228486646884</v>
      </c>
      <c r="Y650" s="13" t="n">
        <v>0.000595642805841345</v>
      </c>
      <c r="Z650" s="13" t="n">
        <v>0.0469512451729135</v>
      </c>
      <c r="AA650" s="30" t="s">
        <v>97</v>
      </c>
      <c r="AB650" s="28" t="s">
        <v>93</v>
      </c>
      <c r="AC650" s="28" t="s">
        <v>101</v>
      </c>
      <c r="AD650" s="28" t="s">
        <v>108</v>
      </c>
      <c r="AE650" s="28" t="s">
        <v>112</v>
      </c>
      <c r="AF650" s="28" t="s">
        <v>120</v>
      </c>
      <c r="AG650" s="30" t="s">
        <v>122</v>
      </c>
    </row>
    <row r="651" customFormat="false" ht="15" hidden="false" customHeight="false" outlineLevel="0" collapsed="false">
      <c r="A651" s="10" t="n">
        <v>2026</v>
      </c>
      <c r="B651" s="28" t="s">
        <v>75</v>
      </c>
      <c r="C651" s="29" t="n">
        <v>46052</v>
      </c>
      <c r="D651" s="30" t="s">
        <v>129</v>
      </c>
      <c r="E651" s="28" t="s">
        <v>933</v>
      </c>
      <c r="F651" s="30" t="s">
        <v>934</v>
      </c>
      <c r="G651" s="31" t="n">
        <v>7357</v>
      </c>
      <c r="H651" s="31" t="n">
        <v>13</v>
      </c>
      <c r="I651" s="31" t="n">
        <v>95646</v>
      </c>
      <c r="J651" s="29" t="n">
        <v>46055</v>
      </c>
      <c r="K651" s="31" t="n">
        <v>8830</v>
      </c>
      <c r="L651" s="30" t="s">
        <v>31</v>
      </c>
      <c r="M651" s="10" t="n">
        <v>1</v>
      </c>
      <c r="N651" s="12" t="n">
        <v>18883</v>
      </c>
      <c r="O651" s="13" t="n">
        <v>0.19743003900861</v>
      </c>
      <c r="P651" s="15" t="n">
        <v>0.223266529388978</v>
      </c>
      <c r="Q651" s="13" t="n">
        <v>0.0289030697193964</v>
      </c>
      <c r="R651" s="15" t="n">
        <v>0.0986547085201794</v>
      </c>
      <c r="S651" s="32" t="n">
        <v>59810514750</v>
      </c>
      <c r="T651" s="15" t="n">
        <v>0.00961538461538458</v>
      </c>
      <c r="U651" s="32" t="n">
        <v>13330951240.5</v>
      </c>
      <c r="V651" s="14" t="n">
        <v>4.10686218949983</v>
      </c>
      <c r="W651" s="13" t="n">
        <v>0.0921248142644873</v>
      </c>
      <c r="X651" s="15" t="n">
        <v>0.0775510204081633</v>
      </c>
      <c r="Y651" s="13" t="n">
        <v>0.000595642805841345</v>
      </c>
      <c r="Z651" s="13" t="n">
        <v>0.0469512451729135</v>
      </c>
      <c r="AA651" s="30" t="s">
        <v>97</v>
      </c>
      <c r="AB651" s="28" t="s">
        <v>93</v>
      </c>
      <c r="AC651" s="28" t="s">
        <v>101</v>
      </c>
      <c r="AD651" s="28" t="s">
        <v>108</v>
      </c>
      <c r="AE651" s="28" t="s">
        <v>112</v>
      </c>
      <c r="AF651" s="28" t="s">
        <v>118</v>
      </c>
      <c r="AG651" s="30" t="s">
        <v>122</v>
      </c>
    </row>
    <row r="652" customFormat="false" ht="15" hidden="false" customHeight="false" outlineLevel="0" collapsed="false">
      <c r="A652" s="10" t="n">
        <v>2026</v>
      </c>
      <c r="B652" s="28" t="s">
        <v>76</v>
      </c>
      <c r="C652" s="29" t="n">
        <v>46056</v>
      </c>
      <c r="D652" s="30" t="s">
        <v>126</v>
      </c>
      <c r="E652" s="28" t="s">
        <v>935</v>
      </c>
      <c r="F652" s="30" t="s">
        <v>936</v>
      </c>
      <c r="G652" s="31" t="n">
        <v>13477</v>
      </c>
      <c r="H652" s="31" t="n">
        <v>7</v>
      </c>
      <c r="I652" s="31" t="n">
        <v>94337</v>
      </c>
      <c r="J652" s="29" t="n">
        <v>46057</v>
      </c>
      <c r="K652" s="31" t="n">
        <v>12777</v>
      </c>
      <c r="L652" s="30" t="s">
        <v>32</v>
      </c>
      <c r="M652" s="10" t="n">
        <v>1</v>
      </c>
      <c r="N652" s="12" t="n">
        <v>-5102</v>
      </c>
      <c r="O652" s="13" t="n">
        <v>-0.054086520979021</v>
      </c>
      <c r="P652" s="15" t="n">
        <v>-0.000999000999000965</v>
      </c>
      <c r="Q652" s="13" t="n">
        <v>-0.062956274494736</v>
      </c>
      <c r="R652" s="15" t="n">
        <v>0.173814898419865</v>
      </c>
      <c r="S652" s="32" t="n">
        <v>91267113600</v>
      </c>
      <c r="T652" s="15" t="n">
        <v>0.155555555555556</v>
      </c>
      <c r="U652" s="32" t="n">
        <v>5365190318</v>
      </c>
      <c r="V652" s="14" t="n">
        <v>14.2823123727102</v>
      </c>
      <c r="W652" s="13" t="n">
        <v>0.149171270718232</v>
      </c>
      <c r="X652" s="15" t="n">
        <v>0.0793269230769231</v>
      </c>
      <c r="Y652" s="13" t="n">
        <v>0.0683702145799618</v>
      </c>
      <c r="Z652" s="13" t="n">
        <v>0.0399677473278464</v>
      </c>
      <c r="AA652" s="30" t="s">
        <v>97</v>
      </c>
      <c r="AB652" s="28" t="s">
        <v>93</v>
      </c>
      <c r="AC652" s="28" t="s">
        <v>103</v>
      </c>
      <c r="AD652" s="28" t="s">
        <v>108</v>
      </c>
      <c r="AE652" s="28" t="s">
        <v>114</v>
      </c>
      <c r="AF652" s="28" t="s">
        <v>120</v>
      </c>
      <c r="AG652" s="30" t="s">
        <v>122</v>
      </c>
    </row>
    <row r="653" customFormat="false" ht="15" hidden="false" customHeight="false" outlineLevel="0" collapsed="false">
      <c r="A653" s="10" t="n">
        <v>2026</v>
      </c>
      <c r="B653" s="28" t="s">
        <v>76</v>
      </c>
      <c r="C653" s="29" t="n">
        <v>46056</v>
      </c>
      <c r="D653" s="30" t="s">
        <v>126</v>
      </c>
      <c r="E653" s="28" t="s">
        <v>905</v>
      </c>
      <c r="F653" s="30" t="s">
        <v>906</v>
      </c>
      <c r="G653" s="31" t="n">
        <v>84785</v>
      </c>
      <c r="H653" s="31" t="n">
        <v>1</v>
      </c>
      <c r="I653" s="31" t="n">
        <v>84785</v>
      </c>
      <c r="J653" s="29" t="n">
        <v>46059</v>
      </c>
      <c r="K653" s="31" t="n">
        <v>80619</v>
      </c>
      <c r="L653" s="30" t="s">
        <v>32</v>
      </c>
      <c r="M653" s="10" t="n">
        <v>3</v>
      </c>
      <c r="N653" s="12" t="n">
        <v>-4351</v>
      </c>
      <c r="O653" s="13" t="n">
        <v>-0.0513235194557509</v>
      </c>
      <c r="P653" s="15" t="n">
        <v>0.0343847415866307</v>
      </c>
      <c r="Q653" s="13" t="n">
        <v>-0.097714564066394</v>
      </c>
      <c r="R653" s="15" t="n">
        <v>0.013157894736842</v>
      </c>
      <c r="S653" s="32" t="n">
        <v>46627011200</v>
      </c>
      <c r="T653" s="15" t="n">
        <v>0.013157894736842</v>
      </c>
      <c r="U653" s="32" t="n">
        <v>29766375730</v>
      </c>
      <c r="V653" s="14" t="n">
        <v>1.45987631403083</v>
      </c>
      <c r="W653" s="13" t="n">
        <v>0.00355450236966814</v>
      </c>
      <c r="X653" s="15" t="n">
        <v>0.0165289256198347</v>
      </c>
      <c r="Y653" s="13" t="n">
        <v>0.0683702145799618</v>
      </c>
      <c r="Z653" s="13" t="n">
        <v>0.0399677473278464</v>
      </c>
      <c r="AA653" s="30" t="s">
        <v>97</v>
      </c>
      <c r="AB653" s="28" t="s">
        <v>93</v>
      </c>
      <c r="AC653" s="28" t="s">
        <v>99</v>
      </c>
      <c r="AD653" s="28" t="s">
        <v>107</v>
      </c>
      <c r="AE653" s="28" t="s">
        <v>112</v>
      </c>
      <c r="AF653" s="28" t="s">
        <v>116</v>
      </c>
      <c r="AG653" s="30" t="s">
        <v>122</v>
      </c>
    </row>
    <row r="654" customFormat="false" ht="15" hidden="false" customHeight="false" outlineLevel="0" collapsed="false">
      <c r="A654" s="10" t="n">
        <v>2026</v>
      </c>
      <c r="B654" s="28" t="s">
        <v>76</v>
      </c>
      <c r="C654" s="29" t="n">
        <v>46056</v>
      </c>
      <c r="D654" s="30" t="s">
        <v>126</v>
      </c>
      <c r="E654" s="28" t="s">
        <v>359</v>
      </c>
      <c r="F654" s="28" t="s">
        <v>360</v>
      </c>
      <c r="G654" s="31" t="n">
        <v>19219</v>
      </c>
      <c r="H654" s="31" t="n">
        <v>5</v>
      </c>
      <c r="I654" s="31" t="n">
        <v>96096</v>
      </c>
      <c r="J654" s="29" t="n">
        <v>46073</v>
      </c>
      <c r="K654" s="31" t="n">
        <v>23100</v>
      </c>
      <c r="L654" s="30" t="s">
        <v>31</v>
      </c>
      <c r="M654" s="10" t="n">
        <v>10</v>
      </c>
      <c r="N654" s="12" t="n">
        <v>19141</v>
      </c>
      <c r="O654" s="13" t="n">
        <v>0.199188942307692</v>
      </c>
      <c r="P654" s="15" t="n">
        <v>0.214930902430903</v>
      </c>
      <c r="Q654" s="13" t="n">
        <v>-0.029616217116217</v>
      </c>
      <c r="R654" s="15" t="n">
        <v>0.0491803278688525</v>
      </c>
      <c r="S654" s="32" t="n">
        <v>23215929600</v>
      </c>
      <c r="T654" s="15" t="n">
        <v>0.000521104742053247</v>
      </c>
      <c r="U654" s="32" t="n">
        <v>13817441920.5</v>
      </c>
      <c r="V654" s="14" t="n">
        <v>1.64681740618867</v>
      </c>
      <c r="W654" s="13" t="n">
        <v>0.0361575822989746</v>
      </c>
      <c r="X654" s="15" t="n">
        <v>0.0078125</v>
      </c>
      <c r="Y654" s="13" t="n">
        <v>0.0683702145799618</v>
      </c>
      <c r="Z654" s="13" t="n">
        <v>0.0399677473278464</v>
      </c>
      <c r="AA654" s="30" t="s">
        <v>97</v>
      </c>
      <c r="AB654" s="28" t="s">
        <v>93</v>
      </c>
      <c r="AC654" s="28" t="s">
        <v>100</v>
      </c>
      <c r="AD654" s="28" t="s">
        <v>106</v>
      </c>
      <c r="AE654" s="28" t="s">
        <v>112</v>
      </c>
      <c r="AF654" s="28" t="s">
        <v>116</v>
      </c>
      <c r="AG654" s="30" t="s">
        <v>122</v>
      </c>
    </row>
    <row r="655" customFormat="false" ht="15" hidden="false" customHeight="false" outlineLevel="0" collapsed="false">
      <c r="A655" s="10" t="n">
        <v>2026</v>
      </c>
      <c r="B655" s="28" t="s">
        <v>76</v>
      </c>
      <c r="C655" s="29" t="n">
        <v>46057</v>
      </c>
      <c r="D655" s="30" t="s">
        <v>127</v>
      </c>
      <c r="E655" s="28" t="s">
        <v>937</v>
      </c>
      <c r="F655" s="30" t="s">
        <v>938</v>
      </c>
      <c r="G655" s="31" t="n">
        <v>11612</v>
      </c>
      <c r="H655" s="31" t="n">
        <v>8</v>
      </c>
      <c r="I655" s="31" t="n">
        <v>92893</v>
      </c>
      <c r="J655" s="29" t="n">
        <v>46058</v>
      </c>
      <c r="K655" s="31" t="n">
        <v>13940</v>
      </c>
      <c r="L655" s="30" t="s">
        <v>31</v>
      </c>
      <c r="M655" s="10" t="n">
        <v>1</v>
      </c>
      <c r="N655" s="12" t="n">
        <v>18373</v>
      </c>
      <c r="O655" s="13" t="n">
        <v>0.197792488545937</v>
      </c>
      <c r="P655" s="15" t="n">
        <v>0.236694340142616</v>
      </c>
      <c r="Q655" s="13" t="n">
        <v>-0.00616624754555772</v>
      </c>
      <c r="R655" s="15" t="n">
        <v>0.153081510934394</v>
      </c>
      <c r="S655" s="32" t="n">
        <v>97255049600</v>
      </c>
      <c r="T655" s="15" t="n">
        <v>0.116458132820019</v>
      </c>
      <c r="U655" s="32" t="n">
        <v>6744941609.5</v>
      </c>
      <c r="V655" s="14" t="n">
        <v>12.1921273905932</v>
      </c>
      <c r="W655" s="13" t="n">
        <v>0.156530408773679</v>
      </c>
      <c r="X655" s="15" t="n">
        <v>0.0586206896551724</v>
      </c>
      <c r="Y655" s="13" t="n">
        <v>0.0156994599173992</v>
      </c>
      <c r="Z655" s="13" t="n">
        <v>0.0387347436861922</v>
      </c>
      <c r="AA655" s="30" t="s">
        <v>97</v>
      </c>
      <c r="AB655" s="28" t="s">
        <v>93</v>
      </c>
      <c r="AC655" s="28" t="s">
        <v>103</v>
      </c>
      <c r="AD655" s="28" t="s">
        <v>108</v>
      </c>
      <c r="AE655" s="28" t="s">
        <v>114</v>
      </c>
      <c r="AF655" s="28" t="s">
        <v>120</v>
      </c>
      <c r="AG655" s="30" t="s">
        <v>122</v>
      </c>
    </row>
    <row r="656" customFormat="false" ht="15" hidden="false" customHeight="false" outlineLevel="0" collapsed="false">
      <c r="A656" s="10" t="n">
        <v>2026</v>
      </c>
      <c r="B656" s="28" t="s">
        <v>76</v>
      </c>
      <c r="C656" s="29" t="n">
        <v>46057</v>
      </c>
      <c r="D656" s="30" t="s">
        <v>127</v>
      </c>
      <c r="E656" s="28" t="s">
        <v>805</v>
      </c>
      <c r="F656" s="28" t="s">
        <v>806</v>
      </c>
      <c r="G656" s="31" t="n">
        <v>21071</v>
      </c>
      <c r="H656" s="31" t="n">
        <v>4</v>
      </c>
      <c r="I656" s="31" t="n">
        <v>84284</v>
      </c>
      <c r="J656" s="29" t="n">
        <v>46058</v>
      </c>
      <c r="K656" s="31" t="n">
        <v>20030</v>
      </c>
      <c r="L656" s="30" t="s">
        <v>32</v>
      </c>
      <c r="M656" s="10" t="n">
        <v>1</v>
      </c>
      <c r="N656" s="12" t="n">
        <v>-4349</v>
      </c>
      <c r="O656" s="13" t="n">
        <v>-0.0516027938807036</v>
      </c>
      <c r="P656" s="15" t="n">
        <v>0.0274760868585098</v>
      </c>
      <c r="Q656" s="13" t="n">
        <v>-0.0508304047496446</v>
      </c>
      <c r="R656" s="15" t="n">
        <v>0.0800410466906105</v>
      </c>
      <c r="S656" s="32" t="n">
        <v>30331239700</v>
      </c>
      <c r="T656" s="15" t="n">
        <v>0.00477326968973757</v>
      </c>
      <c r="U656" s="32" t="n">
        <v>5521464237.5</v>
      </c>
      <c r="V656" s="14" t="n">
        <v>5.22364498410427</v>
      </c>
      <c r="W656" s="13" t="n">
        <v>0.0856111397627644</v>
      </c>
      <c r="X656" s="15" t="n">
        <v>0.00475059382422804</v>
      </c>
      <c r="Y656" s="13" t="n">
        <v>0.0156994599173992</v>
      </c>
      <c r="Z656" s="13" t="n">
        <v>0.0387347436861922</v>
      </c>
      <c r="AA656" s="30" t="s">
        <v>97</v>
      </c>
      <c r="AB656" s="28" t="s">
        <v>93</v>
      </c>
      <c r="AC656" s="28" t="s">
        <v>101</v>
      </c>
      <c r="AD656" s="28" t="s">
        <v>107</v>
      </c>
      <c r="AE656" s="28" t="s">
        <v>112</v>
      </c>
      <c r="AF656" s="28" t="s">
        <v>119</v>
      </c>
      <c r="AG656" s="30" t="s">
        <v>122</v>
      </c>
    </row>
    <row r="657" customFormat="false" ht="15" hidden="false" customHeight="false" outlineLevel="0" collapsed="false">
      <c r="A657" s="10" t="n">
        <v>2026</v>
      </c>
      <c r="B657" s="28" t="s">
        <v>76</v>
      </c>
      <c r="C657" s="29" t="n">
        <v>46058</v>
      </c>
      <c r="D657" s="30" t="s">
        <v>128</v>
      </c>
      <c r="E657" s="28" t="s">
        <v>829</v>
      </c>
      <c r="F657" s="30" t="s">
        <v>830</v>
      </c>
      <c r="G657" s="31" t="n">
        <v>43393</v>
      </c>
      <c r="H657" s="31" t="n">
        <v>2</v>
      </c>
      <c r="I657" s="31" t="n">
        <v>86787</v>
      </c>
      <c r="J657" s="29" t="n">
        <v>46059</v>
      </c>
      <c r="K657" s="31" t="n">
        <v>41309</v>
      </c>
      <c r="L657" s="30" t="s">
        <v>32</v>
      </c>
      <c r="M657" s="10" t="n">
        <v>1</v>
      </c>
      <c r="N657" s="12" t="n">
        <v>-4360</v>
      </c>
      <c r="O657" s="13" t="n">
        <v>-0.0502386333389793</v>
      </c>
      <c r="P657" s="15" t="n">
        <v>0.00361000014979251</v>
      </c>
      <c r="Q657" s="13" t="n">
        <v>-0.075895269666896</v>
      </c>
      <c r="R657" s="15" t="n">
        <v>0.140789473684211</v>
      </c>
      <c r="S657" s="32" t="n">
        <v>79673615250</v>
      </c>
      <c r="T657" s="15" t="n">
        <v>0.125974025974026</v>
      </c>
      <c r="U657" s="32" t="n">
        <v>6625993615</v>
      </c>
      <c r="V657" s="14" t="n">
        <v>9.93693162772089</v>
      </c>
      <c r="W657" s="13" t="n">
        <v>0.151394422310757</v>
      </c>
      <c r="X657" s="15" t="n">
        <v>0.0576701268742792</v>
      </c>
      <c r="Y657" s="13" t="n">
        <v>-0.0386382677663795</v>
      </c>
      <c r="Z657" s="13" t="n">
        <v>-0.0110471630356716</v>
      </c>
      <c r="AA657" s="30" t="s">
        <v>97</v>
      </c>
      <c r="AB657" s="28" t="s">
        <v>94</v>
      </c>
      <c r="AC657" s="28" t="s">
        <v>102</v>
      </c>
      <c r="AD657" s="28" t="s">
        <v>108</v>
      </c>
      <c r="AE657" s="28" t="s">
        <v>114</v>
      </c>
      <c r="AF657" s="28" t="s">
        <v>119</v>
      </c>
      <c r="AG657" s="30" t="s">
        <v>122</v>
      </c>
    </row>
    <row r="658" customFormat="false" ht="15" hidden="false" customHeight="false" outlineLevel="0" collapsed="false">
      <c r="A658" s="10" t="n">
        <v>2026</v>
      </c>
      <c r="B658" s="28" t="s">
        <v>76</v>
      </c>
      <c r="C658" s="29" t="n">
        <v>46062</v>
      </c>
      <c r="D658" s="30" t="s">
        <v>125</v>
      </c>
      <c r="E658" s="28" t="s">
        <v>939</v>
      </c>
      <c r="F658" s="30" t="s">
        <v>940</v>
      </c>
      <c r="G658" s="31" t="n">
        <v>4855</v>
      </c>
      <c r="H658" s="31" t="n">
        <v>20</v>
      </c>
      <c r="I658" s="31" t="n">
        <v>97097</v>
      </c>
      <c r="J658" s="29" t="n">
        <v>46064</v>
      </c>
      <c r="K658" s="31" t="n">
        <v>5830</v>
      </c>
      <c r="L658" s="30" t="s">
        <v>31</v>
      </c>
      <c r="M658" s="10" t="n">
        <v>2</v>
      </c>
      <c r="N658" s="12" t="n">
        <v>19238</v>
      </c>
      <c r="O658" s="13" t="n">
        <v>0.198129143536876</v>
      </c>
      <c r="P658" s="15" t="n">
        <v>0.221458953417717</v>
      </c>
      <c r="Q658" s="13" t="n">
        <v>-0.0421949184835782</v>
      </c>
      <c r="R658" s="15" t="n">
        <v>0.171497584541063</v>
      </c>
      <c r="S658" s="32" t="n">
        <v>69328179500</v>
      </c>
      <c r="T658" s="15" t="n">
        <v>0.0486486486486486</v>
      </c>
      <c r="U658" s="32" t="n">
        <v>10125056218</v>
      </c>
      <c r="V658" s="14" t="n">
        <v>6.25179535302282</v>
      </c>
      <c r="W658" s="13" t="n">
        <v>0.129220023282887</v>
      </c>
      <c r="X658" s="15" t="n">
        <v>0.0701030927835051</v>
      </c>
      <c r="Y658" s="13" t="n">
        <v>0.041048192818433</v>
      </c>
      <c r="Z658" s="13" t="n">
        <v>0.0703824699424407</v>
      </c>
      <c r="AA658" s="30" t="s">
        <v>97</v>
      </c>
      <c r="AB658" s="28" t="s">
        <v>93</v>
      </c>
      <c r="AC658" s="28" t="s">
        <v>103</v>
      </c>
      <c r="AD658" s="28" t="s">
        <v>108</v>
      </c>
      <c r="AE658" s="28" t="s">
        <v>113</v>
      </c>
      <c r="AF658" s="28" t="s">
        <v>119</v>
      </c>
      <c r="AG658" s="30" t="s">
        <v>122</v>
      </c>
    </row>
    <row r="659" customFormat="false" ht="15" hidden="false" customHeight="false" outlineLevel="0" collapsed="false">
      <c r="A659" s="10" t="n">
        <v>2026</v>
      </c>
      <c r="B659" s="28" t="s">
        <v>76</v>
      </c>
      <c r="C659" s="29" t="n">
        <v>46062</v>
      </c>
      <c r="D659" s="30" t="s">
        <v>125</v>
      </c>
      <c r="E659" s="28" t="s">
        <v>941</v>
      </c>
      <c r="F659" s="30" t="s">
        <v>942</v>
      </c>
      <c r="G659" s="31" t="n">
        <v>6917</v>
      </c>
      <c r="H659" s="31" t="n">
        <v>14</v>
      </c>
      <c r="I659" s="31" t="n">
        <v>96837</v>
      </c>
      <c r="J659" s="29" t="n">
        <v>46085</v>
      </c>
      <c r="K659" s="31" t="n">
        <v>6364</v>
      </c>
      <c r="L659" s="30" t="s">
        <v>32</v>
      </c>
      <c r="M659" s="10" t="n">
        <v>13</v>
      </c>
      <c r="N659" s="12" t="n">
        <v>-7952</v>
      </c>
      <c r="O659" s="13" t="n">
        <v>-0.0821174976976713</v>
      </c>
      <c r="P659" s="15" t="n">
        <v>0.105985187027155</v>
      </c>
      <c r="Q659" s="13" t="n">
        <v>-0.19038992845071</v>
      </c>
      <c r="R659" s="15" t="n">
        <v>0.107371794871795</v>
      </c>
      <c r="S659" s="32" t="n">
        <v>32480848870</v>
      </c>
      <c r="T659" s="15" t="n">
        <v>0.103833865814696</v>
      </c>
      <c r="U659" s="32" t="n">
        <v>3970518859.5</v>
      </c>
      <c r="V659" s="14" t="n">
        <v>7.14781146642253</v>
      </c>
      <c r="W659" s="13" t="n">
        <v>0.0746500777604977</v>
      </c>
      <c r="X659" s="15" t="n">
        <v>0.0419681620839363</v>
      </c>
      <c r="Y659" s="13" t="n">
        <v>0.041048192818433</v>
      </c>
      <c r="Z659" s="13" t="n">
        <v>0.0703824699424407</v>
      </c>
      <c r="AA659" s="30" t="s">
        <v>97</v>
      </c>
      <c r="AB659" s="28" t="s">
        <v>93</v>
      </c>
      <c r="AC659" s="28" t="s">
        <v>102</v>
      </c>
      <c r="AD659" s="28" t="s">
        <v>107</v>
      </c>
      <c r="AE659" s="28" t="s">
        <v>114</v>
      </c>
      <c r="AF659" s="28" t="s">
        <v>119</v>
      </c>
      <c r="AG659" s="30" t="s">
        <v>122</v>
      </c>
    </row>
    <row r="660" customFormat="false" ht="15" hidden="false" customHeight="false" outlineLevel="0" collapsed="false">
      <c r="A660" s="10" t="n">
        <v>2026</v>
      </c>
      <c r="B660" s="28" t="s">
        <v>76</v>
      </c>
      <c r="C660" s="29" t="n">
        <v>46062</v>
      </c>
      <c r="D660" s="30" t="s">
        <v>125</v>
      </c>
      <c r="E660" s="28" t="s">
        <v>943</v>
      </c>
      <c r="F660" s="30" t="s">
        <v>944</v>
      </c>
      <c r="G660" s="31" t="n">
        <v>31181</v>
      </c>
      <c r="H660" s="31" t="n">
        <v>3</v>
      </c>
      <c r="I660" s="31" t="n">
        <v>93543</v>
      </c>
      <c r="J660" s="29" t="n">
        <v>46077</v>
      </c>
      <c r="K660" s="31" t="n">
        <v>37450</v>
      </c>
      <c r="L660" s="30" t="s">
        <v>31</v>
      </c>
      <c r="M660" s="10" t="n">
        <v>8</v>
      </c>
      <c r="N660" s="12" t="n">
        <v>18551</v>
      </c>
      <c r="O660" s="13" t="n">
        <v>0.198313895654907</v>
      </c>
      <c r="P660" s="15" t="n">
        <v>0.329328777161843</v>
      </c>
      <c r="Q660" s="13" t="n">
        <v>-0.0298625932654825</v>
      </c>
      <c r="R660" s="15" t="n">
        <v>0.143119266055046</v>
      </c>
      <c r="S660" s="32" t="n">
        <v>29335917450</v>
      </c>
      <c r="T660" s="15" t="n">
        <v>0.0331674958540631</v>
      </c>
      <c r="U660" s="32" t="n">
        <v>21778803357.5</v>
      </c>
      <c r="V660" s="14" t="n">
        <v>1.20279087053781</v>
      </c>
      <c r="W660" s="13" t="n">
        <v>0.0778546712802768</v>
      </c>
      <c r="X660" s="15" t="n">
        <v>0.0128410914927768</v>
      </c>
      <c r="Y660" s="13" t="n">
        <v>0.041048192818433</v>
      </c>
      <c r="Z660" s="13" t="n">
        <v>0.0703824699424407</v>
      </c>
      <c r="AA660" s="30" t="s">
        <v>97</v>
      </c>
      <c r="AB660" s="28" t="s">
        <v>93</v>
      </c>
      <c r="AC660" s="28" t="s">
        <v>102</v>
      </c>
      <c r="AD660" s="28" t="s">
        <v>106</v>
      </c>
      <c r="AE660" s="28" t="s">
        <v>113</v>
      </c>
      <c r="AF660" s="28" t="s">
        <v>116</v>
      </c>
      <c r="AG660" s="30" t="s">
        <v>122</v>
      </c>
    </row>
    <row r="661" customFormat="false" ht="15" hidden="false" customHeight="false" outlineLevel="0" collapsed="false">
      <c r="A661" s="10" t="n">
        <v>2026</v>
      </c>
      <c r="B661" s="28" t="s">
        <v>76</v>
      </c>
      <c r="C661" s="29" t="n">
        <v>46062</v>
      </c>
      <c r="D661" s="30" t="s">
        <v>125</v>
      </c>
      <c r="E661" s="28" t="s">
        <v>855</v>
      </c>
      <c r="F661" s="30" t="s">
        <v>856</v>
      </c>
      <c r="G661" s="31" t="n">
        <v>14725</v>
      </c>
      <c r="H661" s="31" t="n">
        <v>6</v>
      </c>
      <c r="I661" s="31" t="n">
        <v>88348</v>
      </c>
      <c r="J661" s="29" t="n">
        <v>46065</v>
      </c>
      <c r="K661" s="31" t="n">
        <v>17670</v>
      </c>
      <c r="L661" s="30" t="s">
        <v>31</v>
      </c>
      <c r="M661" s="10" t="n">
        <v>3</v>
      </c>
      <c r="N661" s="12" t="n">
        <v>17431</v>
      </c>
      <c r="O661" s="13" t="n">
        <v>0.197293582929647</v>
      </c>
      <c r="P661" s="15" t="n">
        <v>0.208852330538259</v>
      </c>
      <c r="Q661" s="13" t="n">
        <v>-0.0172981335455842</v>
      </c>
      <c r="R661" s="15" t="n">
        <v>0.0985810306198656</v>
      </c>
      <c r="S661" s="32" t="n">
        <v>23024018450</v>
      </c>
      <c r="T661" s="15" t="n">
        <v>0.0158839779005524</v>
      </c>
      <c r="U661" s="32" t="n">
        <v>10702789836</v>
      </c>
      <c r="V661" s="14" t="n">
        <v>1.99471333009164</v>
      </c>
      <c r="W661" s="13" t="n">
        <v>0.0613275613275612</v>
      </c>
      <c r="X661" s="15" t="n">
        <v>0.0101971447994562</v>
      </c>
      <c r="Y661" s="13" t="n">
        <v>0.041048192818433</v>
      </c>
      <c r="Z661" s="13" t="n">
        <v>0.0703824699424407</v>
      </c>
      <c r="AA661" s="30" t="s">
        <v>97</v>
      </c>
      <c r="AB661" s="28" t="s">
        <v>93</v>
      </c>
      <c r="AC661" s="28" t="s">
        <v>101</v>
      </c>
      <c r="AD661" s="28" t="s">
        <v>106</v>
      </c>
      <c r="AE661" s="28" t="s">
        <v>112</v>
      </c>
      <c r="AF661" s="28" t="s">
        <v>116</v>
      </c>
      <c r="AG661" s="30" t="s">
        <v>122</v>
      </c>
    </row>
    <row r="662" customFormat="false" ht="15" hidden="false" customHeight="false" outlineLevel="0" collapsed="false">
      <c r="A662" s="10" t="n">
        <v>2026</v>
      </c>
      <c r="B662" s="28" t="s">
        <v>76</v>
      </c>
      <c r="C662" s="29" t="n">
        <v>46063</v>
      </c>
      <c r="D662" s="30" t="s">
        <v>126</v>
      </c>
      <c r="E662" s="28" t="s">
        <v>827</v>
      </c>
      <c r="F662" s="30" t="s">
        <v>828</v>
      </c>
      <c r="G662" s="31" t="n">
        <v>10951</v>
      </c>
      <c r="H662" s="31" t="n">
        <v>9</v>
      </c>
      <c r="I662" s="31" t="n">
        <v>98558</v>
      </c>
      <c r="J662" s="29" t="n">
        <v>46073</v>
      </c>
      <c r="K662" s="31" t="n">
        <v>10420</v>
      </c>
      <c r="L662" s="30" t="s">
        <v>32</v>
      </c>
      <c r="M662" s="10" t="n">
        <v>5</v>
      </c>
      <c r="N662" s="12" t="n">
        <v>-4999</v>
      </c>
      <c r="O662" s="13" t="n">
        <v>-0.0507184512471076</v>
      </c>
      <c r="P662" s="15" t="n">
        <v>0.0948831789782432</v>
      </c>
      <c r="Q662" s="13" t="n">
        <v>-0.0749652541243033</v>
      </c>
      <c r="R662" s="15" t="n">
        <v>0.058027079303675</v>
      </c>
      <c r="S662" s="32" t="n">
        <v>25934156140</v>
      </c>
      <c r="T662" s="15" t="n">
        <v>0.0499040307101728</v>
      </c>
      <c r="U662" s="32" t="n">
        <v>5096224914</v>
      </c>
      <c r="V662" s="14" t="n">
        <v>4.48553749775542</v>
      </c>
      <c r="W662" s="13" t="n">
        <v>0.0468899521531101</v>
      </c>
      <c r="X662" s="15" t="n">
        <v>0.0383912248628884</v>
      </c>
      <c r="Y662" s="13" t="n">
        <v>0.000688934020883103</v>
      </c>
      <c r="Z662" s="13" t="n">
        <v>0.00257371295441811</v>
      </c>
      <c r="AA662" s="30" t="s">
        <v>97</v>
      </c>
      <c r="AB662" s="28" t="s">
        <v>93</v>
      </c>
      <c r="AC662" s="28" t="s">
        <v>101</v>
      </c>
      <c r="AD662" s="28" t="s">
        <v>106</v>
      </c>
      <c r="AE662" s="28" t="s">
        <v>113</v>
      </c>
      <c r="AF662" s="28" t="s">
        <v>118</v>
      </c>
      <c r="AG662" s="30" t="s">
        <v>122</v>
      </c>
    </row>
    <row r="663" customFormat="false" ht="15" hidden="false" customHeight="false" outlineLevel="0" collapsed="false">
      <c r="A663" s="10" t="n">
        <v>2026</v>
      </c>
      <c r="B663" s="28" t="s">
        <v>76</v>
      </c>
      <c r="C663" s="29" t="n">
        <v>46064</v>
      </c>
      <c r="D663" s="30" t="s">
        <v>127</v>
      </c>
      <c r="E663" s="28" t="s">
        <v>945</v>
      </c>
      <c r="F663" s="30" t="s">
        <v>946</v>
      </c>
      <c r="G663" s="31" t="n">
        <v>10240</v>
      </c>
      <c r="H663" s="31" t="n">
        <v>9</v>
      </c>
      <c r="I663" s="31" t="n">
        <v>92156</v>
      </c>
      <c r="J663" s="29" t="n">
        <v>46065</v>
      </c>
      <c r="K663" s="31" t="n">
        <v>9740</v>
      </c>
      <c r="L663" s="30" t="s">
        <v>32</v>
      </c>
      <c r="M663" s="10" t="n">
        <v>1</v>
      </c>
      <c r="N663" s="12" t="n">
        <v>-4696</v>
      </c>
      <c r="O663" s="13" t="n">
        <v>-0.0509569652504501</v>
      </c>
      <c r="P663" s="15" t="n">
        <v>0.0371850371850373</v>
      </c>
      <c r="Q663" s="13" t="n">
        <v>-0.0533910533910532</v>
      </c>
      <c r="R663" s="15" t="n">
        <v>0.228165938864629</v>
      </c>
      <c r="S663" s="32" t="n">
        <v>29357010000</v>
      </c>
      <c r="T663" s="15" t="n">
        <v>0.064333017975402</v>
      </c>
      <c r="U663" s="32" t="n">
        <v>4178719046.5</v>
      </c>
      <c r="V663" s="14" t="n">
        <v>6.10664500313404</v>
      </c>
      <c r="W663" s="13" t="n">
        <v>0.185458377239199</v>
      </c>
      <c r="X663" s="15" t="n">
        <v>0.0151111111111111</v>
      </c>
      <c r="Y663" s="13" t="n">
        <v>0.00995908851705774</v>
      </c>
      <c r="Z663" s="13" t="n">
        <v>-0.00309247640148214</v>
      </c>
      <c r="AA663" s="30" t="s">
        <v>97</v>
      </c>
      <c r="AB663" s="28" t="s">
        <v>94</v>
      </c>
      <c r="AC663" s="28" t="s">
        <v>104</v>
      </c>
      <c r="AD663" s="28" t="s">
        <v>106</v>
      </c>
      <c r="AE663" s="28" t="s">
        <v>101</v>
      </c>
      <c r="AF663" s="28" t="s">
        <v>119</v>
      </c>
      <c r="AG663" s="30" t="s">
        <v>122</v>
      </c>
    </row>
    <row r="664" customFormat="false" ht="15" hidden="false" customHeight="false" outlineLevel="0" collapsed="false">
      <c r="A664" s="10" t="n">
        <v>2026</v>
      </c>
      <c r="B664" s="28" t="s">
        <v>76</v>
      </c>
      <c r="C664" s="29" t="n">
        <v>46064</v>
      </c>
      <c r="D664" s="30" t="s">
        <v>127</v>
      </c>
      <c r="E664" s="28" t="s">
        <v>947</v>
      </c>
      <c r="F664" s="30" t="s">
        <v>948</v>
      </c>
      <c r="G664" s="31" t="n">
        <v>18869</v>
      </c>
      <c r="H664" s="31" t="n">
        <v>5</v>
      </c>
      <c r="I664" s="31" t="n">
        <v>94344</v>
      </c>
      <c r="J664" s="29" t="n">
        <v>46072</v>
      </c>
      <c r="K664" s="31" t="n">
        <v>17962</v>
      </c>
      <c r="L664" s="30" t="s">
        <v>32</v>
      </c>
      <c r="M664" s="10" t="n">
        <v>3</v>
      </c>
      <c r="N664" s="12" t="n">
        <v>-4741</v>
      </c>
      <c r="O664" s="13" t="n">
        <v>-0.050256304464766</v>
      </c>
      <c r="P664" s="15" t="n">
        <v>0.0652477495978823</v>
      </c>
      <c r="Q664" s="13" t="n">
        <v>-0.0847348937534613</v>
      </c>
      <c r="R664" s="15" t="n">
        <v>0.143117040630685</v>
      </c>
      <c r="S664" s="32" t="n">
        <v>24293408750</v>
      </c>
      <c r="T664" s="15" t="n">
        <v>0.0625704622322436</v>
      </c>
      <c r="U664" s="32" t="n">
        <v>3791528685</v>
      </c>
      <c r="V664" s="14" t="n">
        <v>5.51590529390378</v>
      </c>
      <c r="W664" s="13" t="n">
        <v>0.108823529411765</v>
      </c>
      <c r="X664" s="15" t="n">
        <v>0.0153846153846153</v>
      </c>
      <c r="Y664" s="13" t="n">
        <v>0.00995908851705774</v>
      </c>
      <c r="Z664" s="13" t="n">
        <v>-0.00309247640148214</v>
      </c>
      <c r="AA664" s="30" t="s">
        <v>97</v>
      </c>
      <c r="AB664" s="28" t="s">
        <v>94</v>
      </c>
      <c r="AC664" s="28" t="s">
        <v>102</v>
      </c>
      <c r="AD664" s="28" t="s">
        <v>106</v>
      </c>
      <c r="AE664" s="28" t="s">
        <v>101</v>
      </c>
      <c r="AF664" s="28" t="s">
        <v>119</v>
      </c>
      <c r="AG664" s="30" t="s">
        <v>122</v>
      </c>
    </row>
    <row r="665" customFormat="false" ht="15" hidden="false" customHeight="false" outlineLevel="0" collapsed="false">
      <c r="A665" s="10" t="n">
        <v>2026</v>
      </c>
      <c r="B665" s="28" t="s">
        <v>76</v>
      </c>
      <c r="C665" s="29" t="n">
        <v>46065</v>
      </c>
      <c r="D665" s="30" t="s">
        <v>128</v>
      </c>
      <c r="E665" s="28" t="s">
        <v>949</v>
      </c>
      <c r="F665" s="30" t="s">
        <v>950</v>
      </c>
      <c r="G665" s="31" t="n">
        <v>11471</v>
      </c>
      <c r="H665" s="31" t="n">
        <v>8</v>
      </c>
      <c r="I665" s="31" t="n">
        <v>91772</v>
      </c>
      <c r="J665" s="29" t="n">
        <v>46174</v>
      </c>
      <c r="K665" s="31" t="n">
        <v>10919</v>
      </c>
      <c r="L665" s="30" t="s">
        <v>32</v>
      </c>
      <c r="M665" s="10" t="n">
        <v>70</v>
      </c>
      <c r="N665" s="12" t="n">
        <v>-4621</v>
      </c>
      <c r="O665" s="13" t="n">
        <v>-0.0503498874162488</v>
      </c>
      <c r="P665" s="15" t="n">
        <v>0.0364853296790471</v>
      </c>
      <c r="Q665" s="13" t="n">
        <v>-0.0585330899467025</v>
      </c>
      <c r="R665" s="15" t="n">
        <v>0.00969162995594708</v>
      </c>
      <c r="S665" s="32" t="n">
        <v>30268530180</v>
      </c>
      <c r="T665" s="15" t="n">
        <v>0.00350262697022763</v>
      </c>
      <c r="U665" s="32" t="n">
        <v>18447379473</v>
      </c>
      <c r="V665" s="14" t="n">
        <v>1.61537340196648</v>
      </c>
      <c r="W665" s="13" t="n">
        <v>0.0105820105820107</v>
      </c>
      <c r="X665" s="15" t="n">
        <v>0.000872600349040242</v>
      </c>
      <c r="Y665" s="13" t="n">
        <v>0.0313344501530493</v>
      </c>
      <c r="Z665" s="13" t="n">
        <v>0.0694674420991679</v>
      </c>
      <c r="AA665" s="30" t="s">
        <v>97</v>
      </c>
      <c r="AB665" s="28" t="s">
        <v>93</v>
      </c>
      <c r="AC665" s="28" t="s">
        <v>99</v>
      </c>
      <c r="AD665" s="28" t="s">
        <v>107</v>
      </c>
      <c r="AE665" s="28" t="s">
        <v>112</v>
      </c>
      <c r="AF665" s="28" t="s">
        <v>116</v>
      </c>
      <c r="AG665" s="30" t="s">
        <v>122</v>
      </c>
    </row>
    <row r="666" customFormat="false" ht="15" hidden="false" customHeight="false" outlineLevel="0" collapsed="false">
      <c r="A666" s="10" t="n">
        <v>2026</v>
      </c>
      <c r="B666" s="28" t="s">
        <v>76</v>
      </c>
      <c r="C666" s="29" t="n">
        <v>46072</v>
      </c>
      <c r="D666" s="30" t="s">
        <v>128</v>
      </c>
      <c r="E666" s="28" t="s">
        <v>721</v>
      </c>
      <c r="F666" s="30" t="s">
        <v>722</v>
      </c>
      <c r="G666" s="31" t="n">
        <v>36787</v>
      </c>
      <c r="H666" s="31" t="n">
        <v>2</v>
      </c>
      <c r="I666" s="31" t="n">
        <v>73573</v>
      </c>
      <c r="J666" s="29" t="n">
        <v>46078</v>
      </c>
      <c r="K666" s="31" t="n">
        <v>44150</v>
      </c>
      <c r="L666" s="30" t="s">
        <v>31</v>
      </c>
      <c r="M666" s="10" t="n">
        <v>4</v>
      </c>
      <c r="N666" s="12" t="n">
        <v>14526</v>
      </c>
      <c r="O666" s="13" t="n">
        <v>0.197430039008611</v>
      </c>
      <c r="P666" s="15" t="n">
        <v>0.20831549402978</v>
      </c>
      <c r="Q666" s="13" t="n">
        <v>0.0153112193928522</v>
      </c>
      <c r="R666" s="15" t="n">
        <v>0.0530085959885387</v>
      </c>
      <c r="S666" s="32" t="n">
        <v>25526439750</v>
      </c>
      <c r="T666" s="15" t="n">
        <v>0.00409836065573765</v>
      </c>
      <c r="U666" s="32" t="n">
        <v>18200677970</v>
      </c>
      <c r="V666" s="14" t="n">
        <v>1.32562852163345</v>
      </c>
      <c r="W666" s="13" t="n">
        <v>0.0294117647058823</v>
      </c>
      <c r="X666" s="15" t="n">
        <v>0.017687074829932</v>
      </c>
      <c r="Y666" s="13" t="n">
        <v>0.0309133268325279</v>
      </c>
      <c r="Z666" s="13" t="n">
        <v>0.0715755260435935</v>
      </c>
      <c r="AA666" s="30" t="s">
        <v>97</v>
      </c>
      <c r="AB666" s="28" t="s">
        <v>93</v>
      </c>
      <c r="AC666" s="28" t="s">
        <v>101</v>
      </c>
      <c r="AD666" s="28" t="s">
        <v>106</v>
      </c>
      <c r="AE666" s="28" t="s">
        <v>112</v>
      </c>
      <c r="AF666" s="28" t="s">
        <v>116</v>
      </c>
      <c r="AG666" s="30" t="s">
        <v>122</v>
      </c>
    </row>
    <row r="667" customFormat="false" ht="15" hidden="false" customHeight="false" outlineLevel="0" collapsed="false">
      <c r="A667" s="10" t="n">
        <v>2026</v>
      </c>
      <c r="B667" s="28" t="s">
        <v>76</v>
      </c>
      <c r="C667" s="29" t="n">
        <v>46073</v>
      </c>
      <c r="D667" s="30" t="s">
        <v>129</v>
      </c>
      <c r="E667" s="28" t="s">
        <v>951</v>
      </c>
      <c r="F667" s="30" t="s">
        <v>952</v>
      </c>
      <c r="G667" s="31" t="n">
        <v>19980</v>
      </c>
      <c r="H667" s="31" t="n">
        <v>4</v>
      </c>
      <c r="I667" s="31" t="n">
        <v>79920</v>
      </c>
      <c r="J667" s="29" t="n">
        <v>46077</v>
      </c>
      <c r="K667" s="31" t="n">
        <v>19021</v>
      </c>
      <c r="L667" s="30" t="s">
        <v>32</v>
      </c>
      <c r="M667" s="10" t="n">
        <v>2</v>
      </c>
      <c r="N667" s="12" t="n">
        <v>-4012</v>
      </c>
      <c r="O667" s="13" t="n">
        <v>-0.0501948981879844</v>
      </c>
      <c r="P667" s="15" t="n">
        <v>-0.00600401602405609</v>
      </c>
      <c r="Q667" s="13" t="n">
        <v>-0.0655636948222118</v>
      </c>
      <c r="R667" s="15" t="n">
        <v>0.131519274376417</v>
      </c>
      <c r="S667" s="32" t="n">
        <v>45011197200</v>
      </c>
      <c r="T667" s="15" t="n">
        <v>0.0331262939958592</v>
      </c>
      <c r="U667" s="32" t="n">
        <v>4485078068.5</v>
      </c>
      <c r="V667" s="14" t="n">
        <v>8.90297440918458</v>
      </c>
      <c r="W667" s="13" t="n">
        <v>-0.0584905660377358</v>
      </c>
      <c r="X667" s="15" t="n">
        <v>0.0796593186372745</v>
      </c>
      <c r="Y667" s="13" t="n">
        <v>0.0231238715927606</v>
      </c>
      <c r="Z667" s="13" t="n">
        <v>0.0955997049997266</v>
      </c>
      <c r="AA667" s="30" t="s">
        <v>97</v>
      </c>
      <c r="AB667" s="28" t="s">
        <v>93</v>
      </c>
      <c r="AC667" s="28" t="s">
        <v>102</v>
      </c>
      <c r="AD667" s="28" t="s">
        <v>107</v>
      </c>
      <c r="AE667" s="28" t="s">
        <v>113</v>
      </c>
      <c r="AF667" s="28" t="s">
        <v>119</v>
      </c>
      <c r="AG667" s="30" t="s">
        <v>123</v>
      </c>
    </row>
    <row r="668" customFormat="false" ht="15" hidden="false" customHeight="false" outlineLevel="0" collapsed="false">
      <c r="A668" s="10" t="n">
        <v>2026</v>
      </c>
      <c r="B668" s="28" t="s">
        <v>76</v>
      </c>
      <c r="C668" s="29" t="n">
        <v>46076</v>
      </c>
      <c r="D668" s="30" t="s">
        <v>125</v>
      </c>
      <c r="E668" s="28" t="s">
        <v>953</v>
      </c>
      <c r="F668" s="30" t="s">
        <v>954</v>
      </c>
      <c r="G668" s="31" t="n">
        <v>31732</v>
      </c>
      <c r="H668" s="31" t="n">
        <v>3</v>
      </c>
      <c r="I668" s="31" t="n">
        <v>95195</v>
      </c>
      <c r="J668" s="29" t="n">
        <v>46079</v>
      </c>
      <c r="K668" s="31" t="n">
        <v>30170</v>
      </c>
      <c r="L668" s="30" t="s">
        <v>32</v>
      </c>
      <c r="M668" s="10" t="n">
        <v>3</v>
      </c>
      <c r="N668" s="12" t="n">
        <v>-4895</v>
      </c>
      <c r="O668" s="13" t="n">
        <v>-0.0514162438507865</v>
      </c>
      <c r="P668" s="15" t="n">
        <v>0.0998465257140337</v>
      </c>
      <c r="Q668" s="13" t="n">
        <v>-0.0577246097750829</v>
      </c>
      <c r="R668" s="15" t="n">
        <v>0.0837606837606837</v>
      </c>
      <c r="S668" s="32" t="n">
        <v>102008571200</v>
      </c>
      <c r="T668" s="15" t="n">
        <v>0.0837606837606837</v>
      </c>
      <c r="U668" s="32" t="n">
        <v>19100667365</v>
      </c>
      <c r="V668" s="14" t="n">
        <v>4.66873044712616</v>
      </c>
      <c r="W668" s="13" t="n">
        <v>0.060200668896321</v>
      </c>
      <c r="X668" s="15" t="n">
        <v>0.053627760252366</v>
      </c>
      <c r="Y668" s="13" t="n">
        <v>0.00646635207186685</v>
      </c>
      <c r="Z668" s="13" t="n">
        <v>0.0918107980405232</v>
      </c>
      <c r="AA668" s="30" t="s">
        <v>97</v>
      </c>
      <c r="AB668" s="28" t="s">
        <v>93</v>
      </c>
      <c r="AC668" s="28" t="s">
        <v>101</v>
      </c>
      <c r="AD668" s="28" t="s">
        <v>109</v>
      </c>
      <c r="AE668" s="28" t="s">
        <v>101</v>
      </c>
      <c r="AF668" s="28" t="s">
        <v>118</v>
      </c>
      <c r="AG668" s="30" t="s">
        <v>122</v>
      </c>
    </row>
    <row r="669" customFormat="false" ht="15" hidden="false" customHeight="false" outlineLevel="0" collapsed="false">
      <c r="A669" s="10" t="n">
        <v>2026</v>
      </c>
      <c r="B669" s="28" t="s">
        <v>76</v>
      </c>
      <c r="C669" s="29" t="n">
        <v>46076</v>
      </c>
      <c r="D669" s="30" t="s">
        <v>125</v>
      </c>
      <c r="E669" s="28" t="s">
        <v>955</v>
      </c>
      <c r="F669" s="30" t="s">
        <v>956</v>
      </c>
      <c r="G669" s="31" t="n">
        <v>54178</v>
      </c>
      <c r="H669" s="31" t="n">
        <v>1</v>
      </c>
      <c r="I669" s="31" t="n">
        <v>54178</v>
      </c>
      <c r="J669" s="29" t="n">
        <v>46078</v>
      </c>
      <c r="K669" s="31" t="n">
        <v>66627</v>
      </c>
      <c r="L669" s="30" t="s">
        <v>31</v>
      </c>
      <c r="M669" s="10" t="n">
        <v>2</v>
      </c>
      <c r="N669" s="12" t="n">
        <v>12297</v>
      </c>
      <c r="O669" s="13" t="n">
        <v>0.226982364555363</v>
      </c>
      <c r="P669" s="15" t="n">
        <v>0.304650175286726</v>
      </c>
      <c r="Q669" s="13" t="n">
        <v>-0.039974399317315</v>
      </c>
      <c r="R669" s="15" t="n">
        <v>0.0834260289210234</v>
      </c>
      <c r="S669" s="32" t="n">
        <v>25101343600</v>
      </c>
      <c r="T669" s="15" t="n">
        <v>0.0810210876803552</v>
      </c>
      <c r="U669" s="32" t="n">
        <v>4940134250</v>
      </c>
      <c r="V669" s="14" t="n">
        <v>4.56942551948461</v>
      </c>
      <c r="W669" s="13" t="n">
        <v>0.0726872246696035</v>
      </c>
      <c r="X669" s="15" t="n">
        <v>0.0256673511293635</v>
      </c>
      <c r="Y669" s="13" t="n">
        <v>0.00646635207186685</v>
      </c>
      <c r="Z669" s="13" t="n">
        <v>0.0918107980405232</v>
      </c>
      <c r="AA669" s="30" t="s">
        <v>97</v>
      </c>
      <c r="AB669" s="28" t="s">
        <v>93</v>
      </c>
      <c r="AC669" s="28" t="s">
        <v>101</v>
      </c>
      <c r="AD669" s="28" t="s">
        <v>106</v>
      </c>
      <c r="AE669" s="28" t="s">
        <v>101</v>
      </c>
      <c r="AF669" s="28" t="s">
        <v>118</v>
      </c>
      <c r="AG669" s="30" t="s">
        <v>122</v>
      </c>
    </row>
    <row r="670" customFormat="false" ht="15" hidden="false" customHeight="false" outlineLevel="0" collapsed="false">
      <c r="A670" s="10" t="n">
        <v>2026</v>
      </c>
      <c r="B670" s="28" t="s">
        <v>76</v>
      </c>
      <c r="C670" s="29" t="n">
        <v>46076</v>
      </c>
      <c r="D670" s="30" t="s">
        <v>125</v>
      </c>
      <c r="E670" s="28" t="s">
        <v>957</v>
      </c>
      <c r="F670" s="30" t="s">
        <v>958</v>
      </c>
      <c r="G670" s="31" t="n">
        <v>8358</v>
      </c>
      <c r="H670" s="31" t="n">
        <v>11</v>
      </c>
      <c r="I670" s="31" t="n">
        <v>91942</v>
      </c>
      <c r="J670" s="29" t="n">
        <v>46077</v>
      </c>
      <c r="K670" s="31" t="n">
        <v>7952</v>
      </c>
      <c r="L670" s="30" t="s">
        <v>32</v>
      </c>
      <c r="M670" s="10" t="n">
        <v>1</v>
      </c>
      <c r="N670" s="12" t="n">
        <v>-4671</v>
      </c>
      <c r="O670" s="13" t="n">
        <v>-0.0508067547422635</v>
      </c>
      <c r="P670" s="15" t="n">
        <v>0.0145543079674817</v>
      </c>
      <c r="Q670" s="13" t="n">
        <v>-0.0536409698086343</v>
      </c>
      <c r="R670" s="15" t="n">
        <v>0.0207823960880196</v>
      </c>
      <c r="S670" s="32" t="n">
        <v>21497776400</v>
      </c>
      <c r="T670" s="15" t="n">
        <v>0.00602409638554224</v>
      </c>
      <c r="U670" s="32" t="n">
        <v>9479715271.5</v>
      </c>
      <c r="V670" s="14" t="n">
        <v>2.10482831207066</v>
      </c>
      <c r="W670" s="13" t="n">
        <v>0.00602409638554224</v>
      </c>
      <c r="X670" s="15" t="n">
        <v>0.118562874251497</v>
      </c>
      <c r="Y670" s="13" t="n">
        <v>0.00646635207186685</v>
      </c>
      <c r="Z670" s="13" t="n">
        <v>0.0918107980405232</v>
      </c>
      <c r="AA670" s="30" t="s">
        <v>97</v>
      </c>
      <c r="AB670" s="28" t="s">
        <v>93</v>
      </c>
      <c r="AC670" s="28" t="s">
        <v>99</v>
      </c>
      <c r="AD670" s="28" t="s">
        <v>106</v>
      </c>
      <c r="AE670" s="28" t="s">
        <v>112</v>
      </c>
      <c r="AF670" s="28" t="s">
        <v>117</v>
      </c>
      <c r="AG670" s="30" t="s">
        <v>122</v>
      </c>
    </row>
    <row r="671" customFormat="false" ht="15" hidden="false" customHeight="false" outlineLevel="0" collapsed="false">
      <c r="A671" s="10" t="n">
        <v>2026</v>
      </c>
      <c r="B671" s="28" t="s">
        <v>76</v>
      </c>
      <c r="C671" s="29" t="n">
        <v>46077</v>
      </c>
      <c r="D671" s="30" t="s">
        <v>126</v>
      </c>
      <c r="E671" s="28" t="s">
        <v>959</v>
      </c>
      <c r="F671" s="30" t="s">
        <v>960</v>
      </c>
      <c r="G671" s="31" t="n">
        <v>8639</v>
      </c>
      <c r="H671" s="31" t="n">
        <v>11</v>
      </c>
      <c r="I671" s="31" t="n">
        <v>95025</v>
      </c>
      <c r="J671" s="29" t="n">
        <v>46079</v>
      </c>
      <c r="K671" s="31" t="n">
        <v>8222</v>
      </c>
      <c r="L671" s="30" t="s">
        <v>32</v>
      </c>
      <c r="M671" s="10" t="n">
        <v>2</v>
      </c>
      <c r="N671" s="12" t="n">
        <v>-4794</v>
      </c>
      <c r="O671" s="13" t="n">
        <v>-0.0504515878096411</v>
      </c>
      <c r="P671" s="15" t="n">
        <v>0.0568805470311844</v>
      </c>
      <c r="Q671" s="13" t="n">
        <v>-0.0889759140048826</v>
      </c>
      <c r="R671" s="15" t="n">
        <v>0.0760598503740648</v>
      </c>
      <c r="S671" s="32" t="n">
        <v>53778164310</v>
      </c>
      <c r="T671" s="15" t="n">
        <v>0.0760598503740648</v>
      </c>
      <c r="U671" s="32" t="n">
        <v>8608643872</v>
      </c>
      <c r="V671" s="14" t="n">
        <v>5.50388902233043</v>
      </c>
      <c r="W671" s="13" t="n">
        <v>0.0720496894409939</v>
      </c>
      <c r="X671" s="15" t="n">
        <v>0.052143684820394</v>
      </c>
      <c r="Y671" s="13" t="n">
        <v>0.0211337834347403</v>
      </c>
      <c r="Z671" s="13" t="n">
        <v>0.081011975147901</v>
      </c>
      <c r="AA671" s="30" t="s">
        <v>97</v>
      </c>
      <c r="AB671" s="28" t="s">
        <v>93</v>
      </c>
      <c r="AC671" s="28" t="s">
        <v>101</v>
      </c>
      <c r="AD671" s="28" t="s">
        <v>108</v>
      </c>
      <c r="AE671" s="28" t="s">
        <v>101</v>
      </c>
      <c r="AF671" s="28" t="s">
        <v>119</v>
      </c>
      <c r="AG671" s="30" t="s">
        <v>122</v>
      </c>
    </row>
    <row r="672" customFormat="false" ht="15" hidden="false" customHeight="false" outlineLevel="0" collapsed="false">
      <c r="A672" s="10" t="n">
        <v>2026</v>
      </c>
      <c r="B672" s="28" t="s">
        <v>76</v>
      </c>
      <c r="C672" s="29" t="n">
        <v>46077</v>
      </c>
      <c r="D672" s="30" t="s">
        <v>126</v>
      </c>
      <c r="E672" s="28" t="s">
        <v>917</v>
      </c>
      <c r="F672" s="30" t="s">
        <v>918</v>
      </c>
      <c r="G672" s="31" t="n">
        <v>93093</v>
      </c>
      <c r="H672" s="31" t="n">
        <v>1</v>
      </c>
      <c r="I672" s="31" t="n">
        <v>93093</v>
      </c>
      <c r="J672" s="29" t="n">
        <v>46079</v>
      </c>
      <c r="K672" s="31" t="n">
        <v>111800</v>
      </c>
      <c r="L672" s="30" t="s">
        <v>31</v>
      </c>
      <c r="M672" s="10" t="n">
        <v>2</v>
      </c>
      <c r="N672" s="12" t="n">
        <v>18453</v>
      </c>
      <c r="O672" s="13" t="n">
        <v>0.198217546432063</v>
      </c>
      <c r="P672" s="15" t="n">
        <v>0.457682102843394</v>
      </c>
      <c r="Q672" s="13" t="n">
        <v>-0.0289280611861256</v>
      </c>
      <c r="R672" s="15" t="n">
        <v>0.159600997506235</v>
      </c>
      <c r="S672" s="32" t="n">
        <v>37019022000</v>
      </c>
      <c r="T672" s="15" t="n">
        <v>0.159600997506235</v>
      </c>
      <c r="U672" s="32" t="n">
        <v>12175111995</v>
      </c>
      <c r="V672" s="14" t="n">
        <v>2.36260678884277</v>
      </c>
      <c r="W672" s="13" t="n">
        <v>0.187739463601533</v>
      </c>
      <c r="X672" s="15" t="n">
        <v>0.0161290322580645</v>
      </c>
      <c r="Y672" s="13" t="n">
        <v>0.0211337834347403</v>
      </c>
      <c r="Z672" s="13" t="n">
        <v>0.081011975147901</v>
      </c>
      <c r="AA672" s="30" t="s">
        <v>97</v>
      </c>
      <c r="AB672" s="28" t="s">
        <v>93</v>
      </c>
      <c r="AC672" s="28" t="s">
        <v>103</v>
      </c>
      <c r="AD672" s="28" t="s">
        <v>107</v>
      </c>
      <c r="AE672" s="28" t="s">
        <v>114</v>
      </c>
      <c r="AF672" s="28" t="s">
        <v>117</v>
      </c>
      <c r="AG672" s="30" t="s">
        <v>122</v>
      </c>
    </row>
    <row r="673" customFormat="false" ht="15" hidden="false" customHeight="false" outlineLevel="0" collapsed="false">
      <c r="A673" s="10" t="n">
        <v>2026</v>
      </c>
      <c r="B673" s="28" t="s">
        <v>76</v>
      </c>
      <c r="C673" s="29" t="n">
        <v>46078</v>
      </c>
      <c r="D673" s="30" t="s">
        <v>127</v>
      </c>
      <c r="E673" s="28" t="s">
        <v>247</v>
      </c>
      <c r="F673" s="30" t="s">
        <v>248</v>
      </c>
      <c r="G673" s="31" t="n">
        <v>64364</v>
      </c>
      <c r="H673" s="31" t="n">
        <v>1</v>
      </c>
      <c r="I673" s="31" t="n">
        <v>64364</v>
      </c>
      <c r="J673" s="29" t="n">
        <v>46080</v>
      </c>
      <c r="K673" s="31" t="n">
        <v>61239</v>
      </c>
      <c r="L673" s="30" t="s">
        <v>32</v>
      </c>
      <c r="M673" s="10" t="n">
        <v>2</v>
      </c>
      <c r="N673" s="12" t="n">
        <v>-3267</v>
      </c>
      <c r="O673" s="13" t="n">
        <v>-0.0507566748958663</v>
      </c>
      <c r="P673" s="15" t="n">
        <v>0.012983905674419</v>
      </c>
      <c r="Q673" s="13" t="n">
        <v>-0.0957720351188469</v>
      </c>
      <c r="R673" s="15" t="n">
        <v>0.0238853503184713</v>
      </c>
      <c r="S673" s="32" t="n">
        <v>202760469300</v>
      </c>
      <c r="T673" s="15" t="n">
        <v>0.0206349206349206</v>
      </c>
      <c r="U673" s="32" t="n">
        <v>197682696480</v>
      </c>
      <c r="V673" s="14" t="n">
        <v>0.971564504894863</v>
      </c>
      <c r="W673" s="13" t="n">
        <v>0.00312012480499213</v>
      </c>
      <c r="X673" s="15" t="n">
        <v>0.0155520995334371</v>
      </c>
      <c r="Y673" s="13" t="n">
        <v>0.0191334820860218</v>
      </c>
      <c r="Z673" s="13" t="n">
        <v>0.104748311697273</v>
      </c>
      <c r="AA673" s="30" t="s">
        <v>97</v>
      </c>
      <c r="AB673" s="28" t="s">
        <v>93</v>
      </c>
      <c r="AC673" s="28" t="s">
        <v>99</v>
      </c>
      <c r="AD673" s="28" t="s">
        <v>110</v>
      </c>
      <c r="AE673" s="28" t="s">
        <v>113</v>
      </c>
      <c r="AF673" s="28" t="s">
        <v>116</v>
      </c>
      <c r="AG673" s="30" t="s">
        <v>122</v>
      </c>
    </row>
    <row r="674" customFormat="false" ht="15" hidden="false" customHeight="false" outlineLevel="0" collapsed="false">
      <c r="A674" s="10" t="n">
        <v>2026</v>
      </c>
      <c r="B674" s="28" t="s">
        <v>76</v>
      </c>
      <c r="C674" s="29" t="n">
        <v>46078</v>
      </c>
      <c r="D674" s="30" t="s">
        <v>127</v>
      </c>
      <c r="E674" s="28" t="s">
        <v>961</v>
      </c>
      <c r="F674" s="30" t="s">
        <v>962</v>
      </c>
      <c r="G674" s="31" t="n">
        <v>35586</v>
      </c>
      <c r="H674" s="31" t="n">
        <v>2</v>
      </c>
      <c r="I674" s="31" t="n">
        <v>71171</v>
      </c>
      <c r="J674" s="29" t="n">
        <v>46079</v>
      </c>
      <c r="K674" s="31" t="n">
        <v>33866</v>
      </c>
      <c r="L674" s="30" t="s">
        <v>32</v>
      </c>
      <c r="M674" s="10" t="n">
        <v>1</v>
      </c>
      <c r="N674" s="12" t="n">
        <v>-3595</v>
      </c>
      <c r="O674" s="13" t="n">
        <v>-0.050514884482606</v>
      </c>
      <c r="P674" s="15" t="n">
        <v>0.0552035868491565</v>
      </c>
      <c r="Q674" s="13" t="n">
        <v>-0.0586066535433623</v>
      </c>
      <c r="R674" s="15" t="n">
        <v>0.0627802690582959</v>
      </c>
      <c r="S674" s="32" t="n">
        <v>152827743600</v>
      </c>
      <c r="T674" s="15" t="n">
        <v>0.0244956772334295</v>
      </c>
      <c r="U674" s="32" t="n">
        <v>180882434297.5</v>
      </c>
      <c r="V674" s="14" t="n">
        <v>0.761619187164318</v>
      </c>
      <c r="W674" s="13" t="n">
        <v>-0.046916890080429</v>
      </c>
      <c r="X674" s="15" t="n">
        <v>0.0604781997187061</v>
      </c>
      <c r="Y674" s="13" t="n">
        <v>0.0191334820860218</v>
      </c>
      <c r="Z674" s="13" t="n">
        <v>0.104748311697273</v>
      </c>
      <c r="AA674" s="30" t="s">
        <v>97</v>
      </c>
      <c r="AB674" s="28" t="s">
        <v>93</v>
      </c>
      <c r="AC674" s="28" t="s">
        <v>101</v>
      </c>
      <c r="AD674" s="28" t="s">
        <v>109</v>
      </c>
      <c r="AE674" s="28" t="s">
        <v>113</v>
      </c>
      <c r="AF674" s="28" t="s">
        <v>116</v>
      </c>
      <c r="AG674" s="30" t="s">
        <v>123</v>
      </c>
    </row>
    <row r="675" customFormat="false" ht="15" hidden="false" customHeight="false" outlineLevel="0" collapsed="false">
      <c r="A675" s="10" t="n">
        <v>2026</v>
      </c>
      <c r="B675" s="28" t="s">
        <v>76</v>
      </c>
      <c r="C675" s="29" t="n">
        <v>46078</v>
      </c>
      <c r="D675" s="30" t="s">
        <v>127</v>
      </c>
      <c r="E675" s="28" t="s">
        <v>963</v>
      </c>
      <c r="F675" s="30" t="s">
        <v>964</v>
      </c>
      <c r="G675" s="31" t="n">
        <v>72272</v>
      </c>
      <c r="H675" s="31" t="n">
        <v>1</v>
      </c>
      <c r="I675" s="31" t="n">
        <v>72272</v>
      </c>
      <c r="J675" s="29" t="n">
        <v>46079</v>
      </c>
      <c r="K675" s="31" t="n">
        <v>68731</v>
      </c>
      <c r="L675" s="30" t="s">
        <v>32</v>
      </c>
      <c r="M675" s="10" t="n">
        <v>1</v>
      </c>
      <c r="N675" s="12" t="n">
        <v>-3700</v>
      </c>
      <c r="O675" s="13" t="n">
        <v>-0.0511899860527284</v>
      </c>
      <c r="P675" s="15" t="n">
        <v>0.00868660425447132</v>
      </c>
      <c r="Q675" s="13" t="n">
        <v>-0.0508106851597155</v>
      </c>
      <c r="R675" s="15" t="n">
        <v>0.179738562091503</v>
      </c>
      <c r="S675" s="32" t="n">
        <v>74943311200</v>
      </c>
      <c r="T675" s="15" t="n">
        <v>0.166397415185783</v>
      </c>
      <c r="U675" s="32" t="n">
        <v>17467971735</v>
      </c>
      <c r="V675" s="14" t="n">
        <v>3.37409020297604</v>
      </c>
      <c r="W675" s="13" t="n">
        <v>0.146031746031746</v>
      </c>
      <c r="X675" s="15" t="n">
        <v>0.00692520775623273</v>
      </c>
      <c r="Y675" s="13" t="n">
        <v>0.0191334820860218</v>
      </c>
      <c r="Z675" s="13" t="n">
        <v>0.104748311697273</v>
      </c>
      <c r="AA675" s="30" t="s">
        <v>97</v>
      </c>
      <c r="AB675" s="28" t="s">
        <v>93</v>
      </c>
      <c r="AC675" s="28" t="s">
        <v>103</v>
      </c>
      <c r="AD675" s="28" t="s">
        <v>108</v>
      </c>
      <c r="AE675" s="28" t="s">
        <v>114</v>
      </c>
      <c r="AF675" s="28" t="s">
        <v>118</v>
      </c>
      <c r="AG675" s="30" t="s">
        <v>122</v>
      </c>
    </row>
    <row r="676" customFormat="false" ht="15" hidden="false" customHeight="false" outlineLevel="0" collapsed="false">
      <c r="A676" s="10" t="n">
        <v>2026</v>
      </c>
      <c r="B676" s="28" t="s">
        <v>76</v>
      </c>
      <c r="C676" s="29" t="n">
        <v>46078</v>
      </c>
      <c r="D676" s="30" t="s">
        <v>127</v>
      </c>
      <c r="E676" s="28" t="s">
        <v>965</v>
      </c>
      <c r="F676" s="30" t="s">
        <v>966</v>
      </c>
      <c r="G676" s="31" t="n">
        <v>92292</v>
      </c>
      <c r="H676" s="31" t="n">
        <v>1</v>
      </c>
      <c r="I676" s="31" t="n">
        <v>92292</v>
      </c>
      <c r="J676" s="29" t="n">
        <v>46084</v>
      </c>
      <c r="K676" s="31" t="n">
        <v>111000</v>
      </c>
      <c r="L676" s="30" t="s">
        <v>31</v>
      </c>
      <c r="M676" s="10" t="n">
        <v>3</v>
      </c>
      <c r="N676" s="12" t="n">
        <v>18455</v>
      </c>
      <c r="O676" s="13" t="n">
        <v>0.199966044476131</v>
      </c>
      <c r="P676" s="15" t="n">
        <v>0.220038096393845</v>
      </c>
      <c r="Q676" s="13" t="n">
        <v>-0.0421725779643349</v>
      </c>
      <c r="R676" s="15" t="n">
        <v>0.0683661645422944</v>
      </c>
      <c r="S676" s="32" t="n">
        <v>61807560800</v>
      </c>
      <c r="T676" s="15" t="n">
        <v>0.0267260579064588</v>
      </c>
      <c r="U676" s="32" t="n">
        <v>19174333220</v>
      </c>
      <c r="V676" s="14" t="n">
        <v>2.98932209780166</v>
      </c>
      <c r="W676" s="13" t="n">
        <v>0.0609896432681243</v>
      </c>
      <c r="X676" s="15" t="n">
        <v>0.0216919739696313</v>
      </c>
      <c r="Y676" s="13" t="n">
        <v>0.0191334820860218</v>
      </c>
      <c r="Z676" s="13" t="n">
        <v>0.104748311697273</v>
      </c>
      <c r="AA676" s="30" t="s">
        <v>97</v>
      </c>
      <c r="AB676" s="28" t="s">
        <v>93</v>
      </c>
      <c r="AC676" s="28" t="s">
        <v>101</v>
      </c>
      <c r="AD676" s="28" t="s">
        <v>108</v>
      </c>
      <c r="AE676" s="28" t="s">
        <v>113</v>
      </c>
      <c r="AF676" s="28" t="s">
        <v>117</v>
      </c>
      <c r="AG676" s="30" t="s">
        <v>122</v>
      </c>
    </row>
    <row r="677" customFormat="false" ht="15" hidden="false" customHeight="false" outlineLevel="0" collapsed="false">
      <c r="A677" s="10" t="n">
        <v>2026</v>
      </c>
      <c r="B677" s="28" t="s">
        <v>76</v>
      </c>
      <c r="C677" s="29" t="n">
        <v>46078</v>
      </c>
      <c r="D677" s="30" t="s">
        <v>127</v>
      </c>
      <c r="E677" s="28" t="s">
        <v>967</v>
      </c>
      <c r="F677" s="28" t="s">
        <v>968</v>
      </c>
      <c r="G677" s="31" t="n">
        <v>30631</v>
      </c>
      <c r="H677" s="31" t="n">
        <v>3</v>
      </c>
      <c r="I677" s="31" t="n">
        <v>91892</v>
      </c>
      <c r="J677" s="29" t="n">
        <v>46085</v>
      </c>
      <c r="K677" s="31" t="n">
        <v>27972</v>
      </c>
      <c r="L677" s="30" t="s">
        <v>32</v>
      </c>
      <c r="M677" s="10" t="n">
        <v>4</v>
      </c>
      <c r="N677" s="12" t="n">
        <v>-8170</v>
      </c>
      <c r="O677" s="13" t="n">
        <v>-0.0889089469354175</v>
      </c>
      <c r="P677" s="15" t="n">
        <v>0.064295181942241</v>
      </c>
      <c r="Q677" s="13" t="n">
        <v>-0.141381494322671</v>
      </c>
      <c r="R677" s="15" t="n">
        <v>0.0115702479338844</v>
      </c>
      <c r="S677" s="32" t="n">
        <v>20873759400</v>
      </c>
      <c r="T677" s="15" t="n">
        <v>0.00990099009900991</v>
      </c>
      <c r="U677" s="32" t="n">
        <v>11818814612.5</v>
      </c>
      <c r="V677" s="14" t="n">
        <v>1.66745499038245</v>
      </c>
      <c r="W677" s="13" t="n">
        <v>-0.0699088145896657</v>
      </c>
      <c r="X677" s="15" t="n">
        <v>0.076797385620915</v>
      </c>
      <c r="Y677" s="13" t="n">
        <v>0.0191334820860218</v>
      </c>
      <c r="Z677" s="13" t="n">
        <v>0.104748311697273</v>
      </c>
      <c r="AA677" s="30" t="s">
        <v>97</v>
      </c>
      <c r="AB677" s="28" t="s">
        <v>93</v>
      </c>
      <c r="AC677" s="28" t="s">
        <v>99</v>
      </c>
      <c r="AD677" s="28" t="s">
        <v>106</v>
      </c>
      <c r="AE677" s="28" t="s">
        <v>112</v>
      </c>
      <c r="AF677" s="28" t="s">
        <v>116</v>
      </c>
      <c r="AG677" s="30" t="s">
        <v>123</v>
      </c>
    </row>
    <row r="678" customFormat="false" ht="15" hidden="false" customHeight="false" outlineLevel="0" collapsed="false">
      <c r="A678" s="10" t="n">
        <v>2026</v>
      </c>
      <c r="B678" s="28" t="s">
        <v>76</v>
      </c>
      <c r="C678" s="29" t="n">
        <v>46079</v>
      </c>
      <c r="D678" s="30" t="s">
        <v>128</v>
      </c>
      <c r="E678" s="28" t="s">
        <v>969</v>
      </c>
      <c r="F678" s="28" t="s">
        <v>970</v>
      </c>
      <c r="G678" s="31" t="n">
        <v>74374</v>
      </c>
      <c r="H678" s="31" t="n">
        <v>1</v>
      </c>
      <c r="I678" s="31" t="n">
        <v>74374</v>
      </c>
      <c r="J678" s="29" t="n">
        <v>46084</v>
      </c>
      <c r="K678" s="31" t="n">
        <v>70729</v>
      </c>
      <c r="L678" s="30" t="s">
        <v>32</v>
      </c>
      <c r="M678" s="10" t="n">
        <v>2</v>
      </c>
      <c r="N678" s="12" t="n">
        <v>-3808</v>
      </c>
      <c r="O678" s="13" t="n">
        <v>-0.0512048372219973</v>
      </c>
      <c r="P678" s="15" t="n">
        <v>0.0527830177897475</v>
      </c>
      <c r="Q678" s="13" t="n">
        <v>-0.0924284329398729</v>
      </c>
      <c r="R678" s="15" t="n">
        <v>0.0391608391608391</v>
      </c>
      <c r="S678" s="32" t="n">
        <v>162127355200</v>
      </c>
      <c r="T678" s="15" t="n">
        <v>0.0220082530949106</v>
      </c>
      <c r="U678" s="32" t="n">
        <v>131136610670</v>
      </c>
      <c r="V678" s="14" t="n">
        <v>1.16771718441034</v>
      </c>
      <c r="W678" s="13" t="n">
        <v>0.0164158686730507</v>
      </c>
      <c r="X678" s="15" t="n">
        <v>0.0148048452220726</v>
      </c>
      <c r="Y678" s="13" t="n">
        <v>0.0367217523085675</v>
      </c>
      <c r="Z678" s="13" t="n">
        <v>0.110972742084636</v>
      </c>
      <c r="AA678" s="30" t="s">
        <v>97</v>
      </c>
      <c r="AB678" s="28" t="s">
        <v>93</v>
      </c>
      <c r="AC678" s="28" t="s">
        <v>100</v>
      </c>
      <c r="AD678" s="28" t="s">
        <v>109</v>
      </c>
      <c r="AE678" s="28" t="s">
        <v>113</v>
      </c>
      <c r="AF678" s="28" t="s">
        <v>116</v>
      </c>
      <c r="AG678" s="30" t="s">
        <v>122</v>
      </c>
    </row>
    <row r="679" customFormat="false" ht="15" hidden="false" customHeight="false" outlineLevel="0" collapsed="false">
      <c r="A679" s="10" t="n">
        <v>2026</v>
      </c>
      <c r="B679" s="28" t="s">
        <v>76</v>
      </c>
      <c r="C679" s="29" t="n">
        <v>46079</v>
      </c>
      <c r="D679" s="30" t="s">
        <v>128</v>
      </c>
      <c r="E679" s="28" t="s">
        <v>177</v>
      </c>
      <c r="F679" s="30" t="s">
        <v>178</v>
      </c>
      <c r="G679" s="31" t="n">
        <v>39840</v>
      </c>
      <c r="H679" s="31" t="n">
        <v>2</v>
      </c>
      <c r="I679" s="31" t="n">
        <v>79680</v>
      </c>
      <c r="J679" s="29" t="n">
        <v>46084</v>
      </c>
      <c r="K679" s="31" t="n">
        <v>37912</v>
      </c>
      <c r="L679" s="30" t="s">
        <v>32</v>
      </c>
      <c r="M679" s="10" t="n">
        <v>2</v>
      </c>
      <c r="N679" s="12" t="n">
        <v>-4030</v>
      </c>
      <c r="O679" s="13" t="n">
        <v>-0.0505835088906069</v>
      </c>
      <c r="P679" s="15" t="n">
        <v>0.0755576082209248</v>
      </c>
      <c r="Q679" s="13" t="n">
        <v>-0.0486900034638728</v>
      </c>
      <c r="R679" s="15" t="n">
        <v>0.0446194225721786</v>
      </c>
      <c r="S679" s="32" t="n">
        <v>68171867800</v>
      </c>
      <c r="T679" s="15" t="n">
        <v>0.0446194225721786</v>
      </c>
      <c r="U679" s="32" t="n">
        <v>22584567557.5</v>
      </c>
      <c r="V679" s="14" t="n">
        <v>2.7220039515962</v>
      </c>
      <c r="W679" s="13" t="n">
        <v>-0.0700934579439252</v>
      </c>
      <c r="X679" s="15" t="n">
        <v>0.0979899497487438</v>
      </c>
      <c r="Y679" s="13" t="n">
        <v>0.0367217523085675</v>
      </c>
      <c r="Z679" s="13" t="n">
        <v>0.110972742084636</v>
      </c>
      <c r="AA679" s="30" t="s">
        <v>97</v>
      </c>
      <c r="AB679" s="28" t="s">
        <v>93</v>
      </c>
      <c r="AC679" s="28" t="s">
        <v>100</v>
      </c>
      <c r="AD679" s="28" t="s">
        <v>108</v>
      </c>
      <c r="AE679" s="28" t="s">
        <v>113</v>
      </c>
      <c r="AF679" s="28" t="s">
        <v>117</v>
      </c>
      <c r="AG679" s="30" t="s">
        <v>123</v>
      </c>
    </row>
    <row r="680" customFormat="false" ht="15" hidden="false" customHeight="false" outlineLevel="0" collapsed="false">
      <c r="A680" s="10" t="n">
        <v>2026</v>
      </c>
      <c r="B680" s="28" t="s">
        <v>76</v>
      </c>
      <c r="C680" s="29" t="n">
        <v>46079</v>
      </c>
      <c r="D680" s="30" t="s">
        <v>128</v>
      </c>
      <c r="E680" s="28" t="s">
        <v>635</v>
      </c>
      <c r="F680" s="30" t="s">
        <v>636</v>
      </c>
      <c r="G680" s="31" t="n">
        <v>82883</v>
      </c>
      <c r="H680" s="31" t="n">
        <v>1</v>
      </c>
      <c r="I680" s="31" t="n">
        <v>82883</v>
      </c>
      <c r="J680" s="29" t="n">
        <v>46084</v>
      </c>
      <c r="K680" s="31" t="n">
        <v>99500</v>
      </c>
      <c r="L680" s="30" t="s">
        <v>31</v>
      </c>
      <c r="M680" s="10" t="n">
        <v>2</v>
      </c>
      <c r="N680" s="12" t="n">
        <v>16391</v>
      </c>
      <c r="O680" s="13" t="n">
        <v>0.197759276713625</v>
      </c>
      <c r="P680" s="15" t="n">
        <v>0.222207743946875</v>
      </c>
      <c r="Q680" s="13" t="n">
        <v>-0.0215098910751084</v>
      </c>
      <c r="R680" s="15" t="n">
        <v>0.0122249388753055</v>
      </c>
      <c r="S680" s="32" t="n">
        <v>34453245600</v>
      </c>
      <c r="T680" s="15" t="n">
        <v>0.010989010989011</v>
      </c>
      <c r="U680" s="32" t="n">
        <v>14525291325</v>
      </c>
      <c r="V680" s="14" t="n">
        <v>2.20159089442044</v>
      </c>
      <c r="W680" s="13" t="n">
        <v>0.0209617755856966</v>
      </c>
      <c r="X680" s="15" t="n">
        <v>0.0700483091787441</v>
      </c>
      <c r="Y680" s="13" t="n">
        <v>0.0367217523085675</v>
      </c>
      <c r="Z680" s="13" t="n">
        <v>0.110972742084636</v>
      </c>
      <c r="AA680" s="30" t="s">
        <v>97</v>
      </c>
      <c r="AB680" s="28" t="s">
        <v>93</v>
      </c>
      <c r="AC680" s="28" t="s">
        <v>99</v>
      </c>
      <c r="AD680" s="28" t="s">
        <v>107</v>
      </c>
      <c r="AE680" s="28" t="s">
        <v>112</v>
      </c>
      <c r="AF680" s="28" t="s">
        <v>117</v>
      </c>
      <c r="AG680" s="30" t="s">
        <v>122</v>
      </c>
    </row>
    <row r="681" customFormat="false" ht="15" hidden="false" customHeight="false" outlineLevel="0" collapsed="false">
      <c r="A681" s="10" t="n">
        <v>2026</v>
      </c>
      <c r="B681" s="28" t="s">
        <v>76</v>
      </c>
      <c r="C681" s="29" t="n">
        <v>46079</v>
      </c>
      <c r="D681" s="30" t="s">
        <v>128</v>
      </c>
      <c r="E681" s="28" t="s">
        <v>971</v>
      </c>
      <c r="F681" s="30" t="s">
        <v>972</v>
      </c>
      <c r="G681" s="31" t="n">
        <v>29179</v>
      </c>
      <c r="H681" s="31" t="n">
        <v>3</v>
      </c>
      <c r="I681" s="31" t="n">
        <v>87537</v>
      </c>
      <c r="J681" s="29" t="n">
        <v>46080</v>
      </c>
      <c r="K681" s="31" t="n">
        <v>27772</v>
      </c>
      <c r="L681" s="30" t="s">
        <v>32</v>
      </c>
      <c r="M681" s="10" t="n">
        <v>1</v>
      </c>
      <c r="N681" s="12" t="n">
        <v>-4413</v>
      </c>
      <c r="O681" s="13" t="n">
        <v>-0.0504139806162963</v>
      </c>
      <c r="P681" s="15" t="n">
        <v>0.0195636267677435</v>
      </c>
      <c r="Q681" s="13" t="n">
        <v>-0.0644004366131296</v>
      </c>
      <c r="R681" s="15" t="n">
        <v>0.184959349593496</v>
      </c>
      <c r="S681" s="32" t="n">
        <v>26826103700</v>
      </c>
      <c r="T681" s="15" t="n">
        <v>0.0485611510791366</v>
      </c>
      <c r="U681" s="32" t="n">
        <v>4590709992.5</v>
      </c>
      <c r="V681" s="14" t="n">
        <v>5.3061655161916</v>
      </c>
      <c r="W681" s="13" t="n">
        <v>0.170682730923695</v>
      </c>
      <c r="X681" s="15" t="n">
        <v>0.0188679245283019</v>
      </c>
      <c r="Y681" s="13" t="n">
        <v>0.0367217523085675</v>
      </c>
      <c r="Z681" s="13" t="n">
        <v>0.110972742084636</v>
      </c>
      <c r="AA681" s="30" t="s">
        <v>97</v>
      </c>
      <c r="AB681" s="28" t="s">
        <v>93</v>
      </c>
      <c r="AC681" s="28" t="s">
        <v>103</v>
      </c>
      <c r="AD681" s="28" t="s">
        <v>106</v>
      </c>
      <c r="AE681" s="28" t="s">
        <v>113</v>
      </c>
      <c r="AF681" s="28" t="s">
        <v>119</v>
      </c>
      <c r="AG681" s="30" t="s">
        <v>122</v>
      </c>
    </row>
    <row r="682" customFormat="false" ht="15" hidden="false" customHeight="false" outlineLevel="0" collapsed="false">
      <c r="A682" s="10" t="n">
        <v>2026</v>
      </c>
      <c r="B682" s="28" t="s">
        <v>76</v>
      </c>
      <c r="C682" s="29" t="n">
        <v>46079</v>
      </c>
      <c r="D682" s="30" t="s">
        <v>128</v>
      </c>
      <c r="E682" s="28" t="s">
        <v>973</v>
      </c>
      <c r="F682" s="30" t="s">
        <v>974</v>
      </c>
      <c r="G682" s="31" t="n">
        <v>8388</v>
      </c>
      <c r="H682" s="31" t="n">
        <v>11</v>
      </c>
      <c r="I682" s="31" t="n">
        <v>92272</v>
      </c>
      <c r="J682" s="29" t="n">
        <v>46084</v>
      </c>
      <c r="K682" s="31" t="n">
        <v>7982</v>
      </c>
      <c r="L682" s="30" t="s">
        <v>32</v>
      </c>
      <c r="M682" s="10" t="n">
        <v>2</v>
      </c>
      <c r="N682" s="12" t="n">
        <v>-4673</v>
      </c>
      <c r="O682" s="13" t="n">
        <v>-0.0506402402490111</v>
      </c>
      <c r="P682" s="15" t="n">
        <v>0.184972545354407</v>
      </c>
      <c r="Q682" s="13" t="n">
        <v>-0.0570288899644508</v>
      </c>
      <c r="R682" s="15" t="n">
        <v>0.0580808080808082</v>
      </c>
      <c r="S682" s="32" t="n">
        <v>24529491860</v>
      </c>
      <c r="T682" s="15" t="n">
        <v>0.0397022332506203</v>
      </c>
      <c r="U682" s="32" t="n">
        <v>7922622000</v>
      </c>
      <c r="V682" s="14" t="n">
        <v>2.70731717693996</v>
      </c>
      <c r="W682" s="13" t="n">
        <v>0.0475000000000001</v>
      </c>
      <c r="X682" s="15" t="n">
        <v>0.068019093078759</v>
      </c>
      <c r="Y682" s="13" t="n">
        <v>0.0367217523085675</v>
      </c>
      <c r="Z682" s="13" t="n">
        <v>0.110972742084636</v>
      </c>
      <c r="AA682" s="30" t="s">
        <v>97</v>
      </c>
      <c r="AB682" s="28" t="s">
        <v>93</v>
      </c>
      <c r="AC682" s="28" t="s">
        <v>101</v>
      </c>
      <c r="AD682" s="28" t="s">
        <v>106</v>
      </c>
      <c r="AE682" s="28" t="s">
        <v>113</v>
      </c>
      <c r="AF682" s="28" t="s">
        <v>117</v>
      </c>
      <c r="AG682" s="30" t="s">
        <v>122</v>
      </c>
    </row>
    <row r="683" customFormat="false" ht="15" hidden="false" customHeight="false" outlineLevel="0" collapsed="false">
      <c r="A683" s="10" t="n">
        <v>2026</v>
      </c>
      <c r="B683" s="28" t="s">
        <v>76</v>
      </c>
      <c r="C683" s="29" t="n">
        <v>46080</v>
      </c>
      <c r="D683" s="30" t="s">
        <v>129</v>
      </c>
      <c r="E683" s="28" t="s">
        <v>613</v>
      </c>
      <c r="F683" s="30" t="s">
        <v>614</v>
      </c>
      <c r="G683" s="31" t="n">
        <v>62362</v>
      </c>
      <c r="H683" s="31" t="n">
        <v>1</v>
      </c>
      <c r="I683" s="31" t="n">
        <v>62362</v>
      </c>
      <c r="J683" s="29" t="n">
        <v>46084</v>
      </c>
      <c r="K683" s="31" t="n">
        <v>59341</v>
      </c>
      <c r="L683" s="30" t="s">
        <v>32</v>
      </c>
      <c r="M683" s="10" t="n">
        <v>1</v>
      </c>
      <c r="N683" s="12" t="n">
        <v>-3159</v>
      </c>
      <c r="O683" s="13" t="n">
        <v>-0.0506497777503396</v>
      </c>
      <c r="P683" s="15" t="n">
        <v>-0.0154307971322417</v>
      </c>
      <c r="Q683" s="13" t="n">
        <v>-0.100418041027993</v>
      </c>
      <c r="R683" s="15" t="n">
        <v>0.0146579804560261</v>
      </c>
      <c r="S683" s="32" t="n">
        <v>451206379400</v>
      </c>
      <c r="T683" s="15" t="n">
        <v>0.00160771704180074</v>
      </c>
      <c r="U683" s="32" t="n">
        <v>189489184735</v>
      </c>
      <c r="V683" s="14" t="n">
        <v>2.26962282921904</v>
      </c>
      <c r="W683" s="13" t="n">
        <v>0.0163132137030995</v>
      </c>
      <c r="X683" s="15" t="n">
        <v>0.0353130016051364</v>
      </c>
      <c r="Y683" s="13" t="n">
        <v>-0.0100106702265799</v>
      </c>
      <c r="Z683" s="13" t="n">
        <v>0.0749931566162179</v>
      </c>
      <c r="AA683" s="30" t="s">
        <v>97</v>
      </c>
      <c r="AB683" s="28" t="s">
        <v>93</v>
      </c>
      <c r="AC683" s="28" t="s">
        <v>99</v>
      </c>
      <c r="AD683" s="28" t="s">
        <v>110</v>
      </c>
      <c r="AE683" s="28" t="s">
        <v>112</v>
      </c>
      <c r="AF683" s="28" t="s">
        <v>117</v>
      </c>
      <c r="AG683" s="30" t="s">
        <v>122</v>
      </c>
    </row>
    <row r="684" customFormat="false" ht="15" hidden="false" customHeight="false" outlineLevel="0" collapsed="false">
      <c r="A684" s="10" t="n">
        <v>2026</v>
      </c>
      <c r="B684" s="28" t="s">
        <v>76</v>
      </c>
      <c r="C684" s="29" t="n">
        <v>46080</v>
      </c>
      <c r="D684" s="30" t="s">
        <v>129</v>
      </c>
      <c r="E684" s="28" t="s">
        <v>975</v>
      </c>
      <c r="F684" s="30" t="s">
        <v>976</v>
      </c>
      <c r="G684" s="31" t="n">
        <v>61561</v>
      </c>
      <c r="H684" s="31" t="n">
        <v>1</v>
      </c>
      <c r="I684" s="31" t="n">
        <v>61561</v>
      </c>
      <c r="J684" s="29" t="n">
        <v>46085</v>
      </c>
      <c r="K684" s="31" t="n">
        <v>58541</v>
      </c>
      <c r="L684" s="30" t="s">
        <v>32</v>
      </c>
      <c r="M684" s="10" t="n">
        <v>2</v>
      </c>
      <c r="N684" s="12" t="n">
        <v>-3155</v>
      </c>
      <c r="O684" s="13" t="n">
        <v>-0.0512527835579055</v>
      </c>
      <c r="P684" s="15" t="n">
        <v>0.182557280118256</v>
      </c>
      <c r="Q684" s="13" t="n">
        <v>-0.176433322774786</v>
      </c>
      <c r="R684" s="15" t="n">
        <v>0.184971098265896</v>
      </c>
      <c r="S684" s="32" t="n">
        <v>233752398000</v>
      </c>
      <c r="T684" s="15" t="n">
        <v>0.0441426146010187</v>
      </c>
      <c r="U684" s="32" t="n">
        <v>17781902615</v>
      </c>
      <c r="V684" s="14" t="n">
        <v>11.6125586722855</v>
      </c>
      <c r="W684" s="13" t="n">
        <v>0.0962566844919786</v>
      </c>
      <c r="X684" s="15" t="n">
        <v>0.0552845528455284</v>
      </c>
      <c r="Y684" s="13" t="n">
        <v>-0.0100106702265799</v>
      </c>
      <c r="Z684" s="13" t="n">
        <v>0.0749931566162179</v>
      </c>
      <c r="AA684" s="30" t="s">
        <v>97</v>
      </c>
      <c r="AB684" s="28" t="s">
        <v>93</v>
      </c>
      <c r="AC684" s="28" t="s">
        <v>103</v>
      </c>
      <c r="AD684" s="28" t="s">
        <v>110</v>
      </c>
      <c r="AE684" s="28" t="s">
        <v>113</v>
      </c>
      <c r="AF684" s="28" t="s">
        <v>120</v>
      </c>
      <c r="AG684" s="30" t="s">
        <v>122</v>
      </c>
    </row>
    <row r="685" customFormat="false" ht="15" hidden="false" customHeight="false" outlineLevel="0" collapsed="false">
      <c r="A685" s="10" t="n">
        <v>2026</v>
      </c>
      <c r="B685" s="28" t="s">
        <v>77</v>
      </c>
      <c r="C685" s="29" t="n">
        <v>46084</v>
      </c>
      <c r="D685" s="30" t="s">
        <v>126</v>
      </c>
      <c r="E685" s="28" t="s">
        <v>655</v>
      </c>
      <c r="F685" s="30" t="s">
        <v>656</v>
      </c>
      <c r="G685" s="31" t="n">
        <v>51351</v>
      </c>
      <c r="H685" s="31" t="n">
        <v>1</v>
      </c>
      <c r="I685" s="31" t="n">
        <v>51351</v>
      </c>
      <c r="J685" s="29" t="n">
        <v>46085</v>
      </c>
      <c r="K685" s="31" t="n">
        <v>48851</v>
      </c>
      <c r="L685" s="30" t="s">
        <v>32</v>
      </c>
      <c r="M685" s="10" t="n">
        <v>1</v>
      </c>
      <c r="N685" s="12" t="n">
        <v>-2613</v>
      </c>
      <c r="O685" s="13" t="n">
        <v>-0.0508834744203166</v>
      </c>
      <c r="P685" s="15" t="n">
        <v>0.139211665527455</v>
      </c>
      <c r="Q685" s="13" t="n">
        <v>-0.082788556472767</v>
      </c>
      <c r="R685" s="15" t="n">
        <v>0.100858369098712</v>
      </c>
      <c r="S685" s="32" t="n">
        <v>473694504300</v>
      </c>
      <c r="T685" s="15" t="n">
        <v>0.026</v>
      </c>
      <c r="U685" s="32" t="n">
        <v>59243277162.5</v>
      </c>
      <c r="V685" s="14" t="n">
        <v>7.20612434775592</v>
      </c>
      <c r="W685" s="13" t="n">
        <v>0.125</v>
      </c>
      <c r="X685" s="15" t="n">
        <v>0.0896686159844056</v>
      </c>
      <c r="Y685" s="13" t="n">
        <v>-0.072423219888119</v>
      </c>
      <c r="Z685" s="13" t="n">
        <v>-0.00926773279234505</v>
      </c>
      <c r="AA685" s="30" t="s">
        <v>97</v>
      </c>
      <c r="AB685" s="28" t="s">
        <v>94</v>
      </c>
      <c r="AC685" s="28" t="s">
        <v>102</v>
      </c>
      <c r="AD685" s="28" t="s">
        <v>110</v>
      </c>
      <c r="AE685" s="28" t="s">
        <v>113</v>
      </c>
      <c r="AF685" s="28" t="s">
        <v>119</v>
      </c>
      <c r="AG685" s="30" t="s">
        <v>122</v>
      </c>
    </row>
    <row r="686" customFormat="false" ht="15" hidden="false" customHeight="false" outlineLevel="0" collapsed="false">
      <c r="A686" s="10" t="n">
        <v>2026</v>
      </c>
      <c r="B686" s="28" t="s">
        <v>77</v>
      </c>
      <c r="C686" s="29" t="n">
        <v>46084</v>
      </c>
      <c r="D686" s="30" t="s">
        <v>126</v>
      </c>
      <c r="E686" s="28" t="s">
        <v>977</v>
      </c>
      <c r="F686" s="30" t="s">
        <v>978</v>
      </c>
      <c r="G686" s="31" t="n">
        <v>15475</v>
      </c>
      <c r="H686" s="31" t="n">
        <v>6</v>
      </c>
      <c r="I686" s="31" t="n">
        <v>92853</v>
      </c>
      <c r="J686" s="29" t="n">
        <v>46085</v>
      </c>
      <c r="K686" s="31" t="n">
        <v>14725</v>
      </c>
      <c r="L686" s="30" t="s">
        <v>32</v>
      </c>
      <c r="M686" s="10" t="n">
        <v>1</v>
      </c>
      <c r="N686" s="12" t="n">
        <v>-4705</v>
      </c>
      <c r="O686" s="13" t="n">
        <v>-0.0506725246293165</v>
      </c>
      <c r="P686" s="15" t="n">
        <v>0.161839454206854</v>
      </c>
      <c r="Q686" s="13" t="n">
        <v>-0.209716544774759</v>
      </c>
      <c r="R686" s="15" t="n">
        <v>0.202177293934681</v>
      </c>
      <c r="S686" s="32" t="n">
        <v>113026823200</v>
      </c>
      <c r="T686" s="15" t="n">
        <v>0.171212121212121</v>
      </c>
      <c r="U686" s="32" t="n">
        <v>6413314116</v>
      </c>
      <c r="V686" s="14" t="n">
        <v>14.1944686786817</v>
      </c>
      <c r="W686" s="13" t="n">
        <v>0.0306666666666666</v>
      </c>
      <c r="X686" s="15" t="n">
        <v>0.00582147477360939</v>
      </c>
      <c r="Y686" s="13" t="n">
        <v>-0.072423219888119</v>
      </c>
      <c r="Z686" s="13" t="n">
        <v>-0.00926773279234505</v>
      </c>
      <c r="AA686" s="30" t="s">
        <v>97</v>
      </c>
      <c r="AB686" s="28" t="s">
        <v>94</v>
      </c>
      <c r="AC686" s="28" t="s">
        <v>104</v>
      </c>
      <c r="AD686" s="28" t="s">
        <v>109</v>
      </c>
      <c r="AE686" s="28" t="s">
        <v>114</v>
      </c>
      <c r="AF686" s="28" t="s">
        <v>120</v>
      </c>
      <c r="AG686" s="30" t="s">
        <v>122</v>
      </c>
    </row>
    <row r="687" customFormat="false" ht="15" hidden="false" customHeight="false" outlineLevel="0" collapsed="false">
      <c r="A687" s="10" t="n">
        <v>2026</v>
      </c>
      <c r="B687" s="28" t="s">
        <v>77</v>
      </c>
      <c r="C687" s="29" t="n">
        <v>46087</v>
      </c>
      <c r="D687" s="30" t="s">
        <v>129</v>
      </c>
      <c r="E687" s="28" t="s">
        <v>979</v>
      </c>
      <c r="F687" s="30" t="s">
        <v>980</v>
      </c>
      <c r="G687" s="31" t="n">
        <v>66566</v>
      </c>
      <c r="H687" s="31" t="n">
        <v>1</v>
      </c>
      <c r="I687" s="31" t="n">
        <v>66566</v>
      </c>
      <c r="J687" s="29" t="n">
        <v>46090</v>
      </c>
      <c r="K687" s="31" t="n">
        <v>60539</v>
      </c>
      <c r="L687" s="30" t="s">
        <v>32</v>
      </c>
      <c r="M687" s="10" t="n">
        <v>1</v>
      </c>
      <c r="N687" s="12" t="n">
        <v>-6167</v>
      </c>
      <c r="O687" s="13" t="n">
        <v>-0.0926478737052419</v>
      </c>
      <c r="P687" s="15" t="n">
        <v>-0.023532858119324</v>
      </c>
      <c r="Q687" s="13" t="n">
        <v>-0.0941389437630037</v>
      </c>
      <c r="R687" s="15" t="n">
        <v>0.0777957860615883</v>
      </c>
      <c r="S687" s="32" t="n">
        <v>20106740500</v>
      </c>
      <c r="T687" s="15" t="n">
        <v>0.0121765601217656</v>
      </c>
      <c r="U687" s="32" t="n">
        <v>18935415280</v>
      </c>
      <c r="V687" s="14" t="n">
        <v>0.961980459856421</v>
      </c>
      <c r="W687" s="13" t="n">
        <v>0.0848287112561175</v>
      </c>
      <c r="X687" s="15" t="n">
        <v>0.0045112781954888</v>
      </c>
      <c r="Y687" s="13" t="n">
        <v>0.000173713712638079</v>
      </c>
      <c r="Z687" s="13" t="n">
        <v>-0.114534497492576</v>
      </c>
      <c r="AA687" s="30" t="s">
        <v>96</v>
      </c>
      <c r="AB687" s="28" t="s">
        <v>94</v>
      </c>
      <c r="AC687" s="28" t="s">
        <v>101</v>
      </c>
      <c r="AD687" s="28" t="s">
        <v>106</v>
      </c>
      <c r="AE687" s="28" t="s">
        <v>112</v>
      </c>
      <c r="AF687" s="28" t="s">
        <v>116</v>
      </c>
      <c r="AG687" s="30" t="s">
        <v>122</v>
      </c>
    </row>
    <row r="688" customFormat="false" ht="15" hidden="false" customHeight="false" outlineLevel="0" collapsed="false">
      <c r="A688" s="10" t="n">
        <v>2026</v>
      </c>
      <c r="B688" s="28" t="s">
        <v>77</v>
      </c>
      <c r="C688" s="29" t="n">
        <v>46091</v>
      </c>
      <c r="D688" s="30" t="s">
        <v>126</v>
      </c>
      <c r="E688" s="28" t="s">
        <v>441</v>
      </c>
      <c r="F688" s="30" t="s">
        <v>442</v>
      </c>
      <c r="G688" s="31" t="n">
        <v>18689</v>
      </c>
      <c r="H688" s="31" t="n">
        <v>5</v>
      </c>
      <c r="I688" s="31" t="n">
        <v>93443</v>
      </c>
      <c r="J688" s="29" t="n">
        <v>46104</v>
      </c>
      <c r="K688" s="31" t="n">
        <v>17792</v>
      </c>
      <c r="L688" s="30" t="s">
        <v>32</v>
      </c>
      <c r="M688" s="10" t="n">
        <v>9</v>
      </c>
      <c r="N688" s="12" t="n">
        <v>-4688</v>
      </c>
      <c r="O688" s="13" t="n">
        <v>-0.0501660369089934</v>
      </c>
      <c r="P688" s="15" t="n">
        <v>0.139727974221815</v>
      </c>
      <c r="Q688" s="13" t="n">
        <v>-0.0555775237082146</v>
      </c>
      <c r="R688" s="15" t="n">
        <v>0.0956572769953052</v>
      </c>
      <c r="S688" s="32" t="n">
        <v>73370206150</v>
      </c>
      <c r="T688" s="15" t="n">
        <v>0.0102813852813852</v>
      </c>
      <c r="U688" s="32" t="n">
        <v>42898294451</v>
      </c>
      <c r="V688" s="14" t="n">
        <v>1.57603929553799</v>
      </c>
      <c r="W688" s="13" t="n">
        <v>0.0314917127071823</v>
      </c>
      <c r="X688" s="15" t="n">
        <v>0.0117836100696305</v>
      </c>
      <c r="Y688" s="13" t="n">
        <v>0.0534514372975721</v>
      </c>
      <c r="Z688" s="13" t="n">
        <v>-0.0447727951573833</v>
      </c>
      <c r="AA688" s="30" t="s">
        <v>96</v>
      </c>
      <c r="AB688" s="28" t="s">
        <v>94</v>
      </c>
      <c r="AC688" s="28" t="s">
        <v>101</v>
      </c>
      <c r="AD688" s="28" t="s">
        <v>108</v>
      </c>
      <c r="AE688" s="28" t="s">
        <v>112</v>
      </c>
      <c r="AF688" s="28" t="s">
        <v>116</v>
      </c>
      <c r="AG688" s="30" t="s">
        <v>122</v>
      </c>
    </row>
    <row r="689" customFormat="false" ht="15" hidden="false" customHeight="false" outlineLevel="0" collapsed="false">
      <c r="A689" s="10" t="n">
        <v>2026</v>
      </c>
      <c r="B689" s="28" t="s">
        <v>77</v>
      </c>
      <c r="C689" s="29" t="n">
        <v>46091</v>
      </c>
      <c r="D689" s="30" t="s">
        <v>126</v>
      </c>
      <c r="E689" s="28" t="s">
        <v>467</v>
      </c>
      <c r="F689" s="28" t="s">
        <v>468</v>
      </c>
      <c r="G689" s="31" t="n">
        <v>20070</v>
      </c>
      <c r="H689" s="31" t="n">
        <v>4</v>
      </c>
      <c r="I689" s="31" t="n">
        <v>80280</v>
      </c>
      <c r="J689" s="29" t="n">
        <v>46105</v>
      </c>
      <c r="K689" s="31" t="n">
        <v>19101</v>
      </c>
      <c r="L689" s="30" t="s">
        <v>32</v>
      </c>
      <c r="M689" s="10" t="n">
        <v>10</v>
      </c>
      <c r="N689" s="12" t="n">
        <v>-4053</v>
      </c>
      <c r="O689" s="13" t="n">
        <v>-0.0504855443558935</v>
      </c>
      <c r="P689" s="15" t="n">
        <v>0.0961606971582034</v>
      </c>
      <c r="Q689" s="13" t="n">
        <v>-0.0528175066828434</v>
      </c>
      <c r="R689" s="15" t="n">
        <v>0.0420997920997921</v>
      </c>
      <c r="S689" s="32" t="n">
        <v>37650752150</v>
      </c>
      <c r="T689" s="15" t="n">
        <v>0.00501253132832091</v>
      </c>
      <c r="U689" s="32" t="n">
        <v>3256802477</v>
      </c>
      <c r="V689" s="14" t="n">
        <v>10.8826806318162</v>
      </c>
      <c r="W689" s="13" t="n">
        <v>0.0415584415584416</v>
      </c>
      <c r="X689" s="15" t="n">
        <v>0.0822942643391522</v>
      </c>
      <c r="Y689" s="13" t="n">
        <v>0.0534514372975721</v>
      </c>
      <c r="Z689" s="13" t="n">
        <v>-0.0447727951573833</v>
      </c>
      <c r="AA689" s="30" t="s">
        <v>96</v>
      </c>
      <c r="AB689" s="28" t="s">
        <v>94</v>
      </c>
      <c r="AC689" s="28" t="s">
        <v>100</v>
      </c>
      <c r="AD689" s="28" t="s">
        <v>107</v>
      </c>
      <c r="AE689" s="28" t="s">
        <v>112</v>
      </c>
      <c r="AF689" s="28" t="s">
        <v>120</v>
      </c>
      <c r="AG689" s="30" t="s">
        <v>122</v>
      </c>
    </row>
    <row r="690" customFormat="false" ht="15" hidden="false" customHeight="false" outlineLevel="0" collapsed="false">
      <c r="A690" s="10" t="n">
        <v>2026</v>
      </c>
      <c r="B690" s="28" t="s">
        <v>77</v>
      </c>
      <c r="C690" s="29" t="n">
        <v>46092</v>
      </c>
      <c r="D690" s="30" t="s">
        <v>127</v>
      </c>
      <c r="E690" s="28" t="s">
        <v>981</v>
      </c>
      <c r="F690" s="30" t="s">
        <v>982</v>
      </c>
      <c r="G690" s="31" t="n">
        <v>12903</v>
      </c>
      <c r="H690" s="31" t="n">
        <v>7</v>
      </c>
      <c r="I690" s="31" t="n">
        <v>90320</v>
      </c>
      <c r="J690" s="29" t="n">
        <v>46097</v>
      </c>
      <c r="K690" s="31" t="n">
        <v>15490</v>
      </c>
      <c r="L690" s="30" t="s">
        <v>31</v>
      </c>
      <c r="M690" s="10" t="n">
        <v>3</v>
      </c>
      <c r="N690" s="12" t="n">
        <v>17863</v>
      </c>
      <c r="O690" s="13" t="n">
        <v>0.197775154752152</v>
      </c>
      <c r="P690" s="15" t="n">
        <v>0.273358139145571</v>
      </c>
      <c r="Q690" s="13" t="n">
        <v>-0.0265746666056984</v>
      </c>
      <c r="R690" s="15" t="n">
        <v>0.256335282651072</v>
      </c>
      <c r="S690" s="32" t="n">
        <v>81740697560</v>
      </c>
      <c r="T690" s="15" t="n">
        <v>0.227619047619048</v>
      </c>
      <c r="U690" s="32" t="n">
        <v>3236790694</v>
      </c>
      <c r="V690" s="14" t="n">
        <v>19.4890991237686</v>
      </c>
      <c r="W690" s="13" t="n">
        <v>0.244208494208494</v>
      </c>
      <c r="X690" s="15" t="n">
        <v>0.0341349883630722</v>
      </c>
      <c r="Y690" s="13" t="n">
        <v>0.0139826012771596</v>
      </c>
      <c r="Z690" s="13" t="n">
        <v>0.101385284104964</v>
      </c>
      <c r="AA690" s="30" t="s">
        <v>96</v>
      </c>
      <c r="AB690" s="28" t="s">
        <v>93</v>
      </c>
      <c r="AC690" s="28" t="s">
        <v>104</v>
      </c>
      <c r="AD690" s="28" t="s">
        <v>108</v>
      </c>
      <c r="AE690" s="28" t="s">
        <v>114</v>
      </c>
      <c r="AF690" s="28" t="s">
        <v>120</v>
      </c>
      <c r="AG690" s="30" t="s">
        <v>122</v>
      </c>
    </row>
    <row r="691" customFormat="false" ht="15" hidden="false" customHeight="false" outlineLevel="0" collapsed="false">
      <c r="A691" s="10" t="n">
        <v>2026</v>
      </c>
      <c r="B691" s="28" t="s">
        <v>77</v>
      </c>
      <c r="C691" s="29" t="n">
        <v>46092</v>
      </c>
      <c r="D691" s="30" t="s">
        <v>127</v>
      </c>
      <c r="E691" s="28" t="s">
        <v>983</v>
      </c>
      <c r="F691" s="30" t="s">
        <v>984</v>
      </c>
      <c r="G691" s="31" t="n">
        <v>42542</v>
      </c>
      <c r="H691" s="31" t="n">
        <v>2</v>
      </c>
      <c r="I691" s="31" t="n">
        <v>85085</v>
      </c>
      <c r="J691" s="29" t="n">
        <v>46094</v>
      </c>
      <c r="K691" s="31" t="n">
        <v>40460</v>
      </c>
      <c r="L691" s="30" t="s">
        <v>32</v>
      </c>
      <c r="M691" s="10" t="n">
        <v>2</v>
      </c>
      <c r="N691" s="12" t="n">
        <v>-4353</v>
      </c>
      <c r="O691" s="13" t="n">
        <v>-0.0511575318798848</v>
      </c>
      <c r="P691" s="15" t="n">
        <v>0.0342598577892697</v>
      </c>
      <c r="Q691" s="13" t="n">
        <v>-0.0750426044543691</v>
      </c>
      <c r="R691" s="15" t="n">
        <v>0.133333333333333</v>
      </c>
      <c r="S691" s="32" t="n">
        <v>47765070000</v>
      </c>
      <c r="T691" s="15" t="n">
        <v>0.0506798516687268</v>
      </c>
      <c r="U691" s="32" t="n">
        <v>5885297022.5</v>
      </c>
      <c r="V691" s="14" t="n">
        <v>6.95604919994083</v>
      </c>
      <c r="W691" s="13" t="n">
        <v>0.0828025477707006</v>
      </c>
      <c r="X691" s="15" t="n">
        <v>0.0470588235294118</v>
      </c>
      <c r="Y691" s="13" t="n">
        <v>0.0139826012771596</v>
      </c>
      <c r="Z691" s="13" t="n">
        <v>0.101385284104964</v>
      </c>
      <c r="AA691" s="30" t="s">
        <v>96</v>
      </c>
      <c r="AB691" s="28" t="s">
        <v>93</v>
      </c>
      <c r="AC691" s="28" t="s">
        <v>102</v>
      </c>
      <c r="AD691" s="28" t="s">
        <v>107</v>
      </c>
      <c r="AE691" s="28" t="s">
        <v>101</v>
      </c>
      <c r="AF691" s="28" t="s">
        <v>119</v>
      </c>
      <c r="AG691" s="30" t="s">
        <v>122</v>
      </c>
    </row>
    <row r="692" customFormat="false" ht="15" hidden="false" customHeight="false" outlineLevel="0" collapsed="false">
      <c r="A692" s="10" t="n">
        <v>2026</v>
      </c>
      <c r="B692" s="28" t="s">
        <v>77</v>
      </c>
      <c r="C692" s="29" t="n">
        <v>46092</v>
      </c>
      <c r="D692" s="30" t="s">
        <v>127</v>
      </c>
      <c r="E692" s="28" t="s">
        <v>985</v>
      </c>
      <c r="F692" s="30" t="s">
        <v>986</v>
      </c>
      <c r="G692" s="31" t="n">
        <v>16567</v>
      </c>
      <c r="H692" s="31" t="n">
        <v>6</v>
      </c>
      <c r="I692" s="31" t="n">
        <v>99399</v>
      </c>
      <c r="J692" s="29" t="n">
        <v>46097</v>
      </c>
      <c r="K692" s="31" t="n">
        <v>19880</v>
      </c>
      <c r="L692" s="30" t="s">
        <v>31</v>
      </c>
      <c r="M692" s="10" t="n">
        <v>3</v>
      </c>
      <c r="N692" s="12" t="n">
        <v>19609</v>
      </c>
      <c r="O692" s="13" t="n">
        <v>0.197278432594596</v>
      </c>
      <c r="P692" s="15" t="n">
        <v>0.201215702726277</v>
      </c>
      <c r="Q692" s="13" t="n">
        <v>-0.0414419417440565</v>
      </c>
      <c r="R692" s="15" t="n">
        <v>0.093853271645737</v>
      </c>
      <c r="S692" s="32" t="n">
        <v>44406480050</v>
      </c>
      <c r="T692" s="15" t="n">
        <v>0.039572864321608</v>
      </c>
      <c r="U692" s="32" t="n">
        <v>12850742792.5</v>
      </c>
      <c r="V692" s="14" t="n">
        <v>3.01958219996024</v>
      </c>
      <c r="W692" s="13" t="n">
        <v>0.0831151832460733</v>
      </c>
      <c r="X692" s="15" t="n">
        <v>0.0453172205438066</v>
      </c>
      <c r="Y692" s="13" t="n">
        <v>0.0139826012771596</v>
      </c>
      <c r="Z692" s="13" t="n">
        <v>0.101385284104964</v>
      </c>
      <c r="AA692" s="30" t="s">
        <v>96</v>
      </c>
      <c r="AB692" s="28" t="s">
        <v>93</v>
      </c>
      <c r="AC692" s="28" t="s">
        <v>101</v>
      </c>
      <c r="AD692" s="28" t="s">
        <v>107</v>
      </c>
      <c r="AE692" s="28" t="s">
        <v>113</v>
      </c>
      <c r="AF692" s="28" t="s">
        <v>118</v>
      </c>
      <c r="AG692" s="30" t="s">
        <v>122</v>
      </c>
    </row>
    <row r="693" customFormat="false" ht="15" hidden="false" customHeight="false" outlineLevel="0" collapsed="false">
      <c r="A693" s="10" t="n">
        <v>2026</v>
      </c>
      <c r="B693" s="28" t="s">
        <v>77</v>
      </c>
      <c r="C693" s="29" t="n">
        <v>46092</v>
      </c>
      <c r="D693" s="30" t="s">
        <v>127</v>
      </c>
      <c r="E693" s="28" t="s">
        <v>987</v>
      </c>
      <c r="F693" s="28" t="s">
        <v>988</v>
      </c>
      <c r="G693" s="31" t="n">
        <v>8258</v>
      </c>
      <c r="H693" s="31" t="n">
        <v>12</v>
      </c>
      <c r="I693" s="31" t="n">
        <v>99099</v>
      </c>
      <c r="J693" s="29" t="n">
        <v>46093</v>
      </c>
      <c r="K693" s="31" t="n">
        <v>7862</v>
      </c>
      <c r="L693" s="30" t="s">
        <v>32</v>
      </c>
      <c r="M693" s="10" t="n">
        <v>1</v>
      </c>
      <c r="N693" s="12" t="n">
        <v>-4971</v>
      </c>
      <c r="O693" s="13" t="n">
        <v>-0.0501634507310872</v>
      </c>
      <c r="P693" s="15" t="n">
        <v>0.0171646535282899</v>
      </c>
      <c r="Q693" s="13" t="n">
        <v>-0.0482245027699573</v>
      </c>
      <c r="R693" s="15" t="n">
        <v>0.0898282694848085</v>
      </c>
      <c r="S693" s="32" t="n">
        <v>22214016000</v>
      </c>
      <c r="T693" s="15" t="n">
        <v>0.0672703751617076</v>
      </c>
      <c r="U693" s="32" t="n">
        <v>7157105012.5</v>
      </c>
      <c r="V693" s="14" t="n">
        <v>2.67884449879188</v>
      </c>
      <c r="W693" s="13" t="n">
        <v>0.0840998685939554</v>
      </c>
      <c r="X693" s="15" t="n">
        <v>0.0569696969696969</v>
      </c>
      <c r="Y693" s="13" t="n">
        <v>0.0139826012771596</v>
      </c>
      <c r="Z693" s="13" t="n">
        <v>0.101385284104964</v>
      </c>
      <c r="AA693" s="30" t="s">
        <v>96</v>
      </c>
      <c r="AB693" s="28" t="s">
        <v>93</v>
      </c>
      <c r="AC693" s="28" t="s">
        <v>101</v>
      </c>
      <c r="AD693" s="28" t="s">
        <v>106</v>
      </c>
      <c r="AE693" s="28" t="s">
        <v>101</v>
      </c>
      <c r="AF693" s="28" t="s">
        <v>117</v>
      </c>
      <c r="AG693" s="30" t="s">
        <v>122</v>
      </c>
    </row>
    <row r="694" customFormat="false" ht="15" hidden="false" customHeight="false" outlineLevel="0" collapsed="false">
      <c r="A694" s="10" t="n">
        <v>2026</v>
      </c>
      <c r="B694" s="28" t="s">
        <v>77</v>
      </c>
      <c r="C694" s="29" t="n">
        <v>46093</v>
      </c>
      <c r="D694" s="30" t="s">
        <v>128</v>
      </c>
      <c r="E694" s="28" t="s">
        <v>591</v>
      </c>
      <c r="F694" s="30" t="s">
        <v>592</v>
      </c>
      <c r="G694" s="31" t="n">
        <v>30881</v>
      </c>
      <c r="H694" s="31" t="n">
        <v>3</v>
      </c>
      <c r="I694" s="31" t="n">
        <v>92643</v>
      </c>
      <c r="J694" s="29" t="n">
        <v>46097</v>
      </c>
      <c r="K694" s="31" t="n">
        <v>29371</v>
      </c>
      <c r="L694" s="30" t="s">
        <v>32</v>
      </c>
      <c r="M694" s="10" t="n">
        <v>2</v>
      </c>
      <c r="N694" s="12" t="n">
        <v>-4734</v>
      </c>
      <c r="O694" s="13" t="n">
        <v>-0.0511005661275516</v>
      </c>
      <c r="P694" s="15" t="n">
        <v>0.0184305159993978</v>
      </c>
      <c r="Q694" s="13" t="n">
        <v>-0.0754788161595291</v>
      </c>
      <c r="R694" s="15" t="n">
        <v>0.0711805555555556</v>
      </c>
      <c r="S694" s="32" t="n">
        <v>495195808800</v>
      </c>
      <c r="T694" s="15" t="n">
        <v>0.0457627118644068</v>
      </c>
      <c r="U694" s="32" t="n">
        <v>145149396807.5</v>
      </c>
      <c r="V694" s="14" t="n">
        <v>3.08296693270831</v>
      </c>
      <c r="W694" s="13" t="n">
        <v>0.0674740484429066</v>
      </c>
      <c r="X694" s="15" t="n">
        <v>0.00324149108589955</v>
      </c>
      <c r="Y694" s="13" t="n">
        <v>-0.00475940070767111</v>
      </c>
      <c r="Z694" s="13" t="n">
        <v>-0.000116406096097643</v>
      </c>
      <c r="AA694" s="30" t="s">
        <v>96</v>
      </c>
      <c r="AB694" s="28" t="s">
        <v>94</v>
      </c>
      <c r="AC694" s="28" t="s">
        <v>101</v>
      </c>
      <c r="AD694" s="28" t="s">
        <v>110</v>
      </c>
      <c r="AE694" s="28" t="s">
        <v>113</v>
      </c>
      <c r="AF694" s="28" t="s">
        <v>118</v>
      </c>
      <c r="AG694" s="30" t="s">
        <v>122</v>
      </c>
    </row>
    <row r="695" customFormat="false" ht="15" hidden="false" customHeight="false" outlineLevel="0" collapsed="false">
      <c r="A695" s="10" t="n">
        <v>2026</v>
      </c>
      <c r="B695" s="28" t="s">
        <v>77</v>
      </c>
      <c r="C695" s="29" t="n">
        <v>46093</v>
      </c>
      <c r="D695" s="30" t="s">
        <v>128</v>
      </c>
      <c r="E695" s="28" t="s">
        <v>909</v>
      </c>
      <c r="F695" s="30" t="s">
        <v>910</v>
      </c>
      <c r="G695" s="31" t="n">
        <v>44494</v>
      </c>
      <c r="H695" s="31" t="n">
        <v>2</v>
      </c>
      <c r="I695" s="31" t="n">
        <v>88989</v>
      </c>
      <c r="J695" s="29" t="n">
        <v>46094</v>
      </c>
      <c r="K695" s="31" t="n">
        <v>42358</v>
      </c>
      <c r="L695" s="30" t="s">
        <v>32</v>
      </c>
      <c r="M695" s="10" t="n">
        <v>1</v>
      </c>
      <c r="N695" s="12" t="n">
        <v>-4469</v>
      </c>
      <c r="O695" s="13" t="n">
        <v>-0.0502218368245927</v>
      </c>
      <c r="P695" s="15" t="n">
        <v>0.0439504252777594</v>
      </c>
      <c r="Q695" s="13" t="n">
        <v>-0.0605569908157084</v>
      </c>
      <c r="R695" s="15" t="n">
        <v>0.191689008042896</v>
      </c>
      <c r="S695" s="32" t="n">
        <v>131132300600</v>
      </c>
      <c r="T695" s="15" t="n">
        <v>0.129606099110546</v>
      </c>
      <c r="U695" s="32" t="n">
        <v>12707326327.5</v>
      </c>
      <c r="V695" s="14" t="n">
        <v>8.4951311002707</v>
      </c>
      <c r="W695" s="13" t="n">
        <v>0.133928571428571</v>
      </c>
      <c r="X695" s="15" t="n">
        <v>0.0146231721034871</v>
      </c>
      <c r="Y695" s="13" t="n">
        <v>-0.00475940070767111</v>
      </c>
      <c r="Z695" s="13" t="n">
        <v>-0.000116406096097643</v>
      </c>
      <c r="AA695" s="30" t="s">
        <v>96</v>
      </c>
      <c r="AB695" s="28" t="s">
        <v>94</v>
      </c>
      <c r="AC695" s="28" t="s">
        <v>103</v>
      </c>
      <c r="AD695" s="28" t="s">
        <v>109</v>
      </c>
      <c r="AE695" s="28" t="s">
        <v>114</v>
      </c>
      <c r="AF695" s="28" t="s">
        <v>119</v>
      </c>
      <c r="AG695" s="30" t="s">
        <v>122</v>
      </c>
    </row>
    <row r="696" customFormat="false" ht="15" hidden="false" customHeight="false" outlineLevel="0" collapsed="false">
      <c r="A696" s="10" t="n">
        <v>2026</v>
      </c>
      <c r="B696" s="28" t="s">
        <v>77</v>
      </c>
      <c r="C696" s="29" t="n">
        <v>46093</v>
      </c>
      <c r="D696" s="30" t="s">
        <v>128</v>
      </c>
      <c r="E696" s="28" t="s">
        <v>989</v>
      </c>
      <c r="F696" s="30" t="s">
        <v>990</v>
      </c>
      <c r="G696" s="31" t="n">
        <v>1366</v>
      </c>
      <c r="H696" s="31" t="n">
        <v>72</v>
      </c>
      <c r="I696" s="31" t="n">
        <v>98378</v>
      </c>
      <c r="J696" s="29" t="n">
        <v>46094</v>
      </c>
      <c r="K696" s="31" t="n">
        <v>1301</v>
      </c>
      <c r="L696" s="30" t="s">
        <v>32</v>
      </c>
      <c r="M696" s="10" t="n">
        <v>1</v>
      </c>
      <c r="N696" s="12" t="n">
        <v>-4944</v>
      </c>
      <c r="O696" s="13" t="n">
        <v>-0.0502563044647659</v>
      </c>
      <c r="P696" s="15" t="n">
        <v>0.136592345383554</v>
      </c>
      <c r="Q696" s="13" t="n">
        <v>-0.0602803789616975</v>
      </c>
      <c r="R696" s="15" t="n">
        <v>0.161702127659575</v>
      </c>
      <c r="S696" s="32" t="n">
        <v>59279035725</v>
      </c>
      <c r="T696" s="15" t="n">
        <v>0.105263157894737</v>
      </c>
      <c r="U696" s="32" t="n">
        <v>4468393689.7</v>
      </c>
      <c r="V696" s="14" t="n">
        <v>10.9971173626608</v>
      </c>
      <c r="W696" s="13" t="n">
        <v>0.160714285714286</v>
      </c>
      <c r="X696" s="15" t="n">
        <v>0.0937728937728939</v>
      </c>
      <c r="Y696" s="13" t="n">
        <v>-0.00475940070767111</v>
      </c>
      <c r="Z696" s="13" t="n">
        <v>-0.000116406096097643</v>
      </c>
      <c r="AA696" s="30" t="s">
        <v>96</v>
      </c>
      <c r="AB696" s="28" t="s">
        <v>94</v>
      </c>
      <c r="AC696" s="28" t="s">
        <v>103</v>
      </c>
      <c r="AD696" s="28" t="s">
        <v>108</v>
      </c>
      <c r="AE696" s="28" t="s">
        <v>114</v>
      </c>
      <c r="AF696" s="28" t="s">
        <v>120</v>
      </c>
      <c r="AG696" s="30" t="s">
        <v>122</v>
      </c>
    </row>
    <row r="697" customFormat="false" ht="15" hidden="false" customHeight="false" outlineLevel="0" collapsed="false">
      <c r="A697" s="10" t="n">
        <v>2026</v>
      </c>
      <c r="B697" s="28" t="s">
        <v>77</v>
      </c>
      <c r="C697" s="29" t="n">
        <v>46093</v>
      </c>
      <c r="D697" s="30" t="s">
        <v>128</v>
      </c>
      <c r="E697" s="28" t="s">
        <v>991</v>
      </c>
      <c r="F697" s="30" t="s">
        <v>992</v>
      </c>
      <c r="G697" s="31" t="n">
        <v>21922</v>
      </c>
      <c r="H697" s="31" t="n">
        <v>4</v>
      </c>
      <c r="I697" s="31" t="n">
        <v>87688</v>
      </c>
      <c r="J697" s="29" t="n">
        <v>46094</v>
      </c>
      <c r="K697" s="31" t="n">
        <v>20829</v>
      </c>
      <c r="L697" s="30" t="s">
        <v>32</v>
      </c>
      <c r="M697" s="10" t="n">
        <v>1</v>
      </c>
      <c r="N697" s="12" t="n">
        <v>-4563</v>
      </c>
      <c r="O697" s="13" t="n">
        <v>-0.0520402409234601</v>
      </c>
      <c r="P697" s="15" t="n">
        <v>-0.0238072429853251</v>
      </c>
      <c r="Q697" s="13" t="n">
        <v>-0.0876703205470328</v>
      </c>
      <c r="R697" s="15" t="n">
        <v>0.220735785953177</v>
      </c>
      <c r="S697" s="32" t="n">
        <v>43777859100</v>
      </c>
      <c r="T697" s="15" t="n">
        <v>0.0631067961165048</v>
      </c>
      <c r="U697" s="32" t="n">
        <v>4785822060.5</v>
      </c>
      <c r="V697" s="14" t="n">
        <v>7.71743679311133</v>
      </c>
      <c r="W697" s="13" t="n">
        <v>0.23728813559322</v>
      </c>
      <c r="X697" s="15" t="n">
        <v>0.00228310502283113</v>
      </c>
      <c r="Y697" s="13" t="n">
        <v>-0.00475940070767111</v>
      </c>
      <c r="Z697" s="13" t="n">
        <v>-0.000116406096097643</v>
      </c>
      <c r="AA697" s="30" t="s">
        <v>96</v>
      </c>
      <c r="AB697" s="28" t="s">
        <v>94</v>
      </c>
      <c r="AC697" s="28" t="s">
        <v>104</v>
      </c>
      <c r="AD697" s="28" t="s">
        <v>107</v>
      </c>
      <c r="AE697" s="28" t="s">
        <v>101</v>
      </c>
      <c r="AF697" s="28" t="s">
        <v>119</v>
      </c>
      <c r="AG697" s="30" t="s">
        <v>122</v>
      </c>
    </row>
    <row r="698" customFormat="false" ht="15" hidden="false" customHeight="false" outlineLevel="0" collapsed="false">
      <c r="A698" s="10" t="n">
        <v>2026</v>
      </c>
      <c r="B698" s="28" t="s">
        <v>77</v>
      </c>
      <c r="C698" s="29" t="n">
        <v>46094</v>
      </c>
      <c r="D698" s="30" t="s">
        <v>129</v>
      </c>
      <c r="E698" s="28" t="s">
        <v>731</v>
      </c>
      <c r="F698" s="28" t="s">
        <v>732</v>
      </c>
      <c r="G698" s="31" t="n">
        <v>26927</v>
      </c>
      <c r="H698" s="31" t="n">
        <v>3</v>
      </c>
      <c r="I698" s="31" t="n">
        <v>80781</v>
      </c>
      <c r="J698" s="29" t="n">
        <v>46107</v>
      </c>
      <c r="K698" s="31" t="n">
        <v>25624</v>
      </c>
      <c r="L698" s="30" t="s">
        <v>32</v>
      </c>
      <c r="M698" s="10" t="n">
        <v>9</v>
      </c>
      <c r="N698" s="12" t="n">
        <v>-4085</v>
      </c>
      <c r="O698" s="13" t="n">
        <v>-0.0505695563729953</v>
      </c>
      <c r="P698" s="15" t="n">
        <v>0.0881311996553633</v>
      </c>
      <c r="Q698" s="13" t="n">
        <v>-0.0622760139488763</v>
      </c>
      <c r="R698" s="15" t="n">
        <v>0.0386100386100385</v>
      </c>
      <c r="S698" s="32" t="n">
        <v>182628942000</v>
      </c>
      <c r="T698" s="15" t="n">
        <v>0.00186219739292359</v>
      </c>
      <c r="U698" s="32" t="n">
        <v>45690460271.5</v>
      </c>
      <c r="V698" s="14" t="n">
        <v>3.65219433150249</v>
      </c>
      <c r="W698" s="13" t="n">
        <v>0.0306513409961686</v>
      </c>
      <c r="X698" s="15" t="n">
        <v>0.0520446096654275</v>
      </c>
      <c r="Y698" s="13" t="n">
        <v>-0.0171960775533964</v>
      </c>
      <c r="Z698" s="13" t="n">
        <v>-0.0174811589168593</v>
      </c>
      <c r="AA698" s="30" t="s">
        <v>96</v>
      </c>
      <c r="AB698" s="28" t="s">
        <v>94</v>
      </c>
      <c r="AC698" s="28" t="s">
        <v>100</v>
      </c>
      <c r="AD698" s="28" t="s">
        <v>109</v>
      </c>
      <c r="AE698" s="28" t="s">
        <v>112</v>
      </c>
      <c r="AF698" s="28" t="s">
        <v>118</v>
      </c>
      <c r="AG698" s="30" t="s">
        <v>122</v>
      </c>
    </row>
    <row r="699" customFormat="false" ht="15" hidden="false" customHeight="false" outlineLevel="0" collapsed="false">
      <c r="A699" s="10" t="n">
        <v>2026</v>
      </c>
      <c r="B699" s="28" t="s">
        <v>77</v>
      </c>
      <c r="C699" s="29" t="n">
        <v>46094</v>
      </c>
      <c r="D699" s="30" t="s">
        <v>129</v>
      </c>
      <c r="E699" s="28" t="s">
        <v>993</v>
      </c>
      <c r="F699" s="30" t="s">
        <v>994</v>
      </c>
      <c r="G699" s="31" t="n">
        <v>3426</v>
      </c>
      <c r="H699" s="31" t="n">
        <v>29</v>
      </c>
      <c r="I699" s="31" t="n">
        <v>99354</v>
      </c>
      <c r="J699" s="29" t="n">
        <v>46097</v>
      </c>
      <c r="K699" s="31" t="n">
        <v>4115</v>
      </c>
      <c r="L699" s="30" t="s">
        <v>31</v>
      </c>
      <c r="M699" s="10" t="n">
        <v>1</v>
      </c>
      <c r="N699" s="12" t="n">
        <v>19710</v>
      </c>
      <c r="O699" s="13" t="n">
        <v>0.198378564210428</v>
      </c>
      <c r="P699" s="15" t="n">
        <v>0.297882445423429</v>
      </c>
      <c r="Q699" s="13" t="n">
        <v>0.0126485536321603</v>
      </c>
      <c r="R699" s="15" t="n">
        <v>0.0717423133235726</v>
      </c>
      <c r="S699" s="32" t="n">
        <v>93980967600</v>
      </c>
      <c r="T699" s="15" t="n">
        <v>0.0223463687150838</v>
      </c>
      <c r="U699" s="32" t="n">
        <v>26917265686.25</v>
      </c>
      <c r="V699" s="14" t="n">
        <v>2.76767222864788</v>
      </c>
      <c r="W699" s="13" t="n">
        <v>0.0748898678414098</v>
      </c>
      <c r="X699" s="15" t="n">
        <v>0.0874316939890709</v>
      </c>
      <c r="Y699" s="13" t="n">
        <v>-0.0171960775533964</v>
      </c>
      <c r="Z699" s="13" t="n">
        <v>-0.0174811589168593</v>
      </c>
      <c r="AA699" s="30" t="s">
        <v>96</v>
      </c>
      <c r="AB699" s="28" t="s">
        <v>94</v>
      </c>
      <c r="AC699" s="28" t="s">
        <v>101</v>
      </c>
      <c r="AD699" s="28" t="s">
        <v>108</v>
      </c>
      <c r="AE699" s="28" t="s">
        <v>113</v>
      </c>
      <c r="AF699" s="28" t="s">
        <v>117</v>
      </c>
      <c r="AG699" s="30" t="s">
        <v>122</v>
      </c>
    </row>
    <row r="700" customFormat="false" ht="15" hidden="false" customHeight="false" outlineLevel="0" collapsed="false">
      <c r="A700" s="10" t="n">
        <v>2026</v>
      </c>
      <c r="B700" s="28" t="s">
        <v>77</v>
      </c>
      <c r="C700" s="29" t="n">
        <v>46094</v>
      </c>
      <c r="D700" s="30" t="s">
        <v>129</v>
      </c>
      <c r="E700" s="28" t="s">
        <v>995</v>
      </c>
      <c r="F700" s="30" t="s">
        <v>996</v>
      </c>
      <c r="G700" s="31" t="n">
        <v>9009</v>
      </c>
      <c r="H700" s="31" t="n">
        <v>11</v>
      </c>
      <c r="I700" s="31" t="n">
        <v>99099</v>
      </c>
      <c r="J700" s="29" t="n">
        <v>46097</v>
      </c>
      <c r="K700" s="31" t="n">
        <v>8571</v>
      </c>
      <c r="L700" s="30" t="s">
        <v>32</v>
      </c>
      <c r="M700" s="10" t="n">
        <v>1</v>
      </c>
      <c r="N700" s="12" t="n">
        <v>-5031</v>
      </c>
      <c r="O700" s="13" t="n">
        <v>-0.050767</v>
      </c>
      <c r="P700" s="15" t="n">
        <v>0.0101010101010104</v>
      </c>
      <c r="Q700" s="13" t="n">
        <v>-0.0631590631590629</v>
      </c>
      <c r="R700" s="15" t="n">
        <v>0.269393511988717</v>
      </c>
      <c r="S700" s="32" t="n">
        <v>43262973000</v>
      </c>
      <c r="T700" s="15" t="n">
        <v>0.0962241169305724</v>
      </c>
      <c r="U700" s="32" t="n">
        <v>4823216885.5</v>
      </c>
      <c r="V700" s="14" t="n">
        <v>7.56722587876374</v>
      </c>
      <c r="W700" s="13" t="n">
        <v>0.30246020260492</v>
      </c>
      <c r="X700" s="15" t="n">
        <v>0.0233333333333334</v>
      </c>
      <c r="Y700" s="13" t="n">
        <v>-0.0171960775533964</v>
      </c>
      <c r="Z700" s="13" t="n">
        <v>-0.0174811589168593</v>
      </c>
      <c r="AA700" s="30" t="s">
        <v>96</v>
      </c>
      <c r="AB700" s="28" t="s">
        <v>94</v>
      </c>
      <c r="AC700" s="28" t="s">
        <v>104</v>
      </c>
      <c r="AD700" s="28" t="s">
        <v>107</v>
      </c>
      <c r="AE700" s="28" t="s">
        <v>101</v>
      </c>
      <c r="AF700" s="28" t="s">
        <v>119</v>
      </c>
      <c r="AG700" s="30" t="s">
        <v>122</v>
      </c>
    </row>
    <row r="701" customFormat="false" ht="15" hidden="false" customHeight="false" outlineLevel="0" collapsed="false">
      <c r="A701" s="10" t="n">
        <v>2026</v>
      </c>
      <c r="B701" s="28" t="s">
        <v>77</v>
      </c>
      <c r="C701" s="29" t="n">
        <v>46094</v>
      </c>
      <c r="D701" s="30" t="s">
        <v>129</v>
      </c>
      <c r="E701" s="28" t="s">
        <v>345</v>
      </c>
      <c r="F701" s="30" t="s">
        <v>346</v>
      </c>
      <c r="G701" s="31" t="n">
        <v>28879</v>
      </c>
      <c r="H701" s="31" t="n">
        <v>3</v>
      </c>
      <c r="I701" s="31" t="n">
        <v>86637</v>
      </c>
      <c r="J701" s="29" t="n">
        <v>46097</v>
      </c>
      <c r="K701" s="31" t="n">
        <v>27472</v>
      </c>
      <c r="L701" s="30" t="s">
        <v>32</v>
      </c>
      <c r="M701" s="10" t="n">
        <v>1</v>
      </c>
      <c r="N701" s="12" t="n">
        <v>-4409</v>
      </c>
      <c r="O701" s="13" t="n">
        <v>-0.05089356752433</v>
      </c>
      <c r="P701" s="15" t="n">
        <v>0.0180460787046577</v>
      </c>
      <c r="Q701" s="13" t="n">
        <v>-0.0494773856992228</v>
      </c>
      <c r="R701" s="15" t="n">
        <v>0.131372549019608</v>
      </c>
      <c r="S701" s="32" t="n">
        <v>23729615450</v>
      </c>
      <c r="T701" s="15" t="n">
        <v>0.0990476190476191</v>
      </c>
      <c r="U701" s="32" t="n">
        <v>6620308175</v>
      </c>
      <c r="V701" s="14" t="n">
        <v>3.02364052028334</v>
      </c>
      <c r="W701" s="13" t="n">
        <v>0.140316205533597</v>
      </c>
      <c r="X701" s="15" t="n">
        <v>0.0381282495667243</v>
      </c>
      <c r="Y701" s="13" t="n">
        <v>-0.0171960775533964</v>
      </c>
      <c r="Z701" s="13" t="n">
        <v>-0.0174811589168593</v>
      </c>
      <c r="AA701" s="30" t="s">
        <v>96</v>
      </c>
      <c r="AB701" s="28" t="s">
        <v>94</v>
      </c>
      <c r="AC701" s="28" t="s">
        <v>102</v>
      </c>
      <c r="AD701" s="28" t="s">
        <v>106</v>
      </c>
      <c r="AE701" s="28" t="s">
        <v>101</v>
      </c>
      <c r="AF701" s="28" t="s">
        <v>118</v>
      </c>
      <c r="AG701" s="30" t="s">
        <v>122</v>
      </c>
    </row>
    <row r="702" customFormat="false" ht="15" hidden="false" customHeight="false" outlineLevel="0" collapsed="false">
      <c r="A702" s="10" t="n">
        <v>2026</v>
      </c>
      <c r="B702" s="28" t="s">
        <v>77</v>
      </c>
      <c r="C702" s="29" t="n">
        <v>46097</v>
      </c>
      <c r="D702" s="30" t="s">
        <v>125</v>
      </c>
      <c r="E702" s="28" t="s">
        <v>997</v>
      </c>
      <c r="F702" s="30" t="s">
        <v>998</v>
      </c>
      <c r="G702" s="31" t="n">
        <v>6727</v>
      </c>
      <c r="H702" s="31" t="n">
        <v>14</v>
      </c>
      <c r="I702" s="31" t="n">
        <v>94174</v>
      </c>
      <c r="J702" s="29" t="n">
        <v>46098</v>
      </c>
      <c r="K702" s="31" t="n">
        <v>6404</v>
      </c>
      <c r="L702" s="30" t="s">
        <v>32</v>
      </c>
      <c r="M702" s="10" t="n">
        <v>1</v>
      </c>
      <c r="N702" s="12" t="n">
        <v>-4731</v>
      </c>
      <c r="O702" s="13" t="n">
        <v>-0.050233505556943</v>
      </c>
      <c r="P702" s="15" t="n">
        <v>0.0079206507777938</v>
      </c>
      <c r="Q702" s="13" t="n">
        <v>-0.0634365634365633</v>
      </c>
      <c r="R702" s="15" t="n">
        <v>0.0632911392405062</v>
      </c>
      <c r="S702" s="32" t="n">
        <v>35885217984</v>
      </c>
      <c r="T702" s="15" t="n">
        <v>0.032258064516129</v>
      </c>
      <c r="U702" s="32" t="n">
        <v>3359263413.25</v>
      </c>
      <c r="V702" s="14" t="n">
        <v>9.72991243800305</v>
      </c>
      <c r="W702" s="13" t="n">
        <v>-0.0211216314639475</v>
      </c>
      <c r="X702" s="15" t="n">
        <v>0.09375</v>
      </c>
      <c r="Y702" s="13" t="n">
        <v>0.0114101078137645</v>
      </c>
      <c r="Z702" s="13" t="n">
        <v>0.0567378857435543</v>
      </c>
      <c r="AA702" s="30" t="s">
        <v>96</v>
      </c>
      <c r="AB702" s="28" t="s">
        <v>93</v>
      </c>
      <c r="AC702" s="28" t="s">
        <v>101</v>
      </c>
      <c r="AD702" s="28" t="s">
        <v>107</v>
      </c>
      <c r="AE702" s="28" t="s">
        <v>113</v>
      </c>
      <c r="AF702" s="28" t="s">
        <v>119</v>
      </c>
      <c r="AG702" s="30" t="s">
        <v>123</v>
      </c>
    </row>
    <row r="703" customFormat="false" ht="15" hidden="false" customHeight="false" outlineLevel="0" collapsed="false">
      <c r="A703" s="10" t="n">
        <v>2026</v>
      </c>
      <c r="B703" s="28" t="s">
        <v>77</v>
      </c>
      <c r="C703" s="29" t="n">
        <v>46097</v>
      </c>
      <c r="D703" s="30" t="s">
        <v>125</v>
      </c>
      <c r="E703" s="28" t="s">
        <v>999</v>
      </c>
      <c r="F703" s="30" t="s">
        <v>1000</v>
      </c>
      <c r="G703" s="31" t="n">
        <v>56554</v>
      </c>
      <c r="H703" s="31" t="n">
        <v>1</v>
      </c>
      <c r="I703" s="31" t="n">
        <v>56554</v>
      </c>
      <c r="J703" s="29" t="n">
        <v>46105</v>
      </c>
      <c r="K703" s="31" t="n">
        <v>53746</v>
      </c>
      <c r="L703" s="30" t="s">
        <v>32</v>
      </c>
      <c r="M703" s="10" t="n">
        <v>6</v>
      </c>
      <c r="N703" s="12" t="n">
        <v>-2932</v>
      </c>
      <c r="O703" s="13" t="n">
        <v>-0.0518420038713487</v>
      </c>
      <c r="P703" s="15" t="n">
        <v>0.135818136998775</v>
      </c>
      <c r="Q703" s="13" t="n">
        <v>-0.078757192253234</v>
      </c>
      <c r="R703" s="15" t="n">
        <v>0.0547945205479452</v>
      </c>
      <c r="S703" s="32" t="n">
        <v>23642480400</v>
      </c>
      <c r="T703" s="15" t="n">
        <v>0.0174174174174173</v>
      </c>
      <c r="U703" s="32" t="n">
        <v>14098213615</v>
      </c>
      <c r="V703" s="14" t="n">
        <v>1.41700002030581</v>
      </c>
      <c r="W703" s="13" t="n">
        <v>0.0297872340425531</v>
      </c>
      <c r="X703" s="15" t="n">
        <v>0.0200708382526564</v>
      </c>
      <c r="Y703" s="13" t="n">
        <v>0.0114101078137645</v>
      </c>
      <c r="Z703" s="13" t="n">
        <v>0.0567378857435543</v>
      </c>
      <c r="AA703" s="30" t="s">
        <v>96</v>
      </c>
      <c r="AB703" s="28" t="s">
        <v>93</v>
      </c>
      <c r="AC703" s="28" t="s">
        <v>101</v>
      </c>
      <c r="AD703" s="28" t="s">
        <v>106</v>
      </c>
      <c r="AE703" s="28" t="s">
        <v>112</v>
      </c>
      <c r="AF703" s="28" t="s">
        <v>116</v>
      </c>
      <c r="AG703" s="30" t="s">
        <v>122</v>
      </c>
    </row>
    <row r="704" customFormat="false" ht="15" hidden="false" customHeight="false" outlineLevel="0" collapsed="false">
      <c r="A704" s="10" t="n">
        <v>2026</v>
      </c>
      <c r="B704" s="28" t="s">
        <v>77</v>
      </c>
      <c r="C704" s="29" t="n">
        <v>46098</v>
      </c>
      <c r="D704" s="30" t="s">
        <v>126</v>
      </c>
      <c r="E704" s="28" t="s">
        <v>1001</v>
      </c>
      <c r="F704" s="28" t="s">
        <v>1002</v>
      </c>
      <c r="G704" s="31" t="n">
        <v>11011</v>
      </c>
      <c r="H704" s="31" t="n">
        <v>9</v>
      </c>
      <c r="I704" s="31" t="n">
        <v>99099</v>
      </c>
      <c r="J704" s="29" t="n">
        <v>46100</v>
      </c>
      <c r="K704" s="31" t="n">
        <v>10480</v>
      </c>
      <c r="L704" s="30" t="s">
        <v>32</v>
      </c>
      <c r="M704" s="10" t="n">
        <v>2</v>
      </c>
      <c r="N704" s="12" t="n">
        <v>-5001</v>
      </c>
      <c r="O704" s="13" t="n">
        <v>-0.0504652253655435</v>
      </c>
      <c r="P704" s="15" t="n">
        <v>0.0707474343837982</v>
      </c>
      <c r="Q704" s="13" t="n">
        <v>-0.0554899645808735</v>
      </c>
      <c r="R704" s="15" t="n">
        <v>0.187904967602592</v>
      </c>
      <c r="S704" s="32" t="n">
        <v>319075218000</v>
      </c>
      <c r="T704" s="15" t="n">
        <v>0.0367577756833177</v>
      </c>
      <c r="U704" s="32" t="n">
        <v>43204546983.5</v>
      </c>
      <c r="V704" s="14" t="n">
        <v>6.68951851733041</v>
      </c>
      <c r="W704" s="13" t="n">
        <v>0.170212765957447</v>
      </c>
      <c r="X704" s="15" t="n">
        <v>0.0936363636363637</v>
      </c>
      <c r="Y704" s="13" t="n">
        <v>0.0163301710857049</v>
      </c>
      <c r="Z704" s="13" t="n">
        <v>0.019500812458541</v>
      </c>
      <c r="AA704" s="30" t="s">
        <v>96</v>
      </c>
      <c r="AB704" s="28" t="s">
        <v>93</v>
      </c>
      <c r="AC704" s="28" t="s">
        <v>103</v>
      </c>
      <c r="AD704" s="28" t="s">
        <v>110</v>
      </c>
      <c r="AE704" s="28" t="s">
        <v>113</v>
      </c>
      <c r="AF704" s="28" t="s">
        <v>119</v>
      </c>
      <c r="AG704" s="30" t="s">
        <v>122</v>
      </c>
    </row>
    <row r="705" customFormat="false" ht="15" hidden="false" customHeight="false" outlineLevel="0" collapsed="false">
      <c r="A705" s="10" t="n">
        <v>2026</v>
      </c>
      <c r="B705" s="28" t="s">
        <v>77</v>
      </c>
      <c r="C705" s="29" t="n">
        <v>46098</v>
      </c>
      <c r="D705" s="30" t="s">
        <v>126</v>
      </c>
      <c r="E705" s="28" t="s">
        <v>1003</v>
      </c>
      <c r="F705" s="30" t="s">
        <v>1004</v>
      </c>
      <c r="G705" s="31" t="n">
        <v>10280</v>
      </c>
      <c r="H705" s="31" t="n">
        <v>9</v>
      </c>
      <c r="I705" s="31" t="n">
        <v>92522</v>
      </c>
      <c r="J705" s="29" t="n">
        <v>46108</v>
      </c>
      <c r="K705" s="31" t="n">
        <v>9780</v>
      </c>
      <c r="L705" s="30" t="s">
        <v>32</v>
      </c>
      <c r="M705" s="10" t="n">
        <v>8</v>
      </c>
      <c r="N705" s="12" t="n">
        <v>-4704</v>
      </c>
      <c r="O705" s="13" t="n">
        <v>-0.0508381095049061</v>
      </c>
      <c r="P705" s="15" t="n">
        <v>0.190630207183275</v>
      </c>
      <c r="Q705" s="13" t="n">
        <v>-0.0622814381334341</v>
      </c>
      <c r="R705" s="15" t="n">
        <v>0.0576725025746654</v>
      </c>
      <c r="S705" s="32" t="n">
        <v>54486252600</v>
      </c>
      <c r="T705" s="15" t="n">
        <v>0.0128205128205128</v>
      </c>
      <c r="U705" s="32" t="n">
        <v>4931163238</v>
      </c>
      <c r="V705" s="14" t="n">
        <v>10.2389608073706</v>
      </c>
      <c r="W705" s="13" t="n">
        <v>0.0436991869918699</v>
      </c>
      <c r="X705" s="15" t="n">
        <v>0.110029211295034</v>
      </c>
      <c r="Y705" s="13" t="n">
        <v>0.0163301710857049</v>
      </c>
      <c r="Z705" s="13" t="n">
        <v>0.019500812458541</v>
      </c>
      <c r="AA705" s="30" t="s">
        <v>96</v>
      </c>
      <c r="AB705" s="28" t="s">
        <v>93</v>
      </c>
      <c r="AC705" s="28" t="s">
        <v>101</v>
      </c>
      <c r="AD705" s="28" t="s">
        <v>108</v>
      </c>
      <c r="AE705" s="28" t="s">
        <v>112</v>
      </c>
      <c r="AF705" s="28" t="s">
        <v>120</v>
      </c>
      <c r="AG705" s="30" t="s">
        <v>122</v>
      </c>
    </row>
    <row r="706" customFormat="false" ht="15" hidden="false" customHeight="false" outlineLevel="0" collapsed="false">
      <c r="A706" s="10" t="n">
        <v>2026</v>
      </c>
      <c r="B706" s="28" t="s">
        <v>77</v>
      </c>
      <c r="C706" s="29" t="n">
        <v>46098</v>
      </c>
      <c r="D706" s="30" t="s">
        <v>126</v>
      </c>
      <c r="E706" s="28" t="s">
        <v>1005</v>
      </c>
      <c r="F706" s="30" t="s">
        <v>1006</v>
      </c>
      <c r="G706" s="31" t="n">
        <v>23904</v>
      </c>
      <c r="H706" s="31" t="n">
        <v>4</v>
      </c>
      <c r="I706" s="31" t="n">
        <v>95615</v>
      </c>
      <c r="J706" s="29" t="n">
        <v>46104</v>
      </c>
      <c r="K706" s="31" t="n">
        <v>22727</v>
      </c>
      <c r="L706" s="30" t="s">
        <v>32</v>
      </c>
      <c r="M706" s="10" t="n">
        <v>4</v>
      </c>
      <c r="N706" s="12" t="n">
        <v>-4916</v>
      </c>
      <c r="O706" s="13" t="n">
        <v>-0.0514112450650714</v>
      </c>
      <c r="P706" s="15" t="n">
        <v>0.0553549015087478</v>
      </c>
      <c r="Q706" s="13" t="n">
        <v>-0.048814433429818</v>
      </c>
      <c r="R706" s="15" t="n">
        <v>0.0493273542600896</v>
      </c>
      <c r="S706" s="32" t="n">
        <v>26876187000</v>
      </c>
      <c r="T706" s="15" t="n">
        <v>0.0245183887915936</v>
      </c>
      <c r="U706" s="32" t="n">
        <v>13564273305</v>
      </c>
      <c r="V706" s="14" t="n">
        <v>1.81201107821723</v>
      </c>
      <c r="W706" s="13" t="n">
        <v>0.0227272727272727</v>
      </c>
      <c r="X706" s="15" t="n">
        <v>0.0452991452991454</v>
      </c>
      <c r="Y706" s="13" t="n">
        <v>0.0163301710857049</v>
      </c>
      <c r="Z706" s="13" t="n">
        <v>0.019500812458541</v>
      </c>
      <c r="AA706" s="30" t="s">
        <v>96</v>
      </c>
      <c r="AB706" s="28" t="s">
        <v>93</v>
      </c>
      <c r="AC706" s="28" t="s">
        <v>100</v>
      </c>
      <c r="AD706" s="28" t="s">
        <v>106</v>
      </c>
      <c r="AE706" s="28" t="s">
        <v>113</v>
      </c>
      <c r="AF706" s="28" t="s">
        <v>116</v>
      </c>
      <c r="AG706" s="30" t="s">
        <v>122</v>
      </c>
    </row>
    <row r="707" customFormat="false" ht="15" hidden="false" customHeight="false" outlineLevel="0" collapsed="false">
      <c r="A707" s="10" t="n">
        <v>2026</v>
      </c>
      <c r="B707" s="28" t="s">
        <v>77</v>
      </c>
      <c r="C707" s="29" t="n">
        <v>46099</v>
      </c>
      <c r="D707" s="30" t="s">
        <v>127</v>
      </c>
      <c r="E707" s="28" t="s">
        <v>923</v>
      </c>
      <c r="F707" s="30" t="s">
        <v>924</v>
      </c>
      <c r="G707" s="31" t="n">
        <v>24074</v>
      </c>
      <c r="H707" s="31" t="n">
        <v>4</v>
      </c>
      <c r="I707" s="31" t="n">
        <v>96296</v>
      </c>
      <c r="J707" s="29" t="n">
        <v>46100</v>
      </c>
      <c r="K707" s="31" t="n">
        <v>22877</v>
      </c>
      <c r="L707" s="30" t="s">
        <v>32</v>
      </c>
      <c r="M707" s="10" t="n">
        <v>1</v>
      </c>
      <c r="N707" s="12" t="n">
        <v>-4999</v>
      </c>
      <c r="O707" s="13" t="n">
        <v>-0.051912614308768</v>
      </c>
      <c r="P707" s="15" t="n">
        <v>-0.011383626768242</v>
      </c>
      <c r="Q707" s="13" t="n">
        <v>-0.0570759801529031</v>
      </c>
      <c r="R707" s="15" t="n">
        <v>0.0525164113785559</v>
      </c>
      <c r="S707" s="32" t="n">
        <v>118526745350</v>
      </c>
      <c r="T707" s="15" t="n">
        <v>0.00838574423480076</v>
      </c>
      <c r="U707" s="32" t="n">
        <v>61634994025</v>
      </c>
      <c r="V707" s="14" t="n">
        <v>1.79095248924505</v>
      </c>
      <c r="W707" s="13" t="n">
        <v>0.0190677966101696</v>
      </c>
      <c r="X707" s="15" t="n">
        <v>0.0644490644490645</v>
      </c>
      <c r="Y707" s="13" t="n">
        <v>0.0504478342268744</v>
      </c>
      <c r="Z707" s="13" t="n">
        <v>0.056164493444683</v>
      </c>
      <c r="AA707" s="30" t="s">
        <v>97</v>
      </c>
      <c r="AB707" s="28" t="s">
        <v>93</v>
      </c>
      <c r="AC707" s="28" t="s">
        <v>101</v>
      </c>
      <c r="AD707" s="28" t="s">
        <v>109</v>
      </c>
      <c r="AE707" s="28" t="s">
        <v>112</v>
      </c>
      <c r="AF707" s="28" t="s">
        <v>116</v>
      </c>
      <c r="AG707" s="30" t="s">
        <v>122</v>
      </c>
    </row>
    <row r="708" customFormat="false" ht="15" hidden="false" customHeight="false" outlineLevel="0" collapsed="false">
      <c r="A708" s="10" t="n">
        <v>2026</v>
      </c>
      <c r="B708" s="28" t="s">
        <v>77</v>
      </c>
      <c r="C708" s="29" t="n">
        <v>46099</v>
      </c>
      <c r="D708" s="30" t="s">
        <v>127</v>
      </c>
      <c r="E708" s="28" t="s">
        <v>1007</v>
      </c>
      <c r="F708" s="30" t="s">
        <v>1008</v>
      </c>
      <c r="G708" s="31" t="n">
        <v>29179</v>
      </c>
      <c r="H708" s="31" t="n">
        <v>3</v>
      </c>
      <c r="I708" s="31" t="n">
        <v>87537</v>
      </c>
      <c r="J708" s="29" t="n">
        <v>46108</v>
      </c>
      <c r="K708" s="31" t="n">
        <v>26923</v>
      </c>
      <c r="L708" s="30" t="s">
        <v>32</v>
      </c>
      <c r="M708" s="10" t="n">
        <v>7</v>
      </c>
      <c r="N708" s="12" t="n">
        <v>-6955</v>
      </c>
      <c r="O708" s="13" t="n">
        <v>-0.0794526718564456</v>
      </c>
      <c r="P708" s="15" t="n">
        <v>0.127517422543152</v>
      </c>
      <c r="Q708" s="13" t="n">
        <v>-0.0918172736354553</v>
      </c>
      <c r="R708" s="15" t="n">
        <v>0.147637795275591</v>
      </c>
      <c r="S708" s="32" t="n">
        <v>71541445800</v>
      </c>
      <c r="T708" s="15" t="n">
        <v>0.0121527777777777</v>
      </c>
      <c r="U708" s="32" t="n">
        <v>14644427385</v>
      </c>
      <c r="V708" s="14" t="n">
        <v>4.39747438160819</v>
      </c>
      <c r="W708" s="13" t="n">
        <v>0.11047619047619</v>
      </c>
      <c r="X708" s="15" t="n">
        <v>0.0205831903945111</v>
      </c>
      <c r="Y708" s="13" t="n">
        <v>0.0504478342268744</v>
      </c>
      <c r="Z708" s="13" t="n">
        <v>0.056164493444683</v>
      </c>
      <c r="AA708" s="30" t="s">
        <v>97</v>
      </c>
      <c r="AB708" s="28" t="s">
        <v>93</v>
      </c>
      <c r="AC708" s="28" t="s">
        <v>102</v>
      </c>
      <c r="AD708" s="28" t="s">
        <v>108</v>
      </c>
      <c r="AE708" s="28" t="s">
        <v>112</v>
      </c>
      <c r="AF708" s="28" t="s">
        <v>118</v>
      </c>
      <c r="AG708" s="30" t="s">
        <v>122</v>
      </c>
    </row>
    <row r="709" customFormat="false" ht="15" hidden="false" customHeight="false" outlineLevel="0" collapsed="false">
      <c r="A709" s="10" t="n">
        <v>2026</v>
      </c>
      <c r="B709" s="28" t="s">
        <v>77</v>
      </c>
      <c r="C709" s="29" t="n">
        <v>46100</v>
      </c>
      <c r="D709" s="30" t="s">
        <v>128</v>
      </c>
      <c r="E709" s="28" t="s">
        <v>1009</v>
      </c>
      <c r="F709" s="30" t="s">
        <v>1010</v>
      </c>
      <c r="G709" s="31" t="n">
        <v>62162</v>
      </c>
      <c r="H709" s="31" t="n">
        <v>1</v>
      </c>
      <c r="I709" s="31" t="n">
        <v>62162</v>
      </c>
      <c r="J709" s="29" t="n">
        <v>46106</v>
      </c>
      <c r="K709" s="31" t="n">
        <v>74600</v>
      </c>
      <c r="L709" s="30" t="s">
        <v>31</v>
      </c>
      <c r="M709" s="10" t="n">
        <v>4</v>
      </c>
      <c r="N709" s="12" t="n">
        <v>12268</v>
      </c>
      <c r="O709" s="13" t="n">
        <v>0.197357967073185</v>
      </c>
      <c r="P709" s="15" t="n">
        <v>0.319131753914363</v>
      </c>
      <c r="Q709" s="13" t="n">
        <v>-0.0315642489555532</v>
      </c>
      <c r="R709" s="15" t="n">
        <v>0.0315614617940199</v>
      </c>
      <c r="S709" s="32" t="n">
        <v>38219320800</v>
      </c>
      <c r="T709" s="15" t="n">
        <v>0.0281456953642385</v>
      </c>
      <c r="U709" s="32" t="n">
        <v>18581975550</v>
      </c>
      <c r="V709" s="14" t="n">
        <v>1.85587960219003</v>
      </c>
      <c r="W709" s="13" t="n">
        <v>0.072538860103627</v>
      </c>
      <c r="X709" s="15" t="n">
        <v>0.0209339774557167</v>
      </c>
      <c r="Y709" s="13" t="n">
        <v>-0.0273095663650648</v>
      </c>
      <c r="Z709" s="13" t="n">
        <v>0.032233913939014</v>
      </c>
      <c r="AA709" s="30" t="s">
        <v>97</v>
      </c>
      <c r="AB709" s="28" t="s">
        <v>93</v>
      </c>
      <c r="AC709" s="28" t="s">
        <v>100</v>
      </c>
      <c r="AD709" s="28" t="s">
        <v>107</v>
      </c>
      <c r="AE709" s="28" t="s">
        <v>113</v>
      </c>
      <c r="AF709" s="28" t="s">
        <v>116</v>
      </c>
      <c r="AG709" s="30" t="s">
        <v>122</v>
      </c>
    </row>
    <row r="710" customFormat="false" ht="15" hidden="false" customHeight="false" outlineLevel="0" collapsed="false">
      <c r="A710" s="10" t="n">
        <v>2026</v>
      </c>
      <c r="B710" s="28" t="s">
        <v>77</v>
      </c>
      <c r="C710" s="29" t="n">
        <v>46100</v>
      </c>
      <c r="D710" s="30" t="s">
        <v>128</v>
      </c>
      <c r="E710" s="28" t="s">
        <v>1011</v>
      </c>
      <c r="F710" s="30" t="s">
        <v>1012</v>
      </c>
      <c r="G710" s="31" t="n">
        <v>1451</v>
      </c>
      <c r="H710" s="31" t="n">
        <v>68</v>
      </c>
      <c r="I710" s="31" t="n">
        <v>98699</v>
      </c>
      <c r="J710" s="29" t="n">
        <v>46105</v>
      </c>
      <c r="K710" s="31" t="n">
        <v>1742</v>
      </c>
      <c r="L710" s="30" t="s">
        <v>31</v>
      </c>
      <c r="M710" s="10" t="n">
        <v>3</v>
      </c>
      <c r="N710" s="12" t="n">
        <v>19488</v>
      </c>
      <c r="O710" s="13" t="n">
        <v>0.197448746081505</v>
      </c>
      <c r="P710" s="15" t="n">
        <v>0.32970477798064</v>
      </c>
      <c r="Q710" s="13" t="n">
        <v>-0.0209790209790208</v>
      </c>
      <c r="R710" s="15" t="n">
        <v>0.137254901960784</v>
      </c>
      <c r="S710" s="32" t="n">
        <v>33212267400</v>
      </c>
      <c r="T710" s="15" t="n">
        <v>0.00485100485100487</v>
      </c>
      <c r="U710" s="32" t="n">
        <v>10585028045.5</v>
      </c>
      <c r="V710" s="14" t="n">
        <v>2.80236238597156</v>
      </c>
      <c r="W710" s="13" t="n">
        <v>0.173139158576052</v>
      </c>
      <c r="X710" s="15" t="n">
        <v>0.096551724137931</v>
      </c>
      <c r="Y710" s="13" t="n">
        <v>-0.0273095663650648</v>
      </c>
      <c r="Z710" s="13" t="n">
        <v>0.032233913939014</v>
      </c>
      <c r="AA710" s="30" t="s">
        <v>97</v>
      </c>
      <c r="AB710" s="28" t="s">
        <v>93</v>
      </c>
      <c r="AC710" s="28" t="s">
        <v>102</v>
      </c>
      <c r="AD710" s="28" t="s">
        <v>107</v>
      </c>
      <c r="AE710" s="28" t="s">
        <v>112</v>
      </c>
      <c r="AF710" s="28" t="s">
        <v>117</v>
      </c>
      <c r="AG710" s="30" t="s">
        <v>122</v>
      </c>
    </row>
    <row r="711" customFormat="false" ht="15" hidden="false" customHeight="false" outlineLevel="0" collapsed="false">
      <c r="A711" s="10" t="n">
        <v>2026</v>
      </c>
      <c r="B711" s="28" t="s">
        <v>77</v>
      </c>
      <c r="C711" s="29" t="n">
        <v>46105</v>
      </c>
      <c r="D711" s="30" t="s">
        <v>126</v>
      </c>
      <c r="E711" s="28" t="s">
        <v>951</v>
      </c>
      <c r="F711" s="30" t="s">
        <v>952</v>
      </c>
      <c r="G711" s="31" t="n">
        <v>22422</v>
      </c>
      <c r="H711" s="31" t="n">
        <v>4</v>
      </c>
      <c r="I711" s="31" t="n">
        <v>89690</v>
      </c>
      <c r="J711" s="29" t="n">
        <v>46106</v>
      </c>
      <c r="K711" s="31" t="n">
        <v>21329</v>
      </c>
      <c r="L711" s="30" t="s">
        <v>32</v>
      </c>
      <c r="M711" s="10" t="n">
        <v>1</v>
      </c>
      <c r="N711" s="12" t="n">
        <v>-4572</v>
      </c>
      <c r="O711" s="13" t="n">
        <v>-0.0509744700611887</v>
      </c>
      <c r="P711" s="15" t="n">
        <v>-0.00545882688739818</v>
      </c>
      <c r="Q711" s="13" t="n">
        <v>-0.0612066504923647</v>
      </c>
      <c r="R711" s="15" t="n">
        <v>0.129601613716591</v>
      </c>
      <c r="S711" s="32" t="n">
        <v>80828339200</v>
      </c>
      <c r="T711" s="15" t="n">
        <v>0.129601613716591</v>
      </c>
      <c r="U711" s="32" t="n">
        <v>9420697252.5</v>
      </c>
      <c r="V711" s="14" t="n">
        <v>7.25716511230792</v>
      </c>
      <c r="W711" s="13" t="n">
        <v>-0.00884955752212391</v>
      </c>
      <c r="X711" s="15" t="n">
        <v>0.0245535714285714</v>
      </c>
      <c r="Y711" s="13" t="n">
        <v>0.0274097026314573</v>
      </c>
      <c r="Z711" s="13" t="n">
        <v>-0.0153462116699287</v>
      </c>
      <c r="AA711" s="30" t="s">
        <v>96</v>
      </c>
      <c r="AB711" s="28" t="s">
        <v>94</v>
      </c>
      <c r="AC711" s="28" t="s">
        <v>102</v>
      </c>
      <c r="AD711" s="28" t="s">
        <v>108</v>
      </c>
      <c r="AE711" s="28" t="s">
        <v>114</v>
      </c>
      <c r="AF711" s="28" t="s">
        <v>119</v>
      </c>
      <c r="AG711" s="30" t="s">
        <v>123</v>
      </c>
    </row>
    <row r="712" customFormat="false" ht="15" hidden="false" customHeight="false" outlineLevel="0" collapsed="false">
      <c r="A712" s="10" t="n">
        <v>2026</v>
      </c>
      <c r="B712" s="28" t="s">
        <v>77</v>
      </c>
      <c r="C712" s="29" t="n">
        <v>46105</v>
      </c>
      <c r="D712" s="30" t="s">
        <v>126</v>
      </c>
      <c r="E712" s="28" t="s">
        <v>193</v>
      </c>
      <c r="F712" s="30" t="s">
        <v>194</v>
      </c>
      <c r="G712" s="31" t="n">
        <v>13173</v>
      </c>
      <c r="H712" s="31" t="n">
        <v>7</v>
      </c>
      <c r="I712" s="31" t="n">
        <v>92212</v>
      </c>
      <c r="J712" s="29" t="n">
        <v>46107</v>
      </c>
      <c r="K712" s="31" t="n">
        <v>15810</v>
      </c>
      <c r="L712" s="30" t="s">
        <v>31</v>
      </c>
      <c r="M712" s="10" t="n">
        <v>2</v>
      </c>
      <c r="N712" s="12" t="n">
        <v>18206</v>
      </c>
      <c r="O712" s="13" t="n">
        <v>0.19743725317236</v>
      </c>
      <c r="P712" s="15" t="n">
        <v>0.334531729668508</v>
      </c>
      <c r="Q712" s="13" t="n">
        <v>-0.0222543414032774</v>
      </c>
      <c r="R712" s="15" t="n">
        <v>0.228758169934641</v>
      </c>
      <c r="S712" s="32" t="n">
        <v>72205551040</v>
      </c>
      <c r="T712" s="15" t="n">
        <v>0.0578778135048232</v>
      </c>
      <c r="U712" s="32" t="n">
        <v>5778763962</v>
      </c>
      <c r="V712" s="14" t="n">
        <v>10.2768761184374</v>
      </c>
      <c r="W712" s="13" t="n">
        <v>0.105882352941177</v>
      </c>
      <c r="X712" s="15" t="n">
        <v>0.0144376899696048</v>
      </c>
      <c r="Y712" s="13" t="n">
        <v>0.0274097026314573</v>
      </c>
      <c r="Z712" s="13" t="n">
        <v>-0.0153462116699287</v>
      </c>
      <c r="AA712" s="30" t="s">
        <v>96</v>
      </c>
      <c r="AB712" s="28" t="s">
        <v>94</v>
      </c>
      <c r="AC712" s="28" t="s">
        <v>104</v>
      </c>
      <c r="AD712" s="28" t="s">
        <v>108</v>
      </c>
      <c r="AE712" s="28" t="s">
        <v>101</v>
      </c>
      <c r="AF712" s="28" t="s">
        <v>120</v>
      </c>
      <c r="AG712" s="30" t="s">
        <v>122</v>
      </c>
    </row>
    <row r="713" customFormat="false" ht="15" hidden="false" customHeight="false" outlineLevel="0" collapsed="false">
      <c r="A713" s="10" t="n">
        <v>2026</v>
      </c>
      <c r="B713" s="28" t="s">
        <v>77</v>
      </c>
      <c r="C713" s="29" t="n">
        <v>46105</v>
      </c>
      <c r="D713" s="30" t="s">
        <v>126</v>
      </c>
      <c r="E713" s="28" t="s">
        <v>1013</v>
      </c>
      <c r="F713" s="30" t="s">
        <v>1014</v>
      </c>
      <c r="G713" s="31" t="n">
        <v>31081</v>
      </c>
      <c r="H713" s="31" t="n">
        <v>3</v>
      </c>
      <c r="I713" s="31" t="n">
        <v>93243</v>
      </c>
      <c r="J713" s="29" t="n">
        <v>46112</v>
      </c>
      <c r="K713" s="31" t="n">
        <v>29570</v>
      </c>
      <c r="L713" s="30" t="s">
        <v>32</v>
      </c>
      <c r="M713" s="10" t="n">
        <v>5</v>
      </c>
      <c r="N713" s="12" t="n">
        <v>-4737</v>
      </c>
      <c r="O713" s="13" t="n">
        <v>-0.0507990726664639</v>
      </c>
      <c r="P713" s="15" t="n">
        <v>0.187218578522927</v>
      </c>
      <c r="Q713" s="13" t="n">
        <v>-0.0830425613034308</v>
      </c>
      <c r="R713" s="15" t="n">
        <v>0.120938628158845</v>
      </c>
      <c r="S713" s="32" t="n">
        <v>22905150300</v>
      </c>
      <c r="T713" s="15" t="n">
        <v>0.0436974789915967</v>
      </c>
      <c r="U713" s="32" t="n">
        <v>8590583885</v>
      </c>
      <c r="V713" s="14" t="n">
        <v>2.35399985735964</v>
      </c>
      <c r="W713" s="13" t="n">
        <v>0.0894736842105264</v>
      </c>
      <c r="X713" s="15" t="n">
        <v>0.00805152979066026</v>
      </c>
      <c r="Y713" s="13" t="n">
        <v>0.0274097026314573</v>
      </c>
      <c r="Z713" s="13" t="n">
        <v>-0.0153462116699287</v>
      </c>
      <c r="AA713" s="30" t="s">
        <v>96</v>
      </c>
      <c r="AB713" s="28" t="s">
        <v>94</v>
      </c>
      <c r="AC713" s="28" t="s">
        <v>102</v>
      </c>
      <c r="AD713" s="28" t="s">
        <v>106</v>
      </c>
      <c r="AE713" s="28" t="s">
        <v>113</v>
      </c>
      <c r="AF713" s="28" t="s">
        <v>117</v>
      </c>
      <c r="AG713" s="30" t="s">
        <v>122</v>
      </c>
    </row>
    <row r="714" customFormat="false" ht="15" hidden="false" customHeight="false" outlineLevel="0" collapsed="false">
      <c r="A714" s="10" t="n">
        <v>2026</v>
      </c>
      <c r="B714" s="28" t="s">
        <v>77</v>
      </c>
      <c r="C714" s="29" t="n">
        <v>46106</v>
      </c>
      <c r="D714" s="30" t="s">
        <v>127</v>
      </c>
      <c r="E714" s="28" t="s">
        <v>1015</v>
      </c>
      <c r="F714" s="30" t="s">
        <v>1016</v>
      </c>
      <c r="G714" s="31" t="n">
        <v>3949</v>
      </c>
      <c r="H714" s="31" t="n">
        <v>25</v>
      </c>
      <c r="I714" s="31" t="n">
        <v>98724</v>
      </c>
      <c r="J714" s="29" t="n">
        <v>46108</v>
      </c>
      <c r="K714" s="31" t="n">
        <v>3756</v>
      </c>
      <c r="L714" s="30" t="s">
        <v>32</v>
      </c>
      <c r="M714" s="10" t="n">
        <v>2</v>
      </c>
      <c r="N714" s="12" t="n">
        <v>-5034</v>
      </c>
      <c r="O714" s="13" t="n">
        <v>-0.0509941915498951</v>
      </c>
      <c r="P714" s="15" t="n">
        <v>0.134480221932694</v>
      </c>
      <c r="Q714" s="13" t="n">
        <v>-0.0630408881359451</v>
      </c>
      <c r="R714" s="15" t="n">
        <v>0.133620689655172</v>
      </c>
      <c r="S714" s="32" t="n">
        <v>51189767700</v>
      </c>
      <c r="T714" s="15" t="n">
        <v>0.0450331125827814</v>
      </c>
      <c r="U714" s="32" t="n">
        <v>3607089164.25</v>
      </c>
      <c r="V714" s="14" t="n">
        <v>12.4692014320517</v>
      </c>
      <c r="W714" s="13" t="n">
        <v>0.122332859174964</v>
      </c>
      <c r="X714" s="15" t="n">
        <v>0.102661596958175</v>
      </c>
      <c r="Y714" s="13" t="n">
        <v>0.0158968800414843</v>
      </c>
      <c r="Z714" s="13" t="n">
        <v>-0.0477330916467933</v>
      </c>
      <c r="AA714" s="30" t="s">
        <v>96</v>
      </c>
      <c r="AB714" s="28" t="s">
        <v>94</v>
      </c>
      <c r="AC714" s="28" t="s">
        <v>102</v>
      </c>
      <c r="AD714" s="28" t="s">
        <v>108</v>
      </c>
      <c r="AE714" s="28" t="s">
        <v>113</v>
      </c>
      <c r="AF714" s="28" t="s">
        <v>120</v>
      </c>
      <c r="AG714" s="30" t="s">
        <v>122</v>
      </c>
    </row>
    <row r="715" customFormat="false" ht="15" hidden="false" customHeight="false" outlineLevel="0" collapsed="false">
      <c r="A715" s="10" t="n">
        <v>2026</v>
      </c>
      <c r="B715" s="28" t="s">
        <v>77</v>
      </c>
      <c r="C715" s="29" t="n">
        <v>46106</v>
      </c>
      <c r="D715" s="30" t="s">
        <v>127</v>
      </c>
      <c r="E715" s="28" t="s">
        <v>1017</v>
      </c>
      <c r="F715" s="30" t="s">
        <v>1018</v>
      </c>
      <c r="G715" s="31" t="n">
        <v>24324</v>
      </c>
      <c r="H715" s="31" t="n">
        <v>4</v>
      </c>
      <c r="I715" s="31" t="n">
        <v>97297</v>
      </c>
      <c r="J715" s="29" t="n">
        <v>46108</v>
      </c>
      <c r="K715" s="31" t="n">
        <v>23127</v>
      </c>
      <c r="L715" s="30" t="s">
        <v>32</v>
      </c>
      <c r="M715" s="10" t="n">
        <v>2</v>
      </c>
      <c r="N715" s="12" t="n">
        <v>-5003</v>
      </c>
      <c r="O715" s="13" t="n">
        <v>-0.0514227078477078</v>
      </c>
      <c r="P715" s="15" t="n">
        <v>0.0565566121121679</v>
      </c>
      <c r="Q715" s="13" t="n">
        <v>-0.0955546511102066</v>
      </c>
      <c r="R715" s="15" t="n">
        <v>0.173913043478261</v>
      </c>
      <c r="S715" s="32" t="n">
        <v>48502872900</v>
      </c>
      <c r="T715" s="15" t="n">
        <v>0.0451612903225807</v>
      </c>
      <c r="U715" s="32" t="n">
        <v>10933035819</v>
      </c>
      <c r="V715" s="14" t="n">
        <v>3.84022310200481</v>
      </c>
      <c r="W715" s="13" t="n">
        <v>0.162679425837321</v>
      </c>
      <c r="X715" s="15" t="n">
        <v>0.037037037037037</v>
      </c>
      <c r="Y715" s="13" t="n">
        <v>0.0158968800414843</v>
      </c>
      <c r="Z715" s="13" t="n">
        <v>-0.0477330916467933</v>
      </c>
      <c r="AA715" s="30" t="s">
        <v>96</v>
      </c>
      <c r="AB715" s="28" t="s">
        <v>94</v>
      </c>
      <c r="AC715" s="28" t="s">
        <v>103</v>
      </c>
      <c r="AD715" s="28" t="s">
        <v>107</v>
      </c>
      <c r="AE715" s="28" t="s">
        <v>113</v>
      </c>
      <c r="AF715" s="28" t="s">
        <v>118</v>
      </c>
      <c r="AG715" s="30" t="s">
        <v>122</v>
      </c>
    </row>
    <row r="716" customFormat="false" ht="15" hidden="false" customHeight="false" outlineLevel="0" collapsed="false">
      <c r="A716" s="10" t="n">
        <v>2026</v>
      </c>
      <c r="B716" s="28" t="s">
        <v>77</v>
      </c>
      <c r="C716" s="29" t="n">
        <v>46106</v>
      </c>
      <c r="D716" s="30" t="s">
        <v>127</v>
      </c>
      <c r="E716" s="28" t="s">
        <v>1019</v>
      </c>
      <c r="F716" s="28" t="s">
        <v>1020</v>
      </c>
      <c r="G716" s="31" t="n">
        <v>18899</v>
      </c>
      <c r="H716" s="31" t="n">
        <v>5</v>
      </c>
      <c r="I716" s="31" t="n">
        <v>94494</v>
      </c>
      <c r="J716" s="29" t="n">
        <v>46108</v>
      </c>
      <c r="K716" s="31" t="n">
        <v>17992</v>
      </c>
      <c r="L716" s="30" t="s">
        <v>32</v>
      </c>
      <c r="M716" s="10" t="n">
        <v>2</v>
      </c>
      <c r="N716" s="12" t="n">
        <v>-4742</v>
      </c>
      <c r="O716" s="13" t="n">
        <v>-0.0501832706752992</v>
      </c>
      <c r="P716" s="15" t="n">
        <v>0.0418606816911904</v>
      </c>
      <c r="Q716" s="13" t="n">
        <v>-0.0904222895748318</v>
      </c>
      <c r="R716" s="15" t="n">
        <v>0.120474777448071</v>
      </c>
      <c r="S716" s="32" t="n">
        <v>31393135360</v>
      </c>
      <c r="T716" s="15" t="n">
        <v>0.0559284116331096</v>
      </c>
      <c r="U716" s="32" t="n">
        <v>5965263544.5</v>
      </c>
      <c r="V716" s="14" t="n">
        <v>4.6028698385702</v>
      </c>
      <c r="W716" s="13" t="n">
        <v>0.0831899024670109</v>
      </c>
      <c r="X716" s="15" t="n">
        <v>0.0222457627118644</v>
      </c>
      <c r="Y716" s="13" t="n">
        <v>0.0158968800414843</v>
      </c>
      <c r="Z716" s="13" t="n">
        <v>-0.0477330916467933</v>
      </c>
      <c r="AA716" s="30" t="s">
        <v>96</v>
      </c>
      <c r="AB716" s="28" t="s">
        <v>94</v>
      </c>
      <c r="AC716" s="28" t="s">
        <v>102</v>
      </c>
      <c r="AD716" s="28" t="s">
        <v>107</v>
      </c>
      <c r="AE716" s="28" t="s">
        <v>101</v>
      </c>
      <c r="AF716" s="28" t="s">
        <v>118</v>
      </c>
      <c r="AG716" s="30" t="s">
        <v>122</v>
      </c>
    </row>
    <row r="717" customFormat="false" ht="15" hidden="false" customHeight="false" outlineLevel="0" collapsed="false">
      <c r="A717" s="10" t="n">
        <v>2026</v>
      </c>
      <c r="B717" s="28" t="s">
        <v>77</v>
      </c>
      <c r="C717" s="29" t="n">
        <v>46106</v>
      </c>
      <c r="D717" s="30" t="s">
        <v>127</v>
      </c>
      <c r="E717" s="28" t="s">
        <v>1021</v>
      </c>
      <c r="F717" s="28" t="s">
        <v>1022</v>
      </c>
      <c r="G717" s="31" t="n">
        <v>36386</v>
      </c>
      <c r="H717" s="31" t="n">
        <v>2</v>
      </c>
      <c r="I717" s="31" t="n">
        <v>72773</v>
      </c>
      <c r="J717" s="29" t="n">
        <v>46108</v>
      </c>
      <c r="K717" s="31" t="n">
        <v>34166</v>
      </c>
      <c r="L717" s="30" t="s">
        <v>32</v>
      </c>
      <c r="M717" s="10" t="n">
        <v>2</v>
      </c>
      <c r="N717" s="12" t="n">
        <v>-4599</v>
      </c>
      <c r="O717" s="13" t="n">
        <v>-0.0631957979434594</v>
      </c>
      <c r="P717" s="15" t="n">
        <v>0.0457218160106743</v>
      </c>
      <c r="Q717" s="13" t="n">
        <v>-0.0971889183718619</v>
      </c>
      <c r="R717" s="15" t="n">
        <v>0.0722713864306785</v>
      </c>
      <c r="S717" s="32" t="n">
        <v>29207697550</v>
      </c>
      <c r="T717" s="15" t="n">
        <v>0.0460431654676259</v>
      </c>
      <c r="U717" s="32" t="n">
        <v>8908050177.5</v>
      </c>
      <c r="V717" s="14" t="n">
        <v>2.93215518677453</v>
      </c>
      <c r="W717" s="13" t="n">
        <v>0.0613138686131387</v>
      </c>
      <c r="X717" s="15" t="n">
        <v>0.0247592847317744</v>
      </c>
      <c r="Y717" s="13" t="n">
        <v>0.0158968800414843</v>
      </c>
      <c r="Z717" s="13" t="n">
        <v>-0.0477330916467933</v>
      </c>
      <c r="AA717" s="30" t="s">
        <v>96</v>
      </c>
      <c r="AB717" s="28" t="s">
        <v>94</v>
      </c>
      <c r="AC717" s="28" t="s">
        <v>101</v>
      </c>
      <c r="AD717" s="28" t="s">
        <v>106</v>
      </c>
      <c r="AE717" s="28" t="s">
        <v>113</v>
      </c>
      <c r="AF717" s="28" t="s">
        <v>117</v>
      </c>
      <c r="AG717" s="30" t="s">
        <v>122</v>
      </c>
    </row>
    <row r="718" customFormat="false" ht="15" hidden="false" customHeight="false" outlineLevel="0" collapsed="false">
      <c r="A718" s="10" t="n">
        <v>2026</v>
      </c>
      <c r="B718" s="28" t="s">
        <v>77</v>
      </c>
      <c r="C718" s="29" t="n">
        <v>46107</v>
      </c>
      <c r="D718" s="30" t="s">
        <v>128</v>
      </c>
      <c r="E718" s="28" t="s">
        <v>565</v>
      </c>
      <c r="F718" s="30" t="s">
        <v>566</v>
      </c>
      <c r="G718" s="31" t="n">
        <v>64464</v>
      </c>
      <c r="H718" s="31" t="n">
        <v>1</v>
      </c>
      <c r="I718" s="31" t="n">
        <v>64464</v>
      </c>
      <c r="J718" s="29" t="n">
        <v>46108</v>
      </c>
      <c r="K718" s="31" t="n">
        <v>61339</v>
      </c>
      <c r="L718" s="30" t="s">
        <v>32</v>
      </c>
      <c r="M718" s="10" t="n">
        <v>1</v>
      </c>
      <c r="N718" s="12" t="n">
        <v>-3267</v>
      </c>
      <c r="O718" s="13" t="n">
        <v>-0.0506845274290927</v>
      </c>
      <c r="P718" s="15" t="n">
        <v>-0.00255024478626953</v>
      </c>
      <c r="Q718" s="13" t="n">
        <v>-0.0568437773406717</v>
      </c>
      <c r="R718" s="15" t="n">
        <v>0.112262521588947</v>
      </c>
      <c r="S718" s="32" t="n">
        <v>88860601200</v>
      </c>
      <c r="T718" s="15" t="n">
        <v>0.0437601296596435</v>
      </c>
      <c r="U718" s="32" t="n">
        <v>20948172430</v>
      </c>
      <c r="V718" s="14" t="n">
        <v>3.71064896549703</v>
      </c>
      <c r="W718" s="13" t="n">
        <v>0.100854700854701</v>
      </c>
      <c r="X718" s="15" t="n">
        <v>0.0341614906832297</v>
      </c>
      <c r="Y718" s="13" t="n">
        <v>-0.0322125550094733</v>
      </c>
      <c r="Z718" s="13" t="n">
        <v>-0.0525331325196679</v>
      </c>
      <c r="AA718" s="30" t="s">
        <v>96</v>
      </c>
      <c r="AB718" s="28" t="s">
        <v>94</v>
      </c>
      <c r="AC718" s="28" t="s">
        <v>102</v>
      </c>
      <c r="AD718" s="28" t="s">
        <v>108</v>
      </c>
      <c r="AE718" s="28" t="s">
        <v>113</v>
      </c>
      <c r="AF718" s="28" t="s">
        <v>118</v>
      </c>
      <c r="AG718" s="30" t="s">
        <v>122</v>
      </c>
    </row>
    <row r="719" customFormat="false" ht="15" hidden="false" customHeight="false" outlineLevel="0" collapsed="false">
      <c r="A719" s="10" t="n">
        <v>2026</v>
      </c>
      <c r="B719" s="28" t="s">
        <v>77</v>
      </c>
      <c r="C719" s="29" t="n">
        <v>46108</v>
      </c>
      <c r="D719" s="30" t="s">
        <v>129</v>
      </c>
      <c r="E719" s="28" t="s">
        <v>527</v>
      </c>
      <c r="F719" s="30" t="s">
        <v>528</v>
      </c>
      <c r="G719" s="31" t="n">
        <v>73473</v>
      </c>
      <c r="H719" s="31" t="n">
        <v>1</v>
      </c>
      <c r="I719" s="31" t="n">
        <v>73473</v>
      </c>
      <c r="J719" s="29" t="n">
        <v>46112</v>
      </c>
      <c r="K719" s="31" t="n">
        <v>69930</v>
      </c>
      <c r="L719" s="30" t="s">
        <v>32</v>
      </c>
      <c r="M719" s="10" t="n">
        <v>2</v>
      </c>
      <c r="N719" s="12" t="n">
        <v>-3705</v>
      </c>
      <c r="O719" s="13" t="n">
        <v>-0.0504232893809188</v>
      </c>
      <c r="P719" s="15" t="n">
        <v>0.00580618291789969</v>
      </c>
      <c r="Q719" s="13" t="n">
        <v>-0.0881053551353278</v>
      </c>
      <c r="R719" s="15" t="n">
        <v>0.050071530758226</v>
      </c>
      <c r="S719" s="32" t="n">
        <v>145124645000</v>
      </c>
      <c r="T719" s="15" t="n">
        <v>0.0208623087621698</v>
      </c>
      <c r="U719" s="32" t="n">
        <v>97367472960</v>
      </c>
      <c r="V719" s="14" t="n">
        <v>1.35556333566177</v>
      </c>
      <c r="W719" s="13" t="n">
        <v>0.0684133915574963</v>
      </c>
      <c r="X719" s="15" t="n">
        <v>0.0149863760217983</v>
      </c>
      <c r="Y719" s="13" t="n">
        <v>-0.00395387934349856</v>
      </c>
      <c r="Z719" s="13" t="n">
        <v>-0.0592143499619456</v>
      </c>
      <c r="AA719" s="30" t="s">
        <v>96</v>
      </c>
      <c r="AB719" s="28" t="s">
        <v>94</v>
      </c>
      <c r="AC719" s="28" t="s">
        <v>101</v>
      </c>
      <c r="AD719" s="28" t="s">
        <v>109</v>
      </c>
      <c r="AE719" s="28" t="s">
        <v>113</v>
      </c>
      <c r="AF719" s="28" t="s">
        <v>116</v>
      </c>
      <c r="AG719" s="30" t="s">
        <v>122</v>
      </c>
    </row>
    <row r="720" customFormat="false" ht="15" hidden="false" customHeight="false" outlineLevel="0" collapsed="false">
      <c r="A720" s="10" t="n">
        <v>2026</v>
      </c>
      <c r="B720" s="28" t="s">
        <v>77</v>
      </c>
      <c r="C720" s="29" t="n">
        <v>46108</v>
      </c>
      <c r="D720" s="30" t="s">
        <v>129</v>
      </c>
      <c r="E720" s="28" t="s">
        <v>1023</v>
      </c>
      <c r="F720" s="30" t="s">
        <v>1024</v>
      </c>
      <c r="G720" s="31" t="n">
        <v>17477</v>
      </c>
      <c r="H720" s="31" t="n">
        <v>5</v>
      </c>
      <c r="I720" s="31" t="n">
        <v>87387</v>
      </c>
      <c r="J720" s="29" t="n">
        <v>46111</v>
      </c>
      <c r="K720" s="31" t="n">
        <v>16633</v>
      </c>
      <c r="L720" s="30" t="s">
        <v>32</v>
      </c>
      <c r="M720" s="10" t="n">
        <v>1</v>
      </c>
      <c r="N720" s="12" t="n">
        <v>-4412</v>
      </c>
      <c r="O720" s="13" t="n">
        <v>-0.050493225073895</v>
      </c>
      <c r="P720" s="15" t="n">
        <v>-0.0210247942206705</v>
      </c>
      <c r="Q720" s="13" t="n">
        <v>-0.0770970152413451</v>
      </c>
      <c r="R720" s="15" t="n">
        <v>0.011587485515643</v>
      </c>
      <c r="S720" s="32" t="n">
        <v>57926046780</v>
      </c>
      <c r="T720" s="15" t="n">
        <v>0.011587485515643</v>
      </c>
      <c r="U720" s="32" t="n">
        <v>18720193882</v>
      </c>
      <c r="V720" s="14" t="n">
        <v>2.88446412857226</v>
      </c>
      <c r="W720" s="13" t="n">
        <v>0.0258519388954173</v>
      </c>
      <c r="X720" s="15" t="n">
        <v>0.034364261168385</v>
      </c>
      <c r="Y720" s="13" t="n">
        <v>-0.00395387934349856</v>
      </c>
      <c r="Z720" s="13" t="n">
        <v>-0.0592143499619456</v>
      </c>
      <c r="AA720" s="30" t="s">
        <v>96</v>
      </c>
      <c r="AB720" s="28" t="s">
        <v>94</v>
      </c>
      <c r="AC720" s="28" t="s">
        <v>99</v>
      </c>
      <c r="AD720" s="28" t="s">
        <v>108</v>
      </c>
      <c r="AE720" s="28" t="s">
        <v>112</v>
      </c>
      <c r="AF720" s="28" t="s">
        <v>117</v>
      </c>
      <c r="AG720" s="30" t="s">
        <v>122</v>
      </c>
    </row>
    <row r="721" customFormat="false" ht="15" hidden="false" customHeight="false" outlineLevel="0" collapsed="false">
      <c r="A721" s="10" t="n">
        <v>2026</v>
      </c>
      <c r="B721" s="28" t="s">
        <v>77</v>
      </c>
      <c r="C721" s="29" t="n">
        <v>46108</v>
      </c>
      <c r="D721" s="30" t="s">
        <v>129</v>
      </c>
      <c r="E721" s="28" t="s">
        <v>1025</v>
      </c>
      <c r="F721" s="30" t="s">
        <v>1026</v>
      </c>
      <c r="G721" s="31" t="n">
        <v>9399</v>
      </c>
      <c r="H721" s="31" t="n">
        <v>10</v>
      </c>
      <c r="I721" s="31" t="n">
        <v>93992</v>
      </c>
      <c r="J721" s="29" t="n">
        <v>46111</v>
      </c>
      <c r="K721" s="31" t="n">
        <v>8938</v>
      </c>
      <c r="L721" s="30" t="s">
        <v>32</v>
      </c>
      <c r="M721" s="10" t="n">
        <v>1</v>
      </c>
      <c r="N721" s="12" t="n">
        <v>-4815</v>
      </c>
      <c r="O721" s="13" t="n">
        <v>-0.0512295562019948</v>
      </c>
      <c r="P721" s="15" t="n">
        <v>-0.0398945316978104</v>
      </c>
      <c r="Q721" s="13" t="n">
        <v>-0.100284960940699</v>
      </c>
      <c r="R721" s="15" t="n">
        <v>0.155029585798816</v>
      </c>
      <c r="S721" s="32" t="n">
        <v>41038701600</v>
      </c>
      <c r="T721" s="15" t="n">
        <v>0.0832408435072143</v>
      </c>
      <c r="U721" s="32" t="n">
        <v>4439705588.5</v>
      </c>
      <c r="V721" s="14" t="n">
        <v>7.86015756262464</v>
      </c>
      <c r="W721" s="13" t="n">
        <v>-0.0440744368266405</v>
      </c>
      <c r="X721" s="15" t="n">
        <v>0.0461065573770492</v>
      </c>
      <c r="Y721" s="13" t="n">
        <v>-0.00395387934349856</v>
      </c>
      <c r="Z721" s="13" t="n">
        <v>-0.0592143499619456</v>
      </c>
      <c r="AA721" s="30" t="s">
        <v>96</v>
      </c>
      <c r="AB721" s="28" t="s">
        <v>94</v>
      </c>
      <c r="AC721" s="28" t="s">
        <v>103</v>
      </c>
      <c r="AD721" s="28" t="s">
        <v>107</v>
      </c>
      <c r="AE721" s="28" t="s">
        <v>101</v>
      </c>
      <c r="AF721" s="28" t="s">
        <v>119</v>
      </c>
      <c r="AG721" s="30" t="s">
        <v>123</v>
      </c>
    </row>
    <row r="722" customFormat="false" ht="15" hidden="false" customHeight="false" outlineLevel="0" collapsed="false">
      <c r="A722" s="10" t="n">
        <v>2026</v>
      </c>
      <c r="B722" s="28" t="s">
        <v>77</v>
      </c>
      <c r="C722" s="29" t="n">
        <v>46108</v>
      </c>
      <c r="D722" s="30" t="s">
        <v>129</v>
      </c>
      <c r="E722" s="28" t="s">
        <v>1027</v>
      </c>
      <c r="F722" s="30" t="s">
        <v>1028</v>
      </c>
      <c r="G722" s="31" t="n">
        <v>22322</v>
      </c>
      <c r="H722" s="31" t="n">
        <v>4</v>
      </c>
      <c r="I722" s="31" t="n">
        <v>89289</v>
      </c>
      <c r="J722" s="29" t="n">
        <v>46113</v>
      </c>
      <c r="K722" s="31" t="n">
        <v>26800</v>
      </c>
      <c r="L722" s="30" t="s">
        <v>31</v>
      </c>
      <c r="M722" s="10" t="n">
        <v>3</v>
      </c>
      <c r="N722" s="12" t="n">
        <v>17667</v>
      </c>
      <c r="O722" s="13" t="n">
        <v>0.197861853617235</v>
      </c>
      <c r="P722" s="15" t="n">
        <v>0.37306639548792</v>
      </c>
      <c r="Q722" s="13" t="n">
        <v>-0.0211582139833261</v>
      </c>
      <c r="R722" s="15" t="n">
        <v>0.0851581508515815</v>
      </c>
      <c r="S722" s="32" t="n">
        <v>27168223800</v>
      </c>
      <c r="T722" s="15" t="n">
        <v>0.0851581508515815</v>
      </c>
      <c r="U722" s="32" t="n">
        <v>6859849895.5</v>
      </c>
      <c r="V722" s="14" t="n">
        <v>3.38848953878888</v>
      </c>
      <c r="W722" s="13" t="n">
        <v>0.109452736318408</v>
      </c>
      <c r="X722" s="15" t="n">
        <v>0.00224215246636761</v>
      </c>
      <c r="Y722" s="13" t="n">
        <v>-0.00395387934349856</v>
      </c>
      <c r="Z722" s="13" t="n">
        <v>-0.0592143499619456</v>
      </c>
      <c r="AA722" s="30" t="s">
        <v>96</v>
      </c>
      <c r="AB722" s="28" t="s">
        <v>94</v>
      </c>
      <c r="AC722" s="28" t="s">
        <v>101</v>
      </c>
      <c r="AD722" s="28" t="s">
        <v>106</v>
      </c>
      <c r="AE722" s="28" t="s">
        <v>101</v>
      </c>
      <c r="AF722" s="28" t="s">
        <v>118</v>
      </c>
      <c r="AG722" s="30" t="s">
        <v>122</v>
      </c>
    </row>
    <row r="723" customFormat="false" ht="15" hidden="false" customHeight="false" outlineLevel="0" collapsed="false">
      <c r="A723" s="10" t="n">
        <v>2026</v>
      </c>
      <c r="B723" s="28" t="s">
        <v>78</v>
      </c>
      <c r="C723" s="29" t="n">
        <v>46113</v>
      </c>
      <c r="D723" s="30" t="s">
        <v>127</v>
      </c>
      <c r="E723" s="28" t="s">
        <v>379</v>
      </c>
      <c r="F723" s="30" t="s">
        <v>380</v>
      </c>
      <c r="G723" s="31" t="n">
        <v>37938</v>
      </c>
      <c r="H723" s="31" t="n">
        <v>2</v>
      </c>
      <c r="I723" s="31" t="n">
        <v>75876</v>
      </c>
      <c r="J723" s="29" t="n">
        <v>46114</v>
      </c>
      <c r="K723" s="31" t="n">
        <v>36114</v>
      </c>
      <c r="L723" s="30" t="s">
        <v>32</v>
      </c>
      <c r="M723" s="10" t="n">
        <v>1</v>
      </c>
      <c r="N723" s="12" t="n">
        <v>-3815</v>
      </c>
      <c r="O723" s="13" t="n">
        <v>-0.0502765166891155</v>
      </c>
      <c r="P723" s="15" t="n">
        <v>0.0227239778690969</v>
      </c>
      <c r="Q723" s="13" t="n">
        <v>-0.0840294270373425</v>
      </c>
      <c r="R723" s="15" t="n">
        <v>0.061624649859944</v>
      </c>
      <c r="S723" s="32" t="n">
        <v>134570658300</v>
      </c>
      <c r="T723" s="15" t="n">
        <v>0.0542420027816413</v>
      </c>
      <c r="U723" s="32" t="n">
        <v>73344382855</v>
      </c>
      <c r="V723" s="14" t="n">
        <v>1.63858396207388</v>
      </c>
      <c r="W723" s="13" t="n">
        <v>0.0160857908847185</v>
      </c>
      <c r="X723" s="15" t="n">
        <v>0.0079155672823219</v>
      </c>
      <c r="Y723" s="13" t="n">
        <v>0.0843628648222845</v>
      </c>
      <c r="Z723" s="13" t="n">
        <v>-0.0289797791999944</v>
      </c>
      <c r="AA723" s="30" t="s">
        <v>96</v>
      </c>
      <c r="AB723" s="28" t="s">
        <v>94</v>
      </c>
      <c r="AC723" s="28" t="s">
        <v>101</v>
      </c>
      <c r="AD723" s="28" t="s">
        <v>109</v>
      </c>
      <c r="AE723" s="28" t="s">
        <v>101</v>
      </c>
      <c r="AF723" s="28" t="s">
        <v>116</v>
      </c>
      <c r="AG723" s="30" t="s">
        <v>122</v>
      </c>
    </row>
    <row r="724" customFormat="false" ht="15" hidden="false" customHeight="false" outlineLevel="0" collapsed="false">
      <c r="A724" s="10" t="n">
        <v>2026</v>
      </c>
      <c r="B724" s="28" t="s">
        <v>78</v>
      </c>
      <c r="C724" s="29" t="n">
        <v>46113</v>
      </c>
      <c r="D724" s="30" t="s">
        <v>127</v>
      </c>
      <c r="E724" s="28" t="s">
        <v>1029</v>
      </c>
      <c r="F724" s="28" t="s">
        <v>1030</v>
      </c>
      <c r="G724" s="31" t="n">
        <v>51051</v>
      </c>
      <c r="H724" s="31" t="n">
        <v>1</v>
      </c>
      <c r="I724" s="31" t="n">
        <v>51051</v>
      </c>
      <c r="J724" s="29" t="n">
        <v>46120</v>
      </c>
      <c r="K724" s="31" t="n">
        <v>48601</v>
      </c>
      <c r="L724" s="30" t="s">
        <v>32</v>
      </c>
      <c r="M724" s="10" t="n">
        <v>5</v>
      </c>
      <c r="N724" s="12" t="n">
        <v>-2562</v>
      </c>
      <c r="O724" s="13" t="n">
        <v>-0.0501812021801729</v>
      </c>
      <c r="P724" s="15" t="n">
        <v>0.0675598910893029</v>
      </c>
      <c r="Q724" s="13" t="n">
        <v>-0.114610879316762</v>
      </c>
      <c r="R724" s="15" t="n">
        <v>0.12707182320442</v>
      </c>
      <c r="S724" s="32" t="n">
        <v>32382195000</v>
      </c>
      <c r="T724" s="15" t="n">
        <v>0.058091286307054</v>
      </c>
      <c r="U724" s="32" t="n">
        <v>10804664450</v>
      </c>
      <c r="V724" s="14" t="n">
        <v>2.58961084565867</v>
      </c>
      <c r="W724" s="13" t="n">
        <v>0.0793650793650793</v>
      </c>
      <c r="X724" s="15" t="n">
        <v>0.0137254901960784</v>
      </c>
      <c r="Y724" s="13" t="n">
        <v>0.0843628648222845</v>
      </c>
      <c r="Z724" s="13" t="n">
        <v>-0.0289797791999944</v>
      </c>
      <c r="AA724" s="30" t="s">
        <v>96</v>
      </c>
      <c r="AB724" s="28" t="s">
        <v>94</v>
      </c>
      <c r="AC724" s="28" t="s">
        <v>102</v>
      </c>
      <c r="AD724" s="28" t="s">
        <v>107</v>
      </c>
      <c r="AE724" s="28" t="s">
        <v>101</v>
      </c>
      <c r="AF724" s="28" t="s">
        <v>117</v>
      </c>
      <c r="AG724" s="30" t="s">
        <v>122</v>
      </c>
    </row>
    <row r="725" customFormat="false" ht="15" hidden="false" customHeight="false" outlineLevel="0" collapsed="false">
      <c r="A725" s="10" t="n">
        <v>2026</v>
      </c>
      <c r="B725" s="28" t="s">
        <v>78</v>
      </c>
      <c r="C725" s="29" t="n">
        <v>46113</v>
      </c>
      <c r="D725" s="30" t="s">
        <v>127</v>
      </c>
      <c r="E725" s="28" t="s">
        <v>1031</v>
      </c>
      <c r="F725" s="30" t="s">
        <v>1032</v>
      </c>
      <c r="G725" s="31" t="n">
        <v>55856</v>
      </c>
      <c r="H725" s="31" t="n">
        <v>1</v>
      </c>
      <c r="I725" s="31" t="n">
        <v>55856</v>
      </c>
      <c r="J725" s="29" t="n">
        <v>46114</v>
      </c>
      <c r="K725" s="31" t="n">
        <v>53147</v>
      </c>
      <c r="L725" s="30" t="s">
        <v>32</v>
      </c>
      <c r="M725" s="10" t="n">
        <v>1</v>
      </c>
      <c r="N725" s="12" t="n">
        <v>-2832</v>
      </c>
      <c r="O725" s="13" t="n">
        <v>-0.050695612452064</v>
      </c>
      <c r="P725" s="15" t="n">
        <v>0.0545010545010547</v>
      </c>
      <c r="Q725" s="13" t="n">
        <v>-0.124531382595899</v>
      </c>
      <c r="R725" s="15" t="n">
        <v>0.136456211812627</v>
      </c>
      <c r="S725" s="32" t="n">
        <v>22504977000</v>
      </c>
      <c r="T725" s="15" t="n">
        <v>0.0568181818181819</v>
      </c>
      <c r="U725" s="32" t="n">
        <v>5465531515</v>
      </c>
      <c r="V725" s="14" t="n">
        <v>3.60757195197</v>
      </c>
      <c r="W725" s="13" t="n">
        <v>-0.0428816466552315</v>
      </c>
      <c r="X725" s="15" t="n">
        <v>0.0448028673835126</v>
      </c>
      <c r="Y725" s="13" t="n">
        <v>0.0843628648222845</v>
      </c>
      <c r="Z725" s="13" t="n">
        <v>-0.0289797791999944</v>
      </c>
      <c r="AA725" s="30" t="s">
        <v>96</v>
      </c>
      <c r="AB725" s="28" t="s">
        <v>94</v>
      </c>
      <c r="AC725" s="28" t="s">
        <v>102</v>
      </c>
      <c r="AD725" s="28" t="s">
        <v>106</v>
      </c>
      <c r="AE725" s="28" t="s">
        <v>101</v>
      </c>
      <c r="AF725" s="28" t="s">
        <v>118</v>
      </c>
      <c r="AG725" s="30" t="s">
        <v>123</v>
      </c>
    </row>
    <row r="726" customFormat="false" ht="15" hidden="false" customHeight="false" outlineLevel="0" collapsed="false">
      <c r="A726" s="10" t="n">
        <v>2026</v>
      </c>
      <c r="B726" s="28" t="s">
        <v>78</v>
      </c>
      <c r="C726" s="29" t="n">
        <v>46115</v>
      </c>
      <c r="D726" s="30" t="s">
        <v>129</v>
      </c>
      <c r="E726" s="28" t="s">
        <v>757</v>
      </c>
      <c r="F726" s="30" t="s">
        <v>758</v>
      </c>
      <c r="G726" s="31" t="n">
        <v>14935</v>
      </c>
      <c r="H726" s="31" t="n">
        <v>6</v>
      </c>
      <c r="I726" s="31" t="n">
        <v>89610</v>
      </c>
      <c r="J726" s="29" t="n">
        <v>46118</v>
      </c>
      <c r="K726" s="31" t="n">
        <v>14216</v>
      </c>
      <c r="L726" s="30" t="s">
        <v>32</v>
      </c>
      <c r="M726" s="10" t="n">
        <v>1</v>
      </c>
      <c r="N726" s="12" t="n">
        <v>-4512</v>
      </c>
      <c r="O726" s="13" t="n">
        <v>-0.0503487225576032</v>
      </c>
      <c r="P726" s="15" t="n">
        <v>0.0847061785399588</v>
      </c>
      <c r="Q726" s="13" t="n">
        <v>-0.077999748241035</v>
      </c>
      <c r="R726" s="15" t="n">
        <v>0.213995117982099</v>
      </c>
      <c r="S726" s="32" t="n">
        <v>91126331960</v>
      </c>
      <c r="T726" s="15" t="n">
        <v>0.186953062848051</v>
      </c>
      <c r="U726" s="32" t="n">
        <v>4274920749</v>
      </c>
      <c r="V726" s="14" t="n">
        <v>17.1179807291575</v>
      </c>
      <c r="W726" s="13" t="n">
        <v>0.0205198358413132</v>
      </c>
      <c r="X726" s="15" t="n">
        <v>0.032171581769437</v>
      </c>
      <c r="Y726" s="13" t="n">
        <v>0.0273688634995846</v>
      </c>
      <c r="Z726" s="13" t="n">
        <v>-0.011320366179004</v>
      </c>
      <c r="AA726" s="30" t="s">
        <v>96</v>
      </c>
      <c r="AB726" s="28" t="s">
        <v>94</v>
      </c>
      <c r="AC726" s="28" t="s">
        <v>104</v>
      </c>
      <c r="AD726" s="28" t="s">
        <v>108</v>
      </c>
      <c r="AE726" s="28" t="s">
        <v>114</v>
      </c>
      <c r="AF726" s="28" t="s">
        <v>120</v>
      </c>
      <c r="AG726" s="30" t="s">
        <v>122</v>
      </c>
    </row>
    <row r="727" customFormat="false" ht="15" hidden="false" customHeight="false" outlineLevel="0" collapsed="false">
      <c r="A727" s="10" t="n">
        <v>2026</v>
      </c>
      <c r="B727" s="28" t="s">
        <v>78</v>
      </c>
      <c r="C727" s="29" t="n">
        <v>46115</v>
      </c>
      <c r="D727" s="30" t="s">
        <v>129</v>
      </c>
      <c r="E727" s="28" t="s">
        <v>675</v>
      </c>
      <c r="F727" s="28" t="s">
        <v>676</v>
      </c>
      <c r="G727" s="31" t="n">
        <v>90691</v>
      </c>
      <c r="H727" s="31" t="n">
        <v>1</v>
      </c>
      <c r="I727" s="31" t="n">
        <v>90691</v>
      </c>
      <c r="J727" s="29" t="n">
        <v>46119</v>
      </c>
      <c r="K727" s="31" t="n">
        <v>86314</v>
      </c>
      <c r="L727" s="30" t="s">
        <v>32</v>
      </c>
      <c r="M727" s="10" t="n">
        <v>2</v>
      </c>
      <c r="N727" s="12" t="n">
        <v>-4576</v>
      </c>
      <c r="O727" s="13" t="n">
        <v>-0.0504592298430047</v>
      </c>
      <c r="P727" s="15" t="n">
        <v>0.0453123035904495</v>
      </c>
      <c r="Q727" s="13" t="n">
        <v>-0.0583368066811775</v>
      </c>
      <c r="R727" s="15" t="n">
        <v>0.0876350540216087</v>
      </c>
      <c r="S727" s="32" t="n">
        <v>38810684400</v>
      </c>
      <c r="T727" s="15" t="n">
        <v>0.0066666666666666</v>
      </c>
      <c r="U727" s="32" t="n">
        <v>30062237545</v>
      </c>
      <c r="V727" s="14" t="n">
        <v>1.20685713384179</v>
      </c>
      <c r="W727" s="13" t="n">
        <v>0.0608899297423888</v>
      </c>
      <c r="X727" s="15" t="n">
        <v>0.00662251655629143</v>
      </c>
      <c r="Y727" s="13" t="n">
        <v>0.0273688634995846</v>
      </c>
      <c r="Z727" s="13" t="n">
        <v>-0.011320366179004</v>
      </c>
      <c r="AA727" s="30" t="s">
        <v>96</v>
      </c>
      <c r="AB727" s="28" t="s">
        <v>94</v>
      </c>
      <c r="AC727" s="28" t="s">
        <v>101</v>
      </c>
      <c r="AD727" s="28" t="s">
        <v>107</v>
      </c>
      <c r="AE727" s="28" t="s">
        <v>112</v>
      </c>
      <c r="AF727" s="28" t="s">
        <v>116</v>
      </c>
      <c r="AG727" s="30" t="s">
        <v>122</v>
      </c>
    </row>
    <row r="728" customFormat="false" ht="15" hidden="false" customHeight="false" outlineLevel="0" collapsed="false">
      <c r="A728" s="10" t="n">
        <v>2026</v>
      </c>
      <c r="B728" s="28" t="s">
        <v>78</v>
      </c>
      <c r="C728" s="29" t="n">
        <v>46115</v>
      </c>
      <c r="D728" s="30" t="s">
        <v>129</v>
      </c>
      <c r="E728" s="28" t="s">
        <v>1033</v>
      </c>
      <c r="F728" s="30" t="s">
        <v>1034</v>
      </c>
      <c r="G728" s="31" t="n">
        <v>39640</v>
      </c>
      <c r="H728" s="31" t="n">
        <v>2</v>
      </c>
      <c r="I728" s="31" t="n">
        <v>79279</v>
      </c>
      <c r="J728" s="29" t="n">
        <v>46119</v>
      </c>
      <c r="K728" s="31" t="n">
        <v>37712</v>
      </c>
      <c r="L728" s="30" t="s">
        <v>32</v>
      </c>
      <c r="M728" s="10" t="n">
        <v>2</v>
      </c>
      <c r="N728" s="12" t="n">
        <v>-4029</v>
      </c>
      <c r="O728" s="13" t="n">
        <v>-0.0508172957724095</v>
      </c>
      <c r="P728" s="15" t="n">
        <v>0.0595465140919687</v>
      </c>
      <c r="Q728" s="13" t="n">
        <v>-0.0564990564990565</v>
      </c>
      <c r="R728" s="15" t="n">
        <v>0.0939226519337018</v>
      </c>
      <c r="S728" s="32" t="n">
        <v>32300215200</v>
      </c>
      <c r="T728" s="15" t="n">
        <v>0.064516129032258</v>
      </c>
      <c r="U728" s="32" t="n">
        <v>14614986475</v>
      </c>
      <c r="V728" s="14" t="n">
        <v>1.95536515874148</v>
      </c>
      <c r="W728" s="13" t="n">
        <v>0.0517928286852589</v>
      </c>
      <c r="X728" s="15" t="n">
        <v>0.0353535353535353</v>
      </c>
      <c r="Y728" s="13" t="n">
        <v>0.0273688634995846</v>
      </c>
      <c r="Z728" s="13" t="n">
        <v>-0.011320366179004</v>
      </c>
      <c r="AA728" s="30" t="s">
        <v>96</v>
      </c>
      <c r="AB728" s="28" t="s">
        <v>94</v>
      </c>
      <c r="AC728" s="28" t="s">
        <v>101</v>
      </c>
      <c r="AD728" s="28" t="s">
        <v>107</v>
      </c>
      <c r="AE728" s="28" t="s">
        <v>101</v>
      </c>
      <c r="AF728" s="28" t="s">
        <v>116</v>
      </c>
      <c r="AG728" s="30" t="s">
        <v>122</v>
      </c>
    </row>
    <row r="729" customFormat="false" ht="15" hidden="false" customHeight="false" outlineLevel="0" collapsed="false">
      <c r="A729" s="10" t="n">
        <v>2026</v>
      </c>
      <c r="B729" s="28" t="s">
        <v>78</v>
      </c>
      <c r="C729" s="29" t="n">
        <v>46119</v>
      </c>
      <c r="D729" s="30" t="s">
        <v>126</v>
      </c>
      <c r="E729" s="28" t="s">
        <v>905</v>
      </c>
      <c r="F729" s="30" t="s">
        <v>906</v>
      </c>
      <c r="G729" s="31" t="n">
        <v>77878</v>
      </c>
      <c r="H729" s="31" t="n">
        <v>1</v>
      </c>
      <c r="I729" s="31" t="n">
        <v>77878</v>
      </c>
      <c r="J729" s="29" t="n">
        <v>46122</v>
      </c>
      <c r="K729" s="31" t="n">
        <v>74126</v>
      </c>
      <c r="L729" s="30" t="s">
        <v>32</v>
      </c>
      <c r="M729" s="10" t="n">
        <v>3</v>
      </c>
      <c r="N729" s="12" t="n">
        <v>-3923</v>
      </c>
      <c r="O729" s="13" t="n">
        <v>-0.0503744602441259</v>
      </c>
      <c r="P729" s="15" t="n">
        <v>0.0349547624611895</v>
      </c>
      <c r="Q729" s="13" t="n">
        <v>-0.0497933942664018</v>
      </c>
      <c r="R729" s="15" t="n">
        <v>0.0745856353591161</v>
      </c>
      <c r="S729" s="32" t="n">
        <v>46544472400</v>
      </c>
      <c r="T729" s="15" t="n">
        <v>0.0373333333333334</v>
      </c>
      <c r="U729" s="32" t="n">
        <v>17449838205</v>
      </c>
      <c r="V729" s="14" t="n">
        <v>2.50453384686231</v>
      </c>
      <c r="W729" s="13" t="n">
        <v>0.0686813186813187</v>
      </c>
      <c r="X729" s="15" t="n">
        <v>0.0244215938303343</v>
      </c>
      <c r="Y729" s="13" t="n">
        <v>0.00815546948533386</v>
      </c>
      <c r="Z729" s="13" t="n">
        <v>0.0875454728983505</v>
      </c>
      <c r="AA729" s="30" t="s">
        <v>96</v>
      </c>
      <c r="AB729" s="28" t="s">
        <v>93</v>
      </c>
      <c r="AC729" s="28" t="s">
        <v>101</v>
      </c>
      <c r="AD729" s="28" t="s">
        <v>107</v>
      </c>
      <c r="AE729" s="28" t="s">
        <v>113</v>
      </c>
      <c r="AF729" s="28" t="s">
        <v>117</v>
      </c>
      <c r="AG729" s="30" t="s">
        <v>122</v>
      </c>
    </row>
    <row r="730" customFormat="false" ht="15" hidden="false" customHeight="false" outlineLevel="0" collapsed="false">
      <c r="A730" s="10" t="n">
        <v>2026</v>
      </c>
      <c r="B730" s="28" t="s">
        <v>78</v>
      </c>
      <c r="C730" s="29" t="n">
        <v>46119</v>
      </c>
      <c r="D730" s="30" t="s">
        <v>126</v>
      </c>
      <c r="E730" s="28" t="s">
        <v>465</v>
      </c>
      <c r="F730" s="28" t="s">
        <v>466</v>
      </c>
      <c r="G730" s="31" t="n">
        <v>81682</v>
      </c>
      <c r="H730" s="31" t="n">
        <v>1</v>
      </c>
      <c r="I730" s="31" t="n">
        <v>81682</v>
      </c>
      <c r="J730" s="29" t="n">
        <v>46121</v>
      </c>
      <c r="K730" s="31" t="n">
        <v>98100</v>
      </c>
      <c r="L730" s="30" t="s">
        <v>31</v>
      </c>
      <c r="M730" s="10" t="n">
        <v>2</v>
      </c>
      <c r="N730" s="12" t="n">
        <v>16195</v>
      </c>
      <c r="O730" s="13" t="n">
        <v>0.198272716988894</v>
      </c>
      <c r="P730" s="15" t="n">
        <v>0.220593132357838</v>
      </c>
      <c r="Q730" s="13" t="n">
        <v>0.0345047109752994</v>
      </c>
      <c r="R730" s="15" t="n">
        <v>0.0149253731343284</v>
      </c>
      <c r="S730" s="32" t="n">
        <v>45576129600</v>
      </c>
      <c r="T730" s="15" t="n">
        <v>0.00492610837438434</v>
      </c>
      <c r="U730" s="32" t="n">
        <v>59273471015</v>
      </c>
      <c r="V730" s="14" t="n">
        <v>0.738256670261255</v>
      </c>
      <c r="W730" s="13" t="n">
        <v>0.02</v>
      </c>
      <c r="X730" s="15" t="n">
        <v>0</v>
      </c>
      <c r="Y730" s="13" t="n">
        <v>0.00815546948533386</v>
      </c>
      <c r="Z730" s="13" t="n">
        <v>0.0875454728983505</v>
      </c>
      <c r="AA730" s="30" t="s">
        <v>96</v>
      </c>
      <c r="AB730" s="28" t="s">
        <v>93</v>
      </c>
      <c r="AC730" s="28" t="s">
        <v>99</v>
      </c>
      <c r="AD730" s="28" t="s">
        <v>107</v>
      </c>
      <c r="AE730" s="28" t="s">
        <v>112</v>
      </c>
      <c r="AF730" s="28" t="s">
        <v>116</v>
      </c>
      <c r="AG730" s="30" t="s">
        <v>122</v>
      </c>
    </row>
    <row r="731" customFormat="false" ht="15" hidden="false" customHeight="false" outlineLevel="0" collapsed="false">
      <c r="A731" s="10" t="n">
        <v>2026</v>
      </c>
      <c r="B731" s="28" t="s">
        <v>78</v>
      </c>
      <c r="C731" s="29" t="n">
        <v>46119</v>
      </c>
      <c r="D731" s="30" t="s">
        <v>126</v>
      </c>
      <c r="E731" s="28" t="s">
        <v>1035</v>
      </c>
      <c r="F731" s="30" t="s">
        <v>1036</v>
      </c>
      <c r="G731" s="31" t="n">
        <v>88088</v>
      </c>
      <c r="H731" s="31" t="n">
        <v>1</v>
      </c>
      <c r="I731" s="31" t="n">
        <v>88088</v>
      </c>
      <c r="J731" s="29" t="n">
        <v>46141</v>
      </c>
      <c r="K731" s="31" t="n">
        <v>105800</v>
      </c>
      <c r="L731" s="30" t="s">
        <v>31</v>
      </c>
      <c r="M731" s="10" t="n">
        <v>16</v>
      </c>
      <c r="N731" s="12" t="n">
        <v>17471</v>
      </c>
      <c r="O731" s="13" t="n">
        <v>0.198339351557533</v>
      </c>
      <c r="P731" s="15" t="n">
        <v>0.356597947507039</v>
      </c>
      <c r="Q731" s="13" t="n">
        <v>-0.0100808282626463</v>
      </c>
      <c r="R731" s="15" t="n">
        <v>0.0526315789473684</v>
      </c>
      <c r="S731" s="32" t="n">
        <v>28221424000</v>
      </c>
      <c r="T731" s="15" t="n">
        <v>0.0451306413301662</v>
      </c>
      <c r="U731" s="32" t="n">
        <v>20095750500</v>
      </c>
      <c r="V731" s="14" t="n">
        <v>1.26582713161665</v>
      </c>
      <c r="W731" s="13" t="n">
        <v>0.0476190476190477</v>
      </c>
      <c r="X731" s="15" t="n">
        <v>0.0272727272727273</v>
      </c>
      <c r="Y731" s="13" t="n">
        <v>0.00815546948533386</v>
      </c>
      <c r="Z731" s="13" t="n">
        <v>0.0875454728983505</v>
      </c>
      <c r="AA731" s="30" t="s">
        <v>96</v>
      </c>
      <c r="AB731" s="28" t="s">
        <v>93</v>
      </c>
      <c r="AC731" s="28" t="s">
        <v>101</v>
      </c>
      <c r="AD731" s="28" t="s">
        <v>106</v>
      </c>
      <c r="AE731" s="28" t="s">
        <v>113</v>
      </c>
      <c r="AF731" s="28" t="s">
        <v>116</v>
      </c>
      <c r="AG731" s="30" t="s">
        <v>122</v>
      </c>
    </row>
    <row r="732" customFormat="false" ht="15" hidden="false" customHeight="false" outlineLevel="0" collapsed="false">
      <c r="A732" s="10" t="n">
        <v>2026</v>
      </c>
      <c r="B732" s="28" t="s">
        <v>78</v>
      </c>
      <c r="C732" s="29" t="n">
        <v>46119</v>
      </c>
      <c r="D732" s="30" t="s">
        <v>126</v>
      </c>
      <c r="E732" s="28" t="s">
        <v>1037</v>
      </c>
      <c r="F732" s="30" t="s">
        <v>1038</v>
      </c>
      <c r="G732" s="31" t="n">
        <v>2272</v>
      </c>
      <c r="H732" s="31" t="n">
        <v>43</v>
      </c>
      <c r="I732" s="31" t="n">
        <v>97708</v>
      </c>
      <c r="J732" s="29" t="n">
        <v>46125</v>
      </c>
      <c r="K732" s="31" t="n">
        <v>2163</v>
      </c>
      <c r="L732" s="30" t="s">
        <v>32</v>
      </c>
      <c r="M732" s="10" t="n">
        <v>4</v>
      </c>
      <c r="N732" s="12" t="n">
        <v>-4920</v>
      </c>
      <c r="O732" s="13" t="n">
        <v>-0.0503575436677859</v>
      </c>
      <c r="P732" s="15" t="n">
        <v>0.14202977639101</v>
      </c>
      <c r="Q732" s="13" t="n">
        <v>-0.0626113974131594</v>
      </c>
      <c r="R732" s="15" t="n">
        <v>0.16231438812084</v>
      </c>
      <c r="S732" s="32" t="n">
        <v>21242451160</v>
      </c>
      <c r="T732" s="15" t="n">
        <v>0.0271493212669682</v>
      </c>
      <c r="U732" s="32" t="n">
        <v>4385991818.75</v>
      </c>
      <c r="V732" s="14" t="n">
        <v>4.35756870979727</v>
      </c>
      <c r="W732" s="13" t="n">
        <v>0.144153225806452</v>
      </c>
      <c r="X732" s="15" t="n">
        <v>0.079295154185022</v>
      </c>
      <c r="Y732" s="13" t="n">
        <v>0.00815546948533386</v>
      </c>
      <c r="Z732" s="13" t="n">
        <v>0.0875454728983505</v>
      </c>
      <c r="AA732" s="30" t="s">
        <v>96</v>
      </c>
      <c r="AB732" s="28" t="s">
        <v>93</v>
      </c>
      <c r="AC732" s="28" t="s">
        <v>103</v>
      </c>
      <c r="AD732" s="28" t="s">
        <v>106</v>
      </c>
      <c r="AE732" s="28" t="s">
        <v>113</v>
      </c>
      <c r="AF732" s="28" t="s">
        <v>118</v>
      </c>
      <c r="AG732" s="30" t="s">
        <v>122</v>
      </c>
    </row>
    <row r="733" customFormat="false" ht="15" hidden="false" customHeight="false" outlineLevel="0" collapsed="false">
      <c r="A733" s="10" t="n">
        <v>2026</v>
      </c>
      <c r="B733" s="28" t="s">
        <v>78</v>
      </c>
      <c r="C733" s="29" t="n">
        <v>46119</v>
      </c>
      <c r="D733" s="30" t="s">
        <v>126</v>
      </c>
      <c r="E733" s="28" t="s">
        <v>1039</v>
      </c>
      <c r="F733" s="30" t="s">
        <v>1040</v>
      </c>
      <c r="G733" s="31" t="n">
        <v>66566</v>
      </c>
      <c r="H733" s="31" t="n">
        <v>1</v>
      </c>
      <c r="I733" s="31" t="n">
        <v>66566</v>
      </c>
      <c r="J733" s="29" t="n">
        <v>46125</v>
      </c>
      <c r="K733" s="31" t="n">
        <v>63337</v>
      </c>
      <c r="L733" s="30" t="s">
        <v>32</v>
      </c>
      <c r="M733" s="10" t="n">
        <v>4</v>
      </c>
      <c r="N733" s="12" t="n">
        <v>-3376</v>
      </c>
      <c r="O733" s="13" t="n">
        <v>-0.0507170823912927</v>
      </c>
      <c r="P733" s="15" t="n">
        <v>0.042566456100291</v>
      </c>
      <c r="Q733" s="13" t="n">
        <v>-0.0490712295223571</v>
      </c>
      <c r="R733" s="15" t="n">
        <v>0.110183639398998</v>
      </c>
      <c r="S733" s="32" t="n">
        <v>20123232500</v>
      </c>
      <c r="T733" s="15" t="n">
        <v>0.0991735537190082</v>
      </c>
      <c r="U733" s="32" t="n">
        <v>3613554500</v>
      </c>
      <c r="V733" s="14" t="n">
        <v>4.86857008630066</v>
      </c>
      <c r="W733" s="13" t="n">
        <v>0.0795454545454546</v>
      </c>
      <c r="X733" s="15" t="n">
        <v>0.0526315789473684</v>
      </c>
      <c r="Y733" s="13" t="n">
        <v>0.00815546948533386</v>
      </c>
      <c r="Z733" s="13" t="n">
        <v>0.0875454728983505</v>
      </c>
      <c r="AA733" s="30" t="s">
        <v>96</v>
      </c>
      <c r="AB733" s="28" t="s">
        <v>93</v>
      </c>
      <c r="AC733" s="28" t="s">
        <v>102</v>
      </c>
      <c r="AD733" s="28" t="s">
        <v>106</v>
      </c>
      <c r="AE733" s="28" t="s">
        <v>101</v>
      </c>
      <c r="AF733" s="28" t="s">
        <v>118</v>
      </c>
      <c r="AG733" s="30" t="s">
        <v>122</v>
      </c>
    </row>
    <row r="734" customFormat="false" ht="15" hidden="false" customHeight="false" outlineLevel="0" collapsed="false">
      <c r="A734" s="10" t="n">
        <v>2026</v>
      </c>
      <c r="B734" s="28" t="s">
        <v>78</v>
      </c>
      <c r="C734" s="29" t="n">
        <v>46120</v>
      </c>
      <c r="D734" s="30" t="s">
        <v>127</v>
      </c>
      <c r="E734" s="28" t="s">
        <v>227</v>
      </c>
      <c r="F734" s="30" t="s">
        <v>228</v>
      </c>
      <c r="G734" s="31" t="n">
        <v>31431</v>
      </c>
      <c r="H734" s="31" t="n">
        <v>3</v>
      </c>
      <c r="I734" s="31" t="n">
        <v>94294</v>
      </c>
      <c r="J734" s="29" t="n">
        <v>46127</v>
      </c>
      <c r="K734" s="31" t="n">
        <v>37750</v>
      </c>
      <c r="L734" s="30" t="s">
        <v>31</v>
      </c>
      <c r="M734" s="10" t="n">
        <v>5</v>
      </c>
      <c r="N734" s="12" t="n">
        <v>18698</v>
      </c>
      <c r="O734" s="13" t="n">
        <v>0.198296060309118</v>
      </c>
      <c r="P734" s="15" t="n">
        <v>0.328289544850055</v>
      </c>
      <c r="Q734" s="13" t="n">
        <v>-0.0391773831264276</v>
      </c>
      <c r="R734" s="15" t="n">
        <v>0.115452930728242</v>
      </c>
      <c r="S734" s="32" t="n">
        <v>150678614800</v>
      </c>
      <c r="T734" s="15" t="n">
        <v>0.0194805194805194</v>
      </c>
      <c r="U734" s="32" t="n">
        <v>69997072095</v>
      </c>
      <c r="V734" s="14" t="n">
        <v>2.01594728799207</v>
      </c>
      <c r="W734" s="13" t="n">
        <v>0.0590219224283306</v>
      </c>
      <c r="X734" s="15" t="n">
        <v>0.00318471337579629</v>
      </c>
      <c r="Y734" s="13" t="n">
        <v>0.0687124871241434</v>
      </c>
      <c r="Z734" s="13" t="n">
        <v>0.0718491612973882</v>
      </c>
      <c r="AA734" s="30" t="s">
        <v>97</v>
      </c>
      <c r="AB734" s="28" t="s">
        <v>93</v>
      </c>
      <c r="AC734" s="28" t="s">
        <v>102</v>
      </c>
      <c r="AD734" s="28" t="s">
        <v>109</v>
      </c>
      <c r="AE734" s="28" t="s">
        <v>112</v>
      </c>
      <c r="AF734" s="28" t="s">
        <v>117</v>
      </c>
      <c r="AG734" s="30" t="s">
        <v>122</v>
      </c>
    </row>
    <row r="735" customFormat="false" ht="15" hidden="false" customHeight="false" outlineLevel="0" collapsed="false">
      <c r="A735" s="10" t="n">
        <v>2026</v>
      </c>
      <c r="B735" s="28" t="s">
        <v>78</v>
      </c>
      <c r="C735" s="29" t="n">
        <v>46120</v>
      </c>
      <c r="D735" s="30" t="s">
        <v>127</v>
      </c>
      <c r="E735" s="28" t="s">
        <v>469</v>
      </c>
      <c r="F735" s="28" t="s">
        <v>470</v>
      </c>
      <c r="G735" s="31" t="n">
        <v>54955</v>
      </c>
      <c r="H735" s="31" t="n">
        <v>1</v>
      </c>
      <c r="I735" s="31" t="n">
        <v>54955</v>
      </c>
      <c r="J735" s="29" t="n">
        <v>46127</v>
      </c>
      <c r="K735" s="31" t="n">
        <v>66000</v>
      </c>
      <c r="L735" s="30" t="s">
        <v>31</v>
      </c>
      <c r="M735" s="10" t="n">
        <v>5</v>
      </c>
      <c r="N735" s="12" t="n">
        <v>10895</v>
      </c>
      <c r="O735" s="13" t="n">
        <v>0.198252690205969</v>
      </c>
      <c r="P735" s="15" t="n">
        <v>0.246476656312722</v>
      </c>
      <c r="Q735" s="13" t="n">
        <v>-0.0137367186547514</v>
      </c>
      <c r="R735" s="15" t="n">
        <v>0.0517241379310345</v>
      </c>
      <c r="S735" s="32" t="n">
        <v>89086284900</v>
      </c>
      <c r="T735" s="15" t="n">
        <v>0.0261682242990655</v>
      </c>
      <c r="U735" s="32" t="n">
        <v>31613611270</v>
      </c>
      <c r="V735" s="14" t="n">
        <v>2.6139713436299</v>
      </c>
      <c r="W735" s="13" t="n">
        <v>0.00549450549450548</v>
      </c>
      <c r="X735" s="15" t="n">
        <v>0.0309653916211294</v>
      </c>
      <c r="Y735" s="13" t="n">
        <v>0.0687124871241434</v>
      </c>
      <c r="Z735" s="13" t="n">
        <v>0.0718491612973882</v>
      </c>
      <c r="AA735" s="30" t="s">
        <v>97</v>
      </c>
      <c r="AB735" s="28" t="s">
        <v>93</v>
      </c>
      <c r="AC735" s="28" t="s">
        <v>101</v>
      </c>
      <c r="AD735" s="28" t="s">
        <v>108</v>
      </c>
      <c r="AE735" s="28" t="s">
        <v>113</v>
      </c>
      <c r="AF735" s="28" t="s">
        <v>117</v>
      </c>
      <c r="AG735" s="30" t="s">
        <v>122</v>
      </c>
    </row>
    <row r="736" customFormat="false" ht="15" hidden="false" customHeight="false" outlineLevel="0" collapsed="false">
      <c r="A736" s="10" t="n">
        <v>2026</v>
      </c>
      <c r="B736" s="28" t="s">
        <v>78</v>
      </c>
      <c r="C736" s="29" t="n">
        <v>46120</v>
      </c>
      <c r="D736" s="30" t="s">
        <v>127</v>
      </c>
      <c r="E736" s="28" t="s">
        <v>211</v>
      </c>
      <c r="F736" s="30" t="s">
        <v>212</v>
      </c>
      <c r="G736" s="31" t="n">
        <v>61561</v>
      </c>
      <c r="H736" s="31" t="n">
        <v>1</v>
      </c>
      <c r="I736" s="31" t="n">
        <v>61561</v>
      </c>
      <c r="J736" s="29" t="n">
        <v>46154</v>
      </c>
      <c r="K736" s="31" t="n">
        <v>58541</v>
      </c>
      <c r="L736" s="30" t="s">
        <v>32</v>
      </c>
      <c r="M736" s="10" t="n">
        <v>22</v>
      </c>
      <c r="N736" s="12" t="n">
        <v>-3155</v>
      </c>
      <c r="O736" s="13" t="n">
        <v>-0.0512527835579055</v>
      </c>
      <c r="P736" s="15" t="n">
        <v>0.0883425517571861</v>
      </c>
      <c r="Q736" s="13" t="n">
        <v>-0.0838429862820106</v>
      </c>
      <c r="R736" s="15" t="n">
        <v>0.153846153846154</v>
      </c>
      <c r="S736" s="32" t="n">
        <v>45658215000</v>
      </c>
      <c r="T736" s="15" t="n">
        <v>0.0423728813559323</v>
      </c>
      <c r="U736" s="32" t="n">
        <v>20454271180</v>
      </c>
      <c r="V736" s="14" t="n">
        <v>2.03036509022409</v>
      </c>
      <c r="W736" s="13" t="n">
        <v>0.0658578856152514</v>
      </c>
      <c r="X736" s="15" t="n">
        <v>0.00162601626016268</v>
      </c>
      <c r="Y736" s="13" t="n">
        <v>0.0687124871241434</v>
      </c>
      <c r="Z736" s="13" t="n">
        <v>0.0718491612973882</v>
      </c>
      <c r="AA736" s="30" t="s">
        <v>97</v>
      </c>
      <c r="AB736" s="28" t="s">
        <v>93</v>
      </c>
      <c r="AC736" s="28" t="s">
        <v>103</v>
      </c>
      <c r="AD736" s="28" t="s">
        <v>107</v>
      </c>
      <c r="AE736" s="28" t="s">
        <v>113</v>
      </c>
      <c r="AF736" s="28" t="s">
        <v>117</v>
      </c>
      <c r="AG736" s="30" t="s">
        <v>122</v>
      </c>
    </row>
    <row r="737" customFormat="false" ht="15" hidden="false" customHeight="false" outlineLevel="0" collapsed="false">
      <c r="A737" s="10" t="n">
        <v>2026</v>
      </c>
      <c r="B737" s="28" t="s">
        <v>78</v>
      </c>
      <c r="C737" s="29" t="n">
        <v>46120</v>
      </c>
      <c r="D737" s="30" t="s">
        <v>127</v>
      </c>
      <c r="E737" s="28" t="s">
        <v>473</v>
      </c>
      <c r="F737" s="30" t="s">
        <v>474</v>
      </c>
      <c r="G737" s="31" t="n">
        <v>69169</v>
      </c>
      <c r="H737" s="31" t="n">
        <v>1</v>
      </c>
      <c r="I737" s="31" t="n">
        <v>69169</v>
      </c>
      <c r="J737" s="29" t="n">
        <v>46122</v>
      </c>
      <c r="K737" s="31" t="n">
        <v>83100</v>
      </c>
      <c r="L737" s="30" t="s">
        <v>31</v>
      </c>
      <c r="M737" s="10" t="n">
        <v>2</v>
      </c>
      <c r="N737" s="12" t="n">
        <v>13742</v>
      </c>
      <c r="O737" s="13" t="n">
        <v>0.198670499327012</v>
      </c>
      <c r="P737" s="15" t="n">
        <v>0.249112681818905</v>
      </c>
      <c r="Q737" s="13" t="n">
        <v>-0.0241307173289806</v>
      </c>
      <c r="R737" s="15" t="n">
        <v>0.107371794871795</v>
      </c>
      <c r="S737" s="32" t="n">
        <v>30154065300</v>
      </c>
      <c r="T737" s="15" t="n">
        <v>0.010233918128655</v>
      </c>
      <c r="U737" s="32" t="n">
        <v>16563747435</v>
      </c>
      <c r="V737" s="14" t="n">
        <v>1.67091879225083</v>
      </c>
      <c r="W737" s="13" t="n">
        <v>0.0328849028400597</v>
      </c>
      <c r="X737" s="15" t="n">
        <v>0.0115774240231548</v>
      </c>
      <c r="Y737" s="13" t="n">
        <v>0.0687124871241434</v>
      </c>
      <c r="Z737" s="13" t="n">
        <v>0.0718491612973882</v>
      </c>
      <c r="AA737" s="30" t="s">
        <v>97</v>
      </c>
      <c r="AB737" s="28" t="s">
        <v>93</v>
      </c>
      <c r="AC737" s="28" t="s">
        <v>102</v>
      </c>
      <c r="AD737" s="28" t="s">
        <v>107</v>
      </c>
      <c r="AE737" s="28" t="s">
        <v>112</v>
      </c>
      <c r="AF737" s="28" t="s">
        <v>116</v>
      </c>
      <c r="AG737" s="30" t="s">
        <v>122</v>
      </c>
    </row>
    <row r="738" customFormat="false" ht="15" hidden="false" customHeight="false" outlineLevel="0" collapsed="false">
      <c r="A738" s="10" t="n">
        <v>2026</v>
      </c>
      <c r="B738" s="28" t="s">
        <v>78</v>
      </c>
      <c r="C738" s="29" t="n">
        <v>46121</v>
      </c>
      <c r="D738" s="30" t="s">
        <v>128</v>
      </c>
      <c r="E738" s="28" t="s">
        <v>1041</v>
      </c>
      <c r="F738" s="28" t="s">
        <v>1042</v>
      </c>
      <c r="G738" s="31" t="n">
        <v>2000</v>
      </c>
      <c r="H738" s="31" t="n">
        <v>49</v>
      </c>
      <c r="I738" s="31" t="n">
        <v>98000</v>
      </c>
      <c r="J738" s="29" t="n">
        <v>46135</v>
      </c>
      <c r="K738" s="31" t="n">
        <v>1903</v>
      </c>
      <c r="L738" s="30" t="s">
        <v>32</v>
      </c>
      <c r="M738" s="10" t="n">
        <v>10</v>
      </c>
      <c r="N738" s="12" t="n">
        <v>-4963</v>
      </c>
      <c r="O738" s="13" t="n">
        <v>-0.0506473776223777</v>
      </c>
      <c r="P738" s="15" t="n">
        <v>0.0775010775010776</v>
      </c>
      <c r="Q738" s="13" t="n">
        <v>-0.063999063999064</v>
      </c>
      <c r="R738" s="15" t="n">
        <v>0.0817541959935031</v>
      </c>
      <c r="S738" s="32" t="n">
        <v>96669343890</v>
      </c>
      <c r="T738" s="15" t="n">
        <v>0.0718884120171675</v>
      </c>
      <c r="U738" s="32" t="n">
        <v>5785133337.65</v>
      </c>
      <c r="V738" s="14" t="n">
        <v>15.1420861103417</v>
      </c>
      <c r="W738" s="13" t="n">
        <v>0.0959956116291827</v>
      </c>
      <c r="X738" s="15" t="n">
        <v>0.0935935935935937</v>
      </c>
      <c r="Y738" s="13" t="n">
        <v>-0.0160634431930031</v>
      </c>
      <c r="Z738" s="13" t="n">
        <v>0.103927169209312</v>
      </c>
      <c r="AA738" s="30" t="s">
        <v>97</v>
      </c>
      <c r="AB738" s="28" t="s">
        <v>93</v>
      </c>
      <c r="AC738" s="28" t="s">
        <v>101</v>
      </c>
      <c r="AD738" s="28" t="s">
        <v>108</v>
      </c>
      <c r="AE738" s="28" t="s">
        <v>101</v>
      </c>
      <c r="AF738" s="28" t="s">
        <v>120</v>
      </c>
      <c r="AG738" s="30" t="s">
        <v>122</v>
      </c>
    </row>
    <row r="739" customFormat="false" ht="15" hidden="false" customHeight="false" outlineLevel="0" collapsed="false">
      <c r="A739" s="10" t="n">
        <v>2026</v>
      </c>
      <c r="B739" s="28" t="s">
        <v>78</v>
      </c>
      <c r="C739" s="29" t="n">
        <v>46122</v>
      </c>
      <c r="D739" s="30" t="s">
        <v>129</v>
      </c>
      <c r="E739" s="28" t="s">
        <v>165</v>
      </c>
      <c r="F739" s="28" t="s">
        <v>166</v>
      </c>
      <c r="G739" s="31" t="n">
        <v>12673</v>
      </c>
      <c r="H739" s="31" t="n">
        <v>7</v>
      </c>
      <c r="I739" s="31" t="n">
        <v>88709</v>
      </c>
      <c r="J739" s="29" t="n">
        <v>46134</v>
      </c>
      <c r="K739" s="31" t="n">
        <v>15210</v>
      </c>
      <c r="L739" s="30" t="s">
        <v>31</v>
      </c>
      <c r="M739" s="10" t="n">
        <v>8</v>
      </c>
      <c r="N739" s="12" t="n">
        <v>17519</v>
      </c>
      <c r="O739" s="13" t="n">
        <v>0.197491102972857</v>
      </c>
      <c r="P739" s="15" t="n">
        <v>0.246778497963332</v>
      </c>
      <c r="Q739" s="13" t="n">
        <v>-0.0357194148663341</v>
      </c>
      <c r="R739" s="15" t="n">
        <v>0.0728813559322035</v>
      </c>
      <c r="S739" s="32" t="n">
        <v>118296052800</v>
      </c>
      <c r="T739" s="15" t="n">
        <v>0.0419753086419754</v>
      </c>
      <c r="U739" s="32" t="n">
        <v>46260514819.5</v>
      </c>
      <c r="V739" s="14" t="n">
        <v>2.31599902795299</v>
      </c>
      <c r="W739" s="13" t="n">
        <v>0.0558798999165973</v>
      </c>
      <c r="X739" s="15" t="n">
        <v>0.0221169036334914</v>
      </c>
      <c r="Y739" s="13" t="n">
        <v>0.0139944375312606</v>
      </c>
      <c r="Z739" s="13" t="n">
        <v>0.0895560969259666</v>
      </c>
      <c r="AA739" s="30" t="s">
        <v>97</v>
      </c>
      <c r="AB739" s="28" t="s">
        <v>93</v>
      </c>
      <c r="AC739" s="28" t="s">
        <v>101</v>
      </c>
      <c r="AD739" s="28" t="s">
        <v>109</v>
      </c>
      <c r="AE739" s="28" t="s">
        <v>113</v>
      </c>
      <c r="AF739" s="28" t="s">
        <v>117</v>
      </c>
      <c r="AG739" s="30" t="s">
        <v>122</v>
      </c>
    </row>
    <row r="740" customFormat="false" ht="15" hidden="false" customHeight="false" outlineLevel="0" collapsed="false">
      <c r="A740" s="10" t="n">
        <v>2026</v>
      </c>
      <c r="B740" s="28" t="s">
        <v>78</v>
      </c>
      <c r="C740" s="29" t="n">
        <v>46122</v>
      </c>
      <c r="D740" s="30" t="s">
        <v>129</v>
      </c>
      <c r="E740" s="28" t="s">
        <v>1043</v>
      </c>
      <c r="F740" s="28" t="s">
        <v>1044</v>
      </c>
      <c r="G740" s="31" t="n">
        <v>18098</v>
      </c>
      <c r="H740" s="31" t="n">
        <v>5</v>
      </c>
      <c r="I740" s="31" t="n">
        <v>90490</v>
      </c>
      <c r="J740" s="29" t="n">
        <v>46171</v>
      </c>
      <c r="K740" s="31" t="n">
        <v>17223</v>
      </c>
      <c r="L740" s="30" t="s">
        <v>32</v>
      </c>
      <c r="M740" s="10" t="n">
        <v>32</v>
      </c>
      <c r="N740" s="12" t="n">
        <v>-4575</v>
      </c>
      <c r="O740" s="13" t="n">
        <v>-0.0505613659570519</v>
      </c>
      <c r="P740" s="15" t="n">
        <v>0.0802250846498636</v>
      </c>
      <c r="Q740" s="13" t="n">
        <v>-0.0485178538275882</v>
      </c>
      <c r="R740" s="15" t="n">
        <v>0.0698224852071006</v>
      </c>
      <c r="S740" s="32" t="n">
        <v>67295549920</v>
      </c>
      <c r="T740" s="15" t="n">
        <v>0.0232031692133561</v>
      </c>
      <c r="U740" s="32" t="n">
        <v>11461957112</v>
      </c>
      <c r="V740" s="14" t="n">
        <v>5.50018589601881</v>
      </c>
      <c r="W740" s="13" t="n">
        <v>0.0585480093676816</v>
      </c>
      <c r="X740" s="15" t="n">
        <v>0.0226769911504425</v>
      </c>
      <c r="Y740" s="13" t="n">
        <v>0.0139944375312606</v>
      </c>
      <c r="Z740" s="13" t="n">
        <v>0.0895560969259666</v>
      </c>
      <c r="AA740" s="30" t="s">
        <v>97</v>
      </c>
      <c r="AB740" s="28" t="s">
        <v>93</v>
      </c>
      <c r="AC740" s="28" t="s">
        <v>101</v>
      </c>
      <c r="AD740" s="28" t="s">
        <v>108</v>
      </c>
      <c r="AE740" s="28" t="s">
        <v>113</v>
      </c>
      <c r="AF740" s="28" t="s">
        <v>119</v>
      </c>
      <c r="AG740" s="30" t="s">
        <v>122</v>
      </c>
    </row>
    <row r="741" customFormat="false" ht="15" hidden="false" customHeight="false" outlineLevel="0" collapsed="false">
      <c r="A741" s="10" t="n">
        <v>2026</v>
      </c>
      <c r="B741" s="28" t="s">
        <v>78</v>
      </c>
      <c r="C741" s="29" t="n">
        <v>46125</v>
      </c>
      <c r="D741" s="30" t="s">
        <v>125</v>
      </c>
      <c r="E741" s="28" t="s">
        <v>1045</v>
      </c>
      <c r="F741" s="30" t="s">
        <v>1046</v>
      </c>
      <c r="G741" s="31" t="n">
        <v>9399</v>
      </c>
      <c r="H741" s="31" t="n">
        <v>10</v>
      </c>
      <c r="I741" s="31" t="n">
        <v>93994</v>
      </c>
      <c r="J741" s="29" t="n">
        <v>46127</v>
      </c>
      <c r="K741" s="31" t="n">
        <v>8941</v>
      </c>
      <c r="L741" s="30" t="s">
        <v>32</v>
      </c>
      <c r="M741" s="10" t="n">
        <v>2</v>
      </c>
      <c r="N741" s="12" t="n">
        <v>-4790</v>
      </c>
      <c r="O741" s="13" t="n">
        <v>-0.0509578989700396</v>
      </c>
      <c r="P741" s="15" t="n">
        <v>0.0809212087167359</v>
      </c>
      <c r="Q741" s="13" t="n">
        <v>-0.0605773353377187</v>
      </c>
      <c r="R741" s="15" t="n">
        <v>0.182619647355164</v>
      </c>
      <c r="S741" s="32" t="n">
        <v>303571206780</v>
      </c>
      <c r="T741" s="15" t="n">
        <v>0.0550561797752809</v>
      </c>
      <c r="U741" s="32" t="n">
        <v>19280925554.5</v>
      </c>
      <c r="V741" s="14" t="n">
        <v>13.9061677419444</v>
      </c>
      <c r="W741" s="13" t="n">
        <v>0.138181818181818</v>
      </c>
      <c r="X741" s="15" t="n">
        <v>0.0489882854100106</v>
      </c>
      <c r="Y741" s="13" t="n">
        <v>-0.00857673920056257</v>
      </c>
      <c r="Z741" s="13" t="n">
        <v>0.0657373039797591</v>
      </c>
      <c r="AA741" s="30" t="s">
        <v>97</v>
      </c>
      <c r="AB741" s="28" t="s">
        <v>93</v>
      </c>
      <c r="AC741" s="28" t="s">
        <v>103</v>
      </c>
      <c r="AD741" s="28" t="s">
        <v>110</v>
      </c>
      <c r="AE741" s="28" t="s">
        <v>101</v>
      </c>
      <c r="AF741" s="28" t="s">
        <v>120</v>
      </c>
      <c r="AG741" s="30" t="s">
        <v>122</v>
      </c>
    </row>
    <row r="742" customFormat="false" ht="15" hidden="false" customHeight="false" outlineLevel="0" collapsed="false">
      <c r="A742" s="10" t="n">
        <v>2026</v>
      </c>
      <c r="B742" s="28" t="s">
        <v>78</v>
      </c>
      <c r="C742" s="29" t="n">
        <v>46125</v>
      </c>
      <c r="D742" s="30" t="s">
        <v>125</v>
      </c>
      <c r="E742" s="28" t="s">
        <v>305</v>
      </c>
      <c r="F742" s="30" t="s">
        <v>306</v>
      </c>
      <c r="G742" s="31" t="n">
        <v>52252</v>
      </c>
      <c r="H742" s="31" t="n">
        <v>1</v>
      </c>
      <c r="I742" s="31" t="n">
        <v>52252</v>
      </c>
      <c r="J742" s="29" t="n">
        <v>46135</v>
      </c>
      <c r="K742" s="31" t="n">
        <v>62800</v>
      </c>
      <c r="L742" s="30" t="s">
        <v>31</v>
      </c>
      <c r="M742" s="10" t="n">
        <v>8</v>
      </c>
      <c r="N742" s="12" t="n">
        <v>10405</v>
      </c>
      <c r="O742" s="13" t="n">
        <v>0.199129264796506</v>
      </c>
      <c r="P742" s="15" t="n">
        <v>0.222915016018464</v>
      </c>
      <c r="Q742" s="13" t="n">
        <v>-0.0220507461886772</v>
      </c>
      <c r="R742" s="15" t="n">
        <v>0.0545454545454545</v>
      </c>
      <c r="S742" s="32" t="n">
        <v>113186878200</v>
      </c>
      <c r="T742" s="15" t="n">
        <v>0.01953125</v>
      </c>
      <c r="U742" s="32" t="n">
        <v>45711956975</v>
      </c>
      <c r="V742" s="14" t="n">
        <v>2.26194899749826</v>
      </c>
      <c r="W742" s="13" t="n">
        <v>0.0336633663366337</v>
      </c>
      <c r="X742" s="15" t="n">
        <v>0.0325670498084292</v>
      </c>
      <c r="Y742" s="13" t="n">
        <v>-0.00857673920056257</v>
      </c>
      <c r="Z742" s="13" t="n">
        <v>0.0657373039797591</v>
      </c>
      <c r="AA742" s="30" t="s">
        <v>97</v>
      </c>
      <c r="AB742" s="28" t="s">
        <v>93</v>
      </c>
      <c r="AC742" s="28" t="s">
        <v>101</v>
      </c>
      <c r="AD742" s="28" t="s">
        <v>109</v>
      </c>
      <c r="AE742" s="28" t="s">
        <v>112</v>
      </c>
      <c r="AF742" s="28" t="s">
        <v>117</v>
      </c>
      <c r="AG742" s="30" t="s">
        <v>122</v>
      </c>
    </row>
    <row r="743" customFormat="false" ht="15" hidden="false" customHeight="false" outlineLevel="0" collapsed="false">
      <c r="A743" s="10" t="n">
        <v>2026</v>
      </c>
      <c r="B743" s="28" t="s">
        <v>78</v>
      </c>
      <c r="C743" s="29" t="n">
        <v>46127</v>
      </c>
      <c r="D743" s="30" t="s">
        <v>127</v>
      </c>
      <c r="E743" s="28" t="s">
        <v>629</v>
      </c>
      <c r="F743" s="30" t="s">
        <v>630</v>
      </c>
      <c r="G743" s="31" t="n">
        <v>6547</v>
      </c>
      <c r="H743" s="31" t="n">
        <v>15</v>
      </c>
      <c r="I743" s="31" t="n">
        <v>98198</v>
      </c>
      <c r="J743" s="29" t="n">
        <v>46129</v>
      </c>
      <c r="K743" s="31" t="n">
        <v>6224</v>
      </c>
      <c r="L743" s="30" t="s">
        <v>32</v>
      </c>
      <c r="M743" s="10" t="n">
        <v>2</v>
      </c>
      <c r="N743" s="12" t="n">
        <v>-5057</v>
      </c>
      <c r="O743" s="13" t="n">
        <v>-0.0514979037018027</v>
      </c>
      <c r="P743" s="15" t="n">
        <v>0.0555194041432574</v>
      </c>
      <c r="Q743" s="13" t="n">
        <v>-0.0666825529210849</v>
      </c>
      <c r="R743" s="15" t="n">
        <v>0.186932849364791</v>
      </c>
      <c r="S743" s="32" t="n">
        <v>428093998920</v>
      </c>
      <c r="T743" s="15" t="n">
        <v>0.00306748466257667</v>
      </c>
      <c r="U743" s="32" t="n">
        <v>38792921520.5</v>
      </c>
      <c r="V743" s="14" t="n">
        <v>10.2006333862067</v>
      </c>
      <c r="W743" s="13" t="n">
        <v>0.167857142857143</v>
      </c>
      <c r="X743" s="15" t="n">
        <v>0.081039755351682</v>
      </c>
      <c r="Y743" s="13" t="n">
        <v>0.0207180260567217</v>
      </c>
      <c r="Z743" s="13" t="n">
        <v>0.0373019954566665</v>
      </c>
      <c r="AA743" s="30" t="s">
        <v>97</v>
      </c>
      <c r="AB743" s="28" t="s">
        <v>93</v>
      </c>
      <c r="AC743" s="28" t="s">
        <v>103</v>
      </c>
      <c r="AD743" s="28" t="s">
        <v>110</v>
      </c>
      <c r="AE743" s="28" t="s">
        <v>112</v>
      </c>
      <c r="AF743" s="28" t="s">
        <v>120</v>
      </c>
      <c r="AG743" s="30" t="s">
        <v>122</v>
      </c>
    </row>
    <row r="744" customFormat="false" ht="15" hidden="false" customHeight="false" outlineLevel="0" collapsed="false">
      <c r="A744" s="10" t="n">
        <v>2026</v>
      </c>
      <c r="B744" s="28" t="s">
        <v>78</v>
      </c>
      <c r="C744" s="29" t="n">
        <v>46127</v>
      </c>
      <c r="D744" s="30" t="s">
        <v>127</v>
      </c>
      <c r="E744" s="28" t="s">
        <v>1047</v>
      </c>
      <c r="F744" s="30" t="s">
        <v>1048</v>
      </c>
      <c r="G744" s="31" t="n">
        <v>6256</v>
      </c>
      <c r="H744" s="31" t="n">
        <v>15</v>
      </c>
      <c r="I744" s="31" t="n">
        <v>93844</v>
      </c>
      <c r="J744" s="29" t="n">
        <v>46129</v>
      </c>
      <c r="K744" s="31" t="n">
        <v>5954</v>
      </c>
      <c r="L744" s="30" t="s">
        <v>32</v>
      </c>
      <c r="M744" s="10" t="n">
        <v>2</v>
      </c>
      <c r="N744" s="12" t="n">
        <v>-4739</v>
      </c>
      <c r="O744" s="13" t="n">
        <v>-0.0505014383216782</v>
      </c>
      <c r="P744" s="15" t="n">
        <v>0.0293706293706295</v>
      </c>
      <c r="Q744" s="13" t="n">
        <v>-0.0793206793206792</v>
      </c>
      <c r="R744" s="15" t="n">
        <v>0.181474480151229</v>
      </c>
      <c r="S744" s="32" t="n">
        <v>88087700000</v>
      </c>
      <c r="T744" s="15" t="n">
        <v>0.0926573426573427</v>
      </c>
      <c r="U744" s="32" t="n">
        <v>5157875524</v>
      </c>
      <c r="V744" s="14" t="n">
        <v>13.9118102403385</v>
      </c>
      <c r="W744" s="13" t="n">
        <v>0.153136531365314</v>
      </c>
      <c r="X744" s="15" t="n">
        <v>0.0560000000000001</v>
      </c>
      <c r="Y744" s="13" t="n">
        <v>0.0207180260567217</v>
      </c>
      <c r="Z744" s="13" t="n">
        <v>0.0373019954566665</v>
      </c>
      <c r="AA744" s="30" t="s">
        <v>97</v>
      </c>
      <c r="AB744" s="28" t="s">
        <v>93</v>
      </c>
      <c r="AC744" s="28" t="s">
        <v>103</v>
      </c>
      <c r="AD744" s="28" t="s">
        <v>108</v>
      </c>
      <c r="AE744" s="28" t="s">
        <v>101</v>
      </c>
      <c r="AF744" s="28" t="s">
        <v>120</v>
      </c>
      <c r="AG744" s="30" t="s">
        <v>122</v>
      </c>
    </row>
    <row r="745" customFormat="false" ht="15" hidden="false" customHeight="false" outlineLevel="0" collapsed="false">
      <c r="A745" s="10" t="n">
        <v>2026</v>
      </c>
      <c r="B745" s="28" t="s">
        <v>78</v>
      </c>
      <c r="C745" s="29" t="n">
        <v>46127</v>
      </c>
      <c r="D745" s="30" t="s">
        <v>127</v>
      </c>
      <c r="E745" s="28" t="s">
        <v>847</v>
      </c>
      <c r="F745" s="30" t="s">
        <v>848</v>
      </c>
      <c r="G745" s="31" t="n">
        <v>16384</v>
      </c>
      <c r="H745" s="31" t="n">
        <v>6</v>
      </c>
      <c r="I745" s="31" t="n">
        <v>98304</v>
      </c>
      <c r="J745" s="29" t="n">
        <v>46128</v>
      </c>
      <c r="K745" s="31" t="n">
        <v>15594</v>
      </c>
      <c r="L745" s="30" t="s">
        <v>32</v>
      </c>
      <c r="M745" s="10" t="n">
        <v>1</v>
      </c>
      <c r="N745" s="12" t="n">
        <v>-4954</v>
      </c>
      <c r="O745" s="13" t="n">
        <v>-0.0503915308714071</v>
      </c>
      <c r="P745" s="15" t="n">
        <v>0.0932687490550992</v>
      </c>
      <c r="Q745" s="13" t="n">
        <v>-0.100602661433522</v>
      </c>
      <c r="R745" s="15" t="n">
        <v>0.107095926412615</v>
      </c>
      <c r="S745" s="32" t="n">
        <v>85539244050</v>
      </c>
      <c r="T745" s="15" t="n">
        <v>0.0401234567901234</v>
      </c>
      <c r="U745" s="32" t="n">
        <v>57647747644</v>
      </c>
      <c r="V745" s="14" t="n">
        <v>1.1850848748774</v>
      </c>
      <c r="W745" s="13" t="n">
        <v>0.0877985797288574</v>
      </c>
      <c r="X745" s="15" t="n">
        <v>0.0326409495548961</v>
      </c>
      <c r="Y745" s="13" t="n">
        <v>0.0207180260567217</v>
      </c>
      <c r="Z745" s="13" t="n">
        <v>0.0373019954566665</v>
      </c>
      <c r="AA745" s="30" t="s">
        <v>97</v>
      </c>
      <c r="AB745" s="28" t="s">
        <v>93</v>
      </c>
      <c r="AC745" s="28" t="s">
        <v>102</v>
      </c>
      <c r="AD745" s="28" t="s">
        <v>108</v>
      </c>
      <c r="AE745" s="28" t="s">
        <v>113</v>
      </c>
      <c r="AF745" s="28" t="s">
        <v>116</v>
      </c>
      <c r="AG745" s="30" t="s">
        <v>122</v>
      </c>
    </row>
    <row r="746" customFormat="false" ht="15" hidden="false" customHeight="false" outlineLevel="0" collapsed="false">
      <c r="A746" s="10" t="n">
        <v>2026</v>
      </c>
      <c r="B746" s="28" t="s">
        <v>78</v>
      </c>
      <c r="C746" s="29" t="n">
        <v>46128</v>
      </c>
      <c r="D746" s="30" t="s">
        <v>128</v>
      </c>
      <c r="E746" s="28" t="s">
        <v>591</v>
      </c>
      <c r="F746" s="30" t="s">
        <v>592</v>
      </c>
      <c r="G746" s="31" t="n">
        <v>28729</v>
      </c>
      <c r="H746" s="31" t="n">
        <v>3</v>
      </c>
      <c r="I746" s="31" t="n">
        <v>86186</v>
      </c>
      <c r="J746" s="29" t="n">
        <v>46135</v>
      </c>
      <c r="K746" s="31" t="n">
        <v>34500</v>
      </c>
      <c r="L746" s="30" t="s">
        <v>31</v>
      </c>
      <c r="M746" s="10" t="n">
        <v>5</v>
      </c>
      <c r="N746" s="12" t="n">
        <v>17078</v>
      </c>
      <c r="O746" s="13" t="n">
        <v>0.198157789771205</v>
      </c>
      <c r="P746" s="15" t="n">
        <v>0.230476840232938</v>
      </c>
      <c r="Q746" s="13" t="n">
        <v>-0.0184031995878685</v>
      </c>
      <c r="R746" s="15" t="n">
        <v>0.0213523131672597</v>
      </c>
      <c r="S746" s="32" t="n">
        <v>117807559100</v>
      </c>
      <c r="T746" s="15" t="n">
        <v>0.00525394045534156</v>
      </c>
      <c r="U746" s="32" t="n">
        <v>117778152615</v>
      </c>
      <c r="V746" s="14" t="n">
        <v>0.937626253287482</v>
      </c>
      <c r="W746" s="13" t="n">
        <v>0.0105633802816902</v>
      </c>
      <c r="X746" s="15" t="n">
        <v>0.0104529616724738</v>
      </c>
      <c r="Y746" s="13" t="n">
        <v>0.0221066127763943</v>
      </c>
      <c r="Z746" s="13" t="n">
        <v>0.0775422680126894</v>
      </c>
      <c r="AA746" s="30" t="s">
        <v>97</v>
      </c>
      <c r="AB746" s="28" t="s">
        <v>93</v>
      </c>
      <c r="AC746" s="28" t="s">
        <v>99</v>
      </c>
      <c r="AD746" s="28" t="s">
        <v>109</v>
      </c>
      <c r="AE746" s="28" t="s">
        <v>112</v>
      </c>
      <c r="AF746" s="28" t="s">
        <v>116</v>
      </c>
      <c r="AG746" s="30" t="s">
        <v>122</v>
      </c>
    </row>
    <row r="747" customFormat="false" ht="15" hidden="false" customHeight="false" outlineLevel="0" collapsed="false">
      <c r="A747" s="10" t="n">
        <v>2026</v>
      </c>
      <c r="B747" s="28" t="s">
        <v>78</v>
      </c>
      <c r="C747" s="29" t="n">
        <v>46129</v>
      </c>
      <c r="D747" s="30" t="s">
        <v>129</v>
      </c>
      <c r="E747" s="28" t="s">
        <v>749</v>
      </c>
      <c r="F747" s="30" t="s">
        <v>750</v>
      </c>
      <c r="G747" s="31" t="n">
        <v>33033</v>
      </c>
      <c r="H747" s="31" t="n">
        <v>3</v>
      </c>
      <c r="I747" s="31" t="n">
        <v>99099</v>
      </c>
      <c r="J747" s="29" t="n">
        <v>46132</v>
      </c>
      <c r="K747" s="31" t="n">
        <v>31419</v>
      </c>
      <c r="L747" s="30" t="s">
        <v>32</v>
      </c>
      <c r="M747" s="10" t="n">
        <v>1</v>
      </c>
      <c r="N747" s="12" t="n">
        <v>-5061</v>
      </c>
      <c r="O747" s="13" t="n">
        <v>-0.0510687746344567</v>
      </c>
      <c r="P747" s="15" t="n">
        <v>-0.000999000999000965</v>
      </c>
      <c r="Q747" s="13" t="n">
        <v>-0.0554899645808736</v>
      </c>
      <c r="R747" s="15" t="n">
        <v>0.114864864864865</v>
      </c>
      <c r="S747" s="32" t="n">
        <v>443689554000</v>
      </c>
      <c r="T747" s="15" t="n">
        <v>0.114864864864865</v>
      </c>
      <c r="U747" s="32" t="n">
        <v>33667253927.5</v>
      </c>
      <c r="V747" s="14" t="n">
        <v>10.9624321428746</v>
      </c>
      <c r="W747" s="13" t="n">
        <v>0.103678929765886</v>
      </c>
      <c r="X747" s="15" t="n">
        <v>0.0545454545454545</v>
      </c>
      <c r="Y747" s="13" t="n">
        <v>-0.00548180628167139</v>
      </c>
      <c r="Z747" s="13" t="n">
        <v>0.0568454326516887</v>
      </c>
      <c r="AA747" s="30" t="s">
        <v>97</v>
      </c>
      <c r="AB747" s="28" t="s">
        <v>93</v>
      </c>
      <c r="AC747" s="28" t="s">
        <v>102</v>
      </c>
      <c r="AD747" s="28" t="s">
        <v>110</v>
      </c>
      <c r="AE747" s="28" t="s">
        <v>114</v>
      </c>
      <c r="AF747" s="28" t="s">
        <v>120</v>
      </c>
      <c r="AG747" s="30" t="s">
        <v>122</v>
      </c>
    </row>
    <row r="748" customFormat="false" ht="15" hidden="false" customHeight="false" outlineLevel="0" collapsed="false">
      <c r="A748" s="10" t="n">
        <v>2026</v>
      </c>
      <c r="B748" s="28" t="s">
        <v>78</v>
      </c>
      <c r="C748" s="29" t="n">
        <v>46129</v>
      </c>
      <c r="D748" s="30" t="s">
        <v>129</v>
      </c>
      <c r="E748" s="28" t="s">
        <v>489</v>
      </c>
      <c r="F748" s="30" t="s">
        <v>490</v>
      </c>
      <c r="G748" s="31" t="n">
        <v>56156</v>
      </c>
      <c r="H748" s="31" t="n">
        <v>1</v>
      </c>
      <c r="I748" s="31" t="n">
        <v>56156</v>
      </c>
      <c r="J748" s="29" t="n">
        <v>46134</v>
      </c>
      <c r="K748" s="31" t="n">
        <v>67400</v>
      </c>
      <c r="L748" s="30" t="s">
        <v>31</v>
      </c>
      <c r="M748" s="10" t="n">
        <v>3</v>
      </c>
      <c r="N748" s="12" t="n">
        <v>11091</v>
      </c>
      <c r="O748" s="13" t="n">
        <v>0.197495313688095</v>
      </c>
      <c r="P748" s="15" t="n">
        <v>0.221594804482505</v>
      </c>
      <c r="Q748" s="13" t="n">
        <v>-0.0437370116514501</v>
      </c>
      <c r="R748" s="15" t="n">
        <v>0.163900414937759</v>
      </c>
      <c r="S748" s="32" t="n">
        <v>288555174600</v>
      </c>
      <c r="T748" s="15" t="n">
        <v>0.140243902439024</v>
      </c>
      <c r="U748" s="32" t="n">
        <v>20153128055</v>
      </c>
      <c r="V748" s="14" t="n">
        <v>11.8719585611293</v>
      </c>
      <c r="W748" s="13" t="n">
        <v>0.151950718685832</v>
      </c>
      <c r="X748" s="15" t="n">
        <v>0.0677361853832441</v>
      </c>
      <c r="Y748" s="13" t="n">
        <v>-0.00548180628167139</v>
      </c>
      <c r="Z748" s="13" t="n">
        <v>0.0568454326516887</v>
      </c>
      <c r="AA748" s="30" t="s">
        <v>97</v>
      </c>
      <c r="AB748" s="28" t="s">
        <v>93</v>
      </c>
      <c r="AC748" s="28" t="s">
        <v>103</v>
      </c>
      <c r="AD748" s="28" t="s">
        <v>110</v>
      </c>
      <c r="AE748" s="28" t="s">
        <v>114</v>
      </c>
      <c r="AF748" s="28" t="s">
        <v>120</v>
      </c>
      <c r="AG748" s="30" t="s">
        <v>122</v>
      </c>
    </row>
    <row r="749" customFormat="false" ht="15" hidden="false" customHeight="false" outlineLevel="0" collapsed="false">
      <c r="A749" s="10" t="n">
        <v>2026</v>
      </c>
      <c r="B749" s="28" t="s">
        <v>78</v>
      </c>
      <c r="C749" s="29" t="n">
        <v>46132</v>
      </c>
      <c r="D749" s="30" t="s">
        <v>125</v>
      </c>
      <c r="E749" s="28" t="s">
        <v>713</v>
      </c>
      <c r="F749" s="30" t="s">
        <v>714</v>
      </c>
      <c r="G749" s="31" t="n">
        <v>38739</v>
      </c>
      <c r="H749" s="31" t="n">
        <v>2</v>
      </c>
      <c r="I749" s="31" t="n">
        <v>77477</v>
      </c>
      <c r="J749" s="29" t="n">
        <v>46135</v>
      </c>
      <c r="K749" s="31" t="n">
        <v>36863</v>
      </c>
      <c r="L749" s="30" t="s">
        <v>32</v>
      </c>
      <c r="M749" s="10" t="n">
        <v>3</v>
      </c>
      <c r="N749" s="12" t="n">
        <v>-3921</v>
      </c>
      <c r="O749" s="13" t="n">
        <v>-0.0506126036753943</v>
      </c>
      <c r="P749" s="15" t="n">
        <v>0.0570824524312896</v>
      </c>
      <c r="Q749" s="13" t="n">
        <v>-0.0474641637432335</v>
      </c>
      <c r="R749" s="15" t="n">
        <v>0.073509015256588</v>
      </c>
      <c r="S749" s="32" t="n">
        <v>268842011400</v>
      </c>
      <c r="T749" s="15" t="n">
        <v>0.069060773480663</v>
      </c>
      <c r="U749" s="32" t="n">
        <v>49993226592.5</v>
      </c>
      <c r="V749" s="14" t="n">
        <v>4.47773767062144</v>
      </c>
      <c r="W749" s="13" t="n">
        <v>0.073509015256588</v>
      </c>
      <c r="X749" s="15" t="n">
        <v>0.0516795865633075</v>
      </c>
      <c r="Y749" s="13" t="n">
        <v>0.00438797658884482</v>
      </c>
      <c r="Z749" s="13" t="n">
        <v>0.0706656658552289</v>
      </c>
      <c r="AA749" s="30" t="s">
        <v>97</v>
      </c>
      <c r="AB749" s="28" t="s">
        <v>93</v>
      </c>
      <c r="AC749" s="28" t="s">
        <v>101</v>
      </c>
      <c r="AD749" s="28" t="s">
        <v>110</v>
      </c>
      <c r="AE749" s="28" t="s">
        <v>101</v>
      </c>
      <c r="AF749" s="28" t="s">
        <v>118</v>
      </c>
      <c r="AG749" s="30" t="s">
        <v>122</v>
      </c>
    </row>
    <row r="750" customFormat="false" ht="15" hidden="false" customHeight="false" outlineLevel="0" collapsed="false">
      <c r="A750" s="10" t="n">
        <v>2026</v>
      </c>
      <c r="B750" s="28" t="s">
        <v>78</v>
      </c>
      <c r="C750" s="29" t="n">
        <v>46134</v>
      </c>
      <c r="D750" s="30" t="s">
        <v>127</v>
      </c>
      <c r="E750" s="28" t="s">
        <v>1049</v>
      </c>
      <c r="F750" s="28" t="s">
        <v>1050</v>
      </c>
      <c r="G750" s="31" t="n">
        <v>25175</v>
      </c>
      <c r="H750" s="31" t="n">
        <v>3</v>
      </c>
      <c r="I750" s="31" t="n">
        <v>75525</v>
      </c>
      <c r="J750" s="29" t="n">
        <v>46141</v>
      </c>
      <c r="K750" s="31" t="n">
        <v>30250</v>
      </c>
      <c r="L750" s="30" t="s">
        <v>31</v>
      </c>
      <c r="M750" s="10" t="n">
        <v>5</v>
      </c>
      <c r="N750" s="12" t="n">
        <v>15018</v>
      </c>
      <c r="O750" s="13" t="n">
        <v>0.198848317785594</v>
      </c>
      <c r="P750" s="15" t="n">
        <v>0.299892949992354</v>
      </c>
      <c r="Q750" s="13" t="n">
        <v>-0.0407207107008299</v>
      </c>
      <c r="R750" s="15" t="n">
        <v>0.105494505494506</v>
      </c>
      <c r="S750" s="32" t="n">
        <v>218559510850</v>
      </c>
      <c r="T750" s="15" t="n">
        <v>0.105494505494506</v>
      </c>
      <c r="U750" s="32" t="n">
        <v>50806161314.5</v>
      </c>
      <c r="V750" s="14" t="n">
        <v>3.54848200706749</v>
      </c>
      <c r="W750" s="13" t="n">
        <v>0.0793991416309012</v>
      </c>
      <c r="X750" s="15" t="n">
        <v>0.0119284294234592</v>
      </c>
      <c r="Y750" s="13" t="n">
        <v>0.00461143278437559</v>
      </c>
      <c r="Z750" s="13" t="n">
        <v>0.0536068122382576</v>
      </c>
      <c r="AA750" s="30" t="s">
        <v>97</v>
      </c>
      <c r="AB750" s="28" t="s">
        <v>93</v>
      </c>
      <c r="AC750" s="28" t="s">
        <v>102</v>
      </c>
      <c r="AD750" s="28" t="s">
        <v>110</v>
      </c>
      <c r="AE750" s="28" t="s">
        <v>114</v>
      </c>
      <c r="AF750" s="28" t="s">
        <v>118</v>
      </c>
      <c r="AG750" s="30" t="s">
        <v>122</v>
      </c>
    </row>
    <row r="751" customFormat="false" ht="15" hidden="false" customHeight="false" outlineLevel="0" collapsed="false">
      <c r="A751" s="10" t="n">
        <v>2026</v>
      </c>
      <c r="B751" s="28" t="s">
        <v>78</v>
      </c>
      <c r="C751" s="29" t="n">
        <v>46134</v>
      </c>
      <c r="D751" s="30" t="s">
        <v>127</v>
      </c>
      <c r="E751" s="28" t="s">
        <v>381</v>
      </c>
      <c r="F751" s="30" t="s">
        <v>382</v>
      </c>
      <c r="G751" s="31" t="n">
        <v>65465</v>
      </c>
      <c r="H751" s="31" t="n">
        <v>1</v>
      </c>
      <c r="I751" s="31" t="n">
        <v>65465</v>
      </c>
      <c r="J751" s="29" t="n">
        <v>46139</v>
      </c>
      <c r="K751" s="31" t="n">
        <v>78600</v>
      </c>
      <c r="L751" s="30" t="s">
        <v>31</v>
      </c>
      <c r="M751" s="10" t="n">
        <v>3</v>
      </c>
      <c r="N751" s="12" t="n">
        <v>12956</v>
      </c>
      <c r="O751" s="13" t="n">
        <v>0.197902864566626</v>
      </c>
      <c r="P751" s="15" t="n">
        <v>0.255625108836118</v>
      </c>
      <c r="Q751" s="13" t="n">
        <v>-0.0132191967054351</v>
      </c>
      <c r="R751" s="15" t="n">
        <v>0.075657894736842</v>
      </c>
      <c r="S751" s="32" t="n">
        <v>63768989400</v>
      </c>
      <c r="T751" s="15" t="n">
        <v>0.0738916256157636</v>
      </c>
      <c r="U751" s="32" t="n">
        <v>57013257537.5</v>
      </c>
      <c r="V751" s="14" t="n">
        <v>0.923020897211061</v>
      </c>
      <c r="W751" s="13" t="n">
        <v>0.075657894736842</v>
      </c>
      <c r="X751" s="15" t="n">
        <v>0.0214067278287462</v>
      </c>
      <c r="Y751" s="13" t="n">
        <v>0.00461143278437559</v>
      </c>
      <c r="Z751" s="13" t="n">
        <v>0.0536068122382576</v>
      </c>
      <c r="AA751" s="30" t="s">
        <v>97</v>
      </c>
      <c r="AB751" s="28" t="s">
        <v>93</v>
      </c>
      <c r="AC751" s="28" t="s">
        <v>101</v>
      </c>
      <c r="AD751" s="28" t="s">
        <v>108</v>
      </c>
      <c r="AE751" s="28" t="s">
        <v>101</v>
      </c>
      <c r="AF751" s="28" t="s">
        <v>116</v>
      </c>
      <c r="AG751" s="30" t="s">
        <v>122</v>
      </c>
    </row>
    <row r="752" customFormat="false" ht="15" hidden="false" customHeight="false" outlineLevel="0" collapsed="false">
      <c r="A752" s="10" t="n">
        <v>2026</v>
      </c>
      <c r="B752" s="28" t="s">
        <v>78</v>
      </c>
      <c r="C752" s="29" t="n">
        <v>46135</v>
      </c>
      <c r="D752" s="30" t="s">
        <v>128</v>
      </c>
      <c r="E752" s="28" t="s">
        <v>431</v>
      </c>
      <c r="F752" s="28" t="s">
        <v>432</v>
      </c>
      <c r="G752" s="31" t="n">
        <v>51051</v>
      </c>
      <c r="H752" s="31" t="n">
        <v>1</v>
      </c>
      <c r="I752" s="31" t="n">
        <v>51051</v>
      </c>
      <c r="J752" s="29" t="n">
        <v>46157</v>
      </c>
      <c r="K752" s="31" t="n">
        <v>48601</v>
      </c>
      <c r="L752" s="30" t="s">
        <v>32</v>
      </c>
      <c r="M752" s="10" t="n">
        <v>14</v>
      </c>
      <c r="N752" s="12" t="n">
        <v>-2562</v>
      </c>
      <c r="O752" s="13" t="n">
        <v>-0.0501812021801729</v>
      </c>
      <c r="P752" s="15" t="n">
        <v>0.161583514524691</v>
      </c>
      <c r="Q752" s="13" t="n">
        <v>-0.0480108127166949</v>
      </c>
      <c r="R752" s="15" t="n">
        <v>0.0625</v>
      </c>
      <c r="S752" s="32" t="n">
        <v>502255497000</v>
      </c>
      <c r="T752" s="15" t="n">
        <v>0.0625</v>
      </c>
      <c r="U752" s="32" t="n">
        <v>97452415560</v>
      </c>
      <c r="V752" s="14" t="n">
        <v>4.4620926353848</v>
      </c>
      <c r="W752" s="13" t="n">
        <v>0.0429447852760736</v>
      </c>
      <c r="X752" s="15" t="n">
        <v>0.0431372549019609</v>
      </c>
      <c r="Y752" s="13" t="n">
        <v>0.00901848415299011</v>
      </c>
      <c r="Z752" s="13" t="n">
        <v>0.0401153219135728</v>
      </c>
      <c r="AA752" s="30" t="s">
        <v>97</v>
      </c>
      <c r="AB752" s="28" t="s">
        <v>93</v>
      </c>
      <c r="AC752" s="28" t="s">
        <v>101</v>
      </c>
      <c r="AD752" s="28" t="s">
        <v>110</v>
      </c>
      <c r="AE752" s="28" t="s">
        <v>101</v>
      </c>
      <c r="AF752" s="28" t="s">
        <v>118</v>
      </c>
      <c r="AG752" s="30" t="s">
        <v>122</v>
      </c>
    </row>
    <row r="753" customFormat="false" ht="15" hidden="false" customHeight="false" outlineLevel="0" collapsed="false">
      <c r="A753" s="10" t="n">
        <v>2026</v>
      </c>
      <c r="B753" s="28" t="s">
        <v>78</v>
      </c>
      <c r="C753" s="29" t="n">
        <v>46135</v>
      </c>
      <c r="D753" s="30" t="s">
        <v>128</v>
      </c>
      <c r="E753" s="28" t="s">
        <v>1051</v>
      </c>
      <c r="F753" s="30" t="s">
        <v>1052</v>
      </c>
      <c r="G753" s="31" t="n">
        <v>11882</v>
      </c>
      <c r="H753" s="31" t="n">
        <v>8</v>
      </c>
      <c r="I753" s="31" t="n">
        <v>95055</v>
      </c>
      <c r="J753" s="29" t="n">
        <v>46146</v>
      </c>
      <c r="K753" s="31" t="n">
        <v>14260</v>
      </c>
      <c r="L753" s="30" t="s">
        <v>31</v>
      </c>
      <c r="M753" s="10" t="n">
        <v>6</v>
      </c>
      <c r="N753" s="12" t="n">
        <v>18766</v>
      </c>
      <c r="O753" s="13" t="n">
        <v>0.197417470440259</v>
      </c>
      <c r="P753" s="15" t="n">
        <v>0.28599286139303</v>
      </c>
      <c r="Q753" s="13" t="n">
        <v>-0.0312972621312975</v>
      </c>
      <c r="R753" s="15" t="n">
        <v>0.18344965104686</v>
      </c>
      <c r="S753" s="32" t="n">
        <v>478687686140</v>
      </c>
      <c r="T753" s="15" t="n">
        <v>0.112464854732896</v>
      </c>
      <c r="U753" s="32" t="n">
        <v>25943990223.5</v>
      </c>
      <c r="V753" s="14" t="n">
        <v>15.5951398335406</v>
      </c>
      <c r="W753" s="13" t="n">
        <v>0.13047619047619</v>
      </c>
      <c r="X753" s="15" t="n">
        <v>0.0657118786857625</v>
      </c>
      <c r="Y753" s="13" t="n">
        <v>0.00901848415299011</v>
      </c>
      <c r="Z753" s="13" t="n">
        <v>0.0401153219135728</v>
      </c>
      <c r="AA753" s="30" t="s">
        <v>97</v>
      </c>
      <c r="AB753" s="28" t="s">
        <v>93</v>
      </c>
      <c r="AC753" s="28" t="s">
        <v>103</v>
      </c>
      <c r="AD753" s="28" t="s">
        <v>110</v>
      </c>
      <c r="AE753" s="28" t="s">
        <v>114</v>
      </c>
      <c r="AF753" s="28" t="s">
        <v>120</v>
      </c>
      <c r="AG753" s="30" t="s">
        <v>122</v>
      </c>
    </row>
    <row r="754" customFormat="false" ht="15" hidden="false" customHeight="false" outlineLevel="0" collapsed="false">
      <c r="A754" s="10" t="n">
        <v>2026</v>
      </c>
      <c r="B754" s="28" t="s">
        <v>78</v>
      </c>
      <c r="C754" s="29" t="n">
        <v>46135</v>
      </c>
      <c r="D754" s="30" t="s">
        <v>128</v>
      </c>
      <c r="E754" s="28" t="s">
        <v>1053</v>
      </c>
      <c r="F754" s="30" t="s">
        <v>1054</v>
      </c>
      <c r="G754" s="31" t="n">
        <v>6692</v>
      </c>
      <c r="H754" s="31" t="n">
        <v>14</v>
      </c>
      <c r="I754" s="31" t="n">
        <v>93692</v>
      </c>
      <c r="J754" s="29" t="n">
        <v>46136</v>
      </c>
      <c r="K754" s="31" t="n">
        <v>6364</v>
      </c>
      <c r="L754" s="30" t="s">
        <v>32</v>
      </c>
      <c r="M754" s="10" t="n">
        <v>1</v>
      </c>
      <c r="N754" s="12" t="n">
        <v>-4806</v>
      </c>
      <c r="O754" s="13" t="n">
        <v>-0.0513010813456345</v>
      </c>
      <c r="P754" s="15" t="n">
        <v>0.0117181262867261</v>
      </c>
      <c r="Q754" s="13" t="n">
        <v>-0.0674106657133531</v>
      </c>
      <c r="R754" s="15" t="n">
        <v>0.108150470219436</v>
      </c>
      <c r="S754" s="32" t="n">
        <v>59522160320</v>
      </c>
      <c r="T754" s="15" t="n">
        <v>0.0351390922401171</v>
      </c>
      <c r="U754" s="32" t="n">
        <v>8256132640.5</v>
      </c>
      <c r="V754" s="14" t="n">
        <v>6.6684760342296</v>
      </c>
      <c r="W754" s="13" t="n">
        <v>0.0910493827160495</v>
      </c>
      <c r="X754" s="15" t="n">
        <v>0.123055162659123</v>
      </c>
      <c r="Y754" s="13" t="n">
        <v>0.00901848415299011</v>
      </c>
      <c r="Z754" s="13" t="n">
        <v>0.0401153219135728</v>
      </c>
      <c r="AA754" s="30" t="s">
        <v>97</v>
      </c>
      <c r="AB754" s="28" t="s">
        <v>93</v>
      </c>
      <c r="AC754" s="28" t="s">
        <v>102</v>
      </c>
      <c r="AD754" s="28" t="s">
        <v>108</v>
      </c>
      <c r="AE754" s="28" t="s">
        <v>113</v>
      </c>
      <c r="AF754" s="28" t="s">
        <v>119</v>
      </c>
      <c r="AG754" s="30" t="s">
        <v>122</v>
      </c>
    </row>
    <row r="755" customFormat="false" ht="15" hidden="false" customHeight="false" outlineLevel="0" collapsed="false">
      <c r="A755" s="10" t="n">
        <v>2026</v>
      </c>
      <c r="B755" s="28" t="s">
        <v>78</v>
      </c>
      <c r="C755" s="29" t="n">
        <v>46135</v>
      </c>
      <c r="D755" s="30" t="s">
        <v>128</v>
      </c>
      <c r="E755" s="28" t="s">
        <v>533</v>
      </c>
      <c r="F755" s="30" t="s">
        <v>534</v>
      </c>
      <c r="G755" s="31" t="n">
        <v>20971</v>
      </c>
      <c r="H755" s="31" t="n">
        <v>4</v>
      </c>
      <c r="I755" s="31" t="n">
        <v>83884</v>
      </c>
      <c r="J755" s="29" t="n">
        <v>46149</v>
      </c>
      <c r="K755" s="31" t="n">
        <v>19960</v>
      </c>
      <c r="L755" s="30" t="s">
        <v>32</v>
      </c>
      <c r="M755" s="10" t="n">
        <v>8</v>
      </c>
      <c r="N755" s="12" t="n">
        <v>-4228</v>
      </c>
      <c r="O755" s="13" t="n">
        <v>-0.0504025657159071</v>
      </c>
      <c r="P755" s="15" t="n">
        <v>0.034764757915116</v>
      </c>
      <c r="Q755" s="13" t="n">
        <v>-0.0768181698969287</v>
      </c>
      <c r="R755" s="15" t="n">
        <v>0.0645325203252032</v>
      </c>
      <c r="S755" s="32" t="n">
        <v>57893984200</v>
      </c>
      <c r="T755" s="15" t="n">
        <v>0.0490736104156235</v>
      </c>
      <c r="U755" s="32" t="n">
        <v>7648115886.5</v>
      </c>
      <c r="V755" s="14" t="n">
        <v>6.88755969740893</v>
      </c>
      <c r="W755" s="13" t="n">
        <v>0.0320197044334976</v>
      </c>
      <c r="X755" s="15" t="n">
        <v>0.0381861575178997</v>
      </c>
      <c r="Y755" s="13" t="n">
        <v>0.00901848415299011</v>
      </c>
      <c r="Z755" s="13" t="n">
        <v>0.0401153219135728</v>
      </c>
      <c r="AA755" s="30" t="s">
        <v>97</v>
      </c>
      <c r="AB755" s="28" t="s">
        <v>93</v>
      </c>
      <c r="AC755" s="28" t="s">
        <v>101</v>
      </c>
      <c r="AD755" s="28" t="s">
        <v>108</v>
      </c>
      <c r="AE755" s="28" t="s">
        <v>113</v>
      </c>
      <c r="AF755" s="28" t="s">
        <v>119</v>
      </c>
      <c r="AG755" s="30" t="s">
        <v>122</v>
      </c>
    </row>
    <row r="756" customFormat="false" ht="15" hidden="false" customHeight="false" outlineLevel="0" collapsed="false">
      <c r="A756" s="10" t="n">
        <v>2026</v>
      </c>
      <c r="B756" s="28" t="s">
        <v>78</v>
      </c>
      <c r="C756" s="29" t="n">
        <v>46136</v>
      </c>
      <c r="D756" s="30" t="s">
        <v>129</v>
      </c>
      <c r="E756" s="28" t="s">
        <v>335</v>
      </c>
      <c r="F756" s="30" t="s">
        <v>336</v>
      </c>
      <c r="G756" s="31" t="n">
        <v>13263</v>
      </c>
      <c r="H756" s="31" t="n">
        <v>7</v>
      </c>
      <c r="I756" s="31" t="n">
        <v>92843</v>
      </c>
      <c r="J756" s="29" t="n">
        <v>46139</v>
      </c>
      <c r="K756" s="31" t="n">
        <v>12617</v>
      </c>
      <c r="L756" s="30" t="s">
        <v>32</v>
      </c>
      <c r="M756" s="10" t="n">
        <v>1</v>
      </c>
      <c r="N756" s="12" t="n">
        <v>-4725</v>
      </c>
      <c r="O756" s="13" t="n">
        <v>-0.0508922649426044</v>
      </c>
      <c r="P756" s="15" t="n">
        <v>0.0721354117580535</v>
      </c>
      <c r="Q756" s="13" t="n">
        <v>-0.0567922643394341</v>
      </c>
      <c r="R756" s="15" t="n">
        <v>0.170494699646643</v>
      </c>
      <c r="S756" s="32" t="n">
        <v>619559572250</v>
      </c>
      <c r="T756" s="15" t="n">
        <v>0.0255417956656348</v>
      </c>
      <c r="U756" s="32" t="n">
        <v>60932189932.5</v>
      </c>
      <c r="V756" s="14" t="n">
        <v>8.53887836292703</v>
      </c>
      <c r="W756" s="13" t="n">
        <v>0.167400881057269</v>
      </c>
      <c r="X756" s="15" t="n">
        <v>0.0490566037735849</v>
      </c>
      <c r="Y756" s="13" t="n">
        <v>-2.77957506474857E-005</v>
      </c>
      <c r="Z756" s="13" t="n">
        <v>0.0458193904314008</v>
      </c>
      <c r="AA756" s="30" t="s">
        <v>97</v>
      </c>
      <c r="AB756" s="28" t="s">
        <v>93</v>
      </c>
      <c r="AC756" s="28" t="s">
        <v>103</v>
      </c>
      <c r="AD756" s="28" t="s">
        <v>110</v>
      </c>
      <c r="AE756" s="28" t="s">
        <v>113</v>
      </c>
      <c r="AF756" s="28" t="s">
        <v>119</v>
      </c>
      <c r="AG756" s="30" t="s">
        <v>122</v>
      </c>
    </row>
    <row r="757" customFormat="false" ht="15" hidden="false" customHeight="false" outlineLevel="0" collapsed="false">
      <c r="A757" s="10" t="n">
        <v>2026</v>
      </c>
      <c r="B757" s="28" t="s">
        <v>78</v>
      </c>
      <c r="C757" s="29" t="n">
        <v>46139</v>
      </c>
      <c r="D757" s="30" t="s">
        <v>125</v>
      </c>
      <c r="E757" s="28" t="s">
        <v>745</v>
      </c>
      <c r="F757" s="30" t="s">
        <v>746</v>
      </c>
      <c r="G757" s="31" t="n">
        <v>88889</v>
      </c>
      <c r="H757" s="31" t="n">
        <v>1</v>
      </c>
      <c r="I757" s="31" t="n">
        <v>88889</v>
      </c>
      <c r="J757" s="29" t="n">
        <v>46140</v>
      </c>
      <c r="K757" s="31" t="n">
        <v>84615</v>
      </c>
      <c r="L757" s="30" t="s">
        <v>32</v>
      </c>
      <c r="M757" s="10" t="n">
        <v>1</v>
      </c>
      <c r="N757" s="12" t="n">
        <v>-4469</v>
      </c>
      <c r="O757" s="13" t="n">
        <v>-0.0502735576923076</v>
      </c>
      <c r="P757" s="15" t="n">
        <v>0.00350100350100369</v>
      </c>
      <c r="Q757" s="13" t="n">
        <v>-0.0527490527490526</v>
      </c>
      <c r="R757" s="15" t="n">
        <v>0.0855745721271393</v>
      </c>
      <c r="S757" s="32" t="n">
        <v>209024632800</v>
      </c>
      <c r="T757" s="15" t="n">
        <v>0.0373831775700935</v>
      </c>
      <c r="U757" s="32" t="n">
        <v>43909988820</v>
      </c>
      <c r="V757" s="14" t="n">
        <v>4.17244779612184</v>
      </c>
      <c r="W757" s="13" t="n">
        <v>0.0660264105642257</v>
      </c>
      <c r="X757" s="15" t="n">
        <v>0.0416666666666667</v>
      </c>
      <c r="Y757" s="13" t="n">
        <v>0.021526863023366</v>
      </c>
      <c r="Z757" s="13" t="n">
        <v>0.0636652629243184</v>
      </c>
      <c r="AA757" s="30" t="s">
        <v>97</v>
      </c>
      <c r="AB757" s="28" t="s">
        <v>93</v>
      </c>
      <c r="AC757" s="28" t="s">
        <v>101</v>
      </c>
      <c r="AD757" s="28" t="s">
        <v>110</v>
      </c>
      <c r="AE757" s="28" t="s">
        <v>113</v>
      </c>
      <c r="AF757" s="28" t="s">
        <v>118</v>
      </c>
      <c r="AG757" s="30" t="s">
        <v>122</v>
      </c>
    </row>
    <row r="758" customFormat="false" ht="15" hidden="false" customHeight="false" outlineLevel="0" collapsed="false">
      <c r="A758" s="10" t="n">
        <v>2026</v>
      </c>
      <c r="B758" s="28" t="s">
        <v>78</v>
      </c>
      <c r="C758" s="29" t="n">
        <v>46139</v>
      </c>
      <c r="D758" s="30" t="s">
        <v>125</v>
      </c>
      <c r="E758" s="28" t="s">
        <v>641</v>
      </c>
      <c r="F758" s="30" t="s">
        <v>642</v>
      </c>
      <c r="G758" s="31" t="n">
        <v>51579</v>
      </c>
      <c r="H758" s="31" t="n">
        <v>1</v>
      </c>
      <c r="I758" s="31" t="n">
        <v>51579</v>
      </c>
      <c r="J758" s="29" t="n">
        <v>46141</v>
      </c>
      <c r="K758" s="31" t="n">
        <v>49101</v>
      </c>
      <c r="L758" s="30" t="s">
        <v>32</v>
      </c>
      <c r="M758" s="10" t="n">
        <v>2</v>
      </c>
      <c r="N758" s="12" t="n">
        <v>-2591</v>
      </c>
      <c r="O758" s="13" t="n">
        <v>-0.0502353085810223</v>
      </c>
      <c r="P758" s="15" t="n">
        <v>0.0577657636481166</v>
      </c>
      <c r="Q758" s="13" t="n">
        <v>-0.0634365634365633</v>
      </c>
      <c r="R758" s="15" t="n">
        <v>0.126293995859213</v>
      </c>
      <c r="S758" s="32" t="n">
        <v>65342016000</v>
      </c>
      <c r="T758" s="15" t="n">
        <v>0.0206378986866791</v>
      </c>
      <c r="U758" s="32" t="n">
        <v>16356313077.5</v>
      </c>
      <c r="V758" s="14" t="n">
        <v>3.40035729314982</v>
      </c>
      <c r="W758" s="13" t="n">
        <v>0.095669687814703</v>
      </c>
      <c r="X758" s="15" t="n">
        <v>0.0128676470588236</v>
      </c>
      <c r="Y758" s="13" t="n">
        <v>0.021526863023366</v>
      </c>
      <c r="Z758" s="13" t="n">
        <v>0.0636652629243184</v>
      </c>
      <c r="AA758" s="30" t="s">
        <v>97</v>
      </c>
      <c r="AB758" s="28" t="s">
        <v>93</v>
      </c>
      <c r="AC758" s="28" t="s">
        <v>102</v>
      </c>
      <c r="AD758" s="28" t="s">
        <v>108</v>
      </c>
      <c r="AE758" s="28" t="s">
        <v>113</v>
      </c>
      <c r="AF758" s="28" t="s">
        <v>118</v>
      </c>
      <c r="AG758" s="30" t="s">
        <v>122</v>
      </c>
    </row>
    <row r="759" customFormat="false" ht="15" hidden="false" customHeight="false" outlineLevel="0" collapsed="false">
      <c r="A759" s="10" t="n">
        <v>2026</v>
      </c>
      <c r="B759" s="28" t="s">
        <v>78</v>
      </c>
      <c r="C759" s="29" t="n">
        <v>46141</v>
      </c>
      <c r="D759" s="30" t="s">
        <v>127</v>
      </c>
      <c r="E759" s="28" t="s">
        <v>1055</v>
      </c>
      <c r="F759" s="30" t="s">
        <v>1056</v>
      </c>
      <c r="G759" s="31" t="n">
        <v>19519</v>
      </c>
      <c r="H759" s="31" t="n">
        <v>5</v>
      </c>
      <c r="I759" s="31" t="n">
        <v>97597</v>
      </c>
      <c r="J759" s="29" t="n">
        <v>46153</v>
      </c>
      <c r="K759" s="31" t="n">
        <v>18581</v>
      </c>
      <c r="L759" s="30" t="s">
        <v>32</v>
      </c>
      <c r="M759" s="10" t="n">
        <v>6</v>
      </c>
      <c r="N759" s="12" t="n">
        <v>-4905</v>
      </c>
      <c r="O759" s="13" t="n">
        <v>-0.050256304464766</v>
      </c>
      <c r="P759" s="15" t="n">
        <v>0.123235738620354</v>
      </c>
      <c r="Q759" s="13" t="n">
        <v>-0.0471067394144316</v>
      </c>
      <c r="R759" s="15" t="n">
        <v>0.140350877192982</v>
      </c>
      <c r="S759" s="32" t="n">
        <v>100073044500</v>
      </c>
      <c r="T759" s="15" t="n">
        <v>0.0918253079507279</v>
      </c>
      <c r="U759" s="32" t="n">
        <v>3873193828.5</v>
      </c>
      <c r="V759" s="14" t="n">
        <v>22.6224282005454</v>
      </c>
      <c r="W759" s="13" t="n">
        <v>0.133062173155143</v>
      </c>
      <c r="X759" s="15" t="n">
        <v>0.0974358974358975</v>
      </c>
      <c r="Y759" s="13" t="n">
        <v>0.00751089441079822</v>
      </c>
      <c r="Z759" s="13" t="n">
        <v>0.0425324053082534</v>
      </c>
      <c r="AA759" s="30" t="s">
        <v>97</v>
      </c>
      <c r="AB759" s="28" t="s">
        <v>93</v>
      </c>
      <c r="AC759" s="28" t="s">
        <v>102</v>
      </c>
      <c r="AD759" s="28" t="s">
        <v>109</v>
      </c>
      <c r="AE759" s="28" t="s">
        <v>101</v>
      </c>
      <c r="AF759" s="28" t="s">
        <v>120</v>
      </c>
      <c r="AG759" s="30" t="s">
        <v>122</v>
      </c>
    </row>
    <row r="760" customFormat="false" ht="15" hidden="false" customHeight="false" outlineLevel="0" collapsed="false">
      <c r="A760" s="10" t="n">
        <v>2026</v>
      </c>
      <c r="B760" s="28" t="s">
        <v>78</v>
      </c>
      <c r="C760" s="29" t="n">
        <v>46141</v>
      </c>
      <c r="D760" s="30" t="s">
        <v>127</v>
      </c>
      <c r="E760" s="28" t="s">
        <v>251</v>
      </c>
      <c r="F760" s="30" t="s">
        <v>252</v>
      </c>
      <c r="G760" s="31" t="n">
        <v>5085</v>
      </c>
      <c r="H760" s="31" t="n">
        <v>19</v>
      </c>
      <c r="I760" s="31" t="n">
        <v>96617</v>
      </c>
      <c r="J760" s="29" t="n">
        <v>46150</v>
      </c>
      <c r="K760" s="31" t="n">
        <v>4840</v>
      </c>
      <c r="L760" s="30" t="s">
        <v>32</v>
      </c>
      <c r="M760" s="10" t="n">
        <v>5</v>
      </c>
      <c r="N760" s="12" t="n">
        <v>-4866</v>
      </c>
      <c r="O760" s="13" t="n">
        <v>-0.0503618616127966</v>
      </c>
      <c r="P760" s="15" t="n">
        <v>0.0658632705876803</v>
      </c>
      <c r="Q760" s="13" t="n">
        <v>-0.0639281977864653</v>
      </c>
      <c r="R760" s="15" t="n">
        <v>0.0211055276381909</v>
      </c>
      <c r="S760" s="32" t="n">
        <v>38097866400</v>
      </c>
      <c r="T760" s="15" t="n">
        <v>0.0200803212851406</v>
      </c>
      <c r="U760" s="32" t="n">
        <v>19873985908.5</v>
      </c>
      <c r="V760" s="14" t="n">
        <v>1.80894386869304</v>
      </c>
      <c r="W760" s="13" t="n">
        <v>0.0221327967806841</v>
      </c>
      <c r="X760" s="15" t="n">
        <v>0.0216535433070866</v>
      </c>
      <c r="Y760" s="13" t="n">
        <v>0.00751089441079822</v>
      </c>
      <c r="Z760" s="13" t="n">
        <v>0.0425324053082534</v>
      </c>
      <c r="AA760" s="30" t="s">
        <v>97</v>
      </c>
      <c r="AB760" s="28" t="s">
        <v>93</v>
      </c>
      <c r="AC760" s="28" t="s">
        <v>99</v>
      </c>
      <c r="AD760" s="28" t="s">
        <v>107</v>
      </c>
      <c r="AE760" s="28" t="s">
        <v>113</v>
      </c>
      <c r="AF760" s="28" t="s">
        <v>116</v>
      </c>
      <c r="AG760" s="30" t="s">
        <v>122</v>
      </c>
    </row>
    <row r="761" customFormat="false" ht="15" hidden="false" customHeight="false" outlineLevel="0" collapsed="false">
      <c r="A761" s="10" t="n">
        <v>2026</v>
      </c>
      <c r="B761" s="28" t="s">
        <v>78</v>
      </c>
      <c r="C761" s="29" t="n">
        <v>46141</v>
      </c>
      <c r="D761" s="30" t="s">
        <v>127</v>
      </c>
      <c r="E761" s="28" t="s">
        <v>1057</v>
      </c>
      <c r="F761" s="30" t="s">
        <v>1058</v>
      </c>
      <c r="G761" s="31" t="n">
        <v>72572</v>
      </c>
      <c r="H761" s="31" t="n">
        <v>1</v>
      </c>
      <c r="I761" s="31" t="n">
        <v>72572</v>
      </c>
      <c r="J761" s="29" t="n">
        <v>46148</v>
      </c>
      <c r="K761" s="31" t="n">
        <v>69031</v>
      </c>
      <c r="L761" s="30" t="s">
        <v>32</v>
      </c>
      <c r="M761" s="10" t="n">
        <v>3</v>
      </c>
      <c r="N761" s="12" t="n">
        <v>-3701</v>
      </c>
      <c r="O761" s="13" t="n">
        <v>-0.0509959324813117</v>
      </c>
      <c r="P761" s="15" t="n">
        <v>0.0238037824244723</v>
      </c>
      <c r="Q761" s="13" t="n">
        <v>-0.07540735126942</v>
      </c>
      <c r="R761" s="15" t="n">
        <v>0.063049853372434</v>
      </c>
      <c r="S761" s="32" t="n">
        <v>33496957500</v>
      </c>
      <c r="T761" s="15" t="n">
        <v>0.0327635327635327</v>
      </c>
      <c r="U761" s="32" t="n">
        <v>27555288370</v>
      </c>
      <c r="V761" s="14" t="n">
        <v>1.05219181292303</v>
      </c>
      <c r="W761" s="13" t="n">
        <v>0.063049853372434</v>
      </c>
      <c r="X761" s="15" t="n">
        <v>0.0110344827586206</v>
      </c>
      <c r="Y761" s="13" t="n">
        <v>0.00751089441079822</v>
      </c>
      <c r="Z761" s="13" t="n">
        <v>0.0425324053082534</v>
      </c>
      <c r="AA761" s="30" t="s">
        <v>97</v>
      </c>
      <c r="AB761" s="28" t="s">
        <v>93</v>
      </c>
      <c r="AC761" s="28" t="s">
        <v>101</v>
      </c>
      <c r="AD761" s="28" t="s">
        <v>107</v>
      </c>
      <c r="AE761" s="28" t="s">
        <v>113</v>
      </c>
      <c r="AF761" s="28" t="s">
        <v>116</v>
      </c>
      <c r="AG761" s="30" t="s">
        <v>122</v>
      </c>
    </row>
    <row r="762" customFormat="false" ht="15" hidden="false" customHeight="false" outlineLevel="0" collapsed="false">
      <c r="A762" s="10" t="n">
        <v>2026</v>
      </c>
      <c r="B762" s="28" t="s">
        <v>78</v>
      </c>
      <c r="C762" s="29" t="n">
        <v>46141</v>
      </c>
      <c r="D762" s="30" t="s">
        <v>127</v>
      </c>
      <c r="E762" s="28" t="s">
        <v>785</v>
      </c>
      <c r="F762" s="30" t="s">
        <v>786</v>
      </c>
      <c r="G762" s="31" t="n">
        <v>31331</v>
      </c>
      <c r="H762" s="31" t="n">
        <v>3</v>
      </c>
      <c r="I762" s="31" t="n">
        <v>93994</v>
      </c>
      <c r="J762" s="29" t="n">
        <v>46148</v>
      </c>
      <c r="K762" s="31" t="n">
        <v>29820</v>
      </c>
      <c r="L762" s="30" t="s">
        <v>32</v>
      </c>
      <c r="M762" s="10" t="n">
        <v>3</v>
      </c>
      <c r="N762" s="12" t="n">
        <v>-4740</v>
      </c>
      <c r="O762" s="13" t="n">
        <v>-0.0504276240532629</v>
      </c>
      <c r="P762" s="15" t="n">
        <v>0.00857608844829305</v>
      </c>
      <c r="Q762" s="13" t="n">
        <v>-0.0664287788888427</v>
      </c>
      <c r="R762" s="15" t="n">
        <v>0.071917808219178</v>
      </c>
      <c r="S762" s="32" t="n">
        <v>26268305900</v>
      </c>
      <c r="T762" s="15" t="n">
        <v>0.071917808219178</v>
      </c>
      <c r="U762" s="32" t="n">
        <v>5225254792.5</v>
      </c>
      <c r="V762" s="14" t="n">
        <v>4.56281431623815</v>
      </c>
      <c r="W762" s="13" t="n">
        <v>0.0700854700854701</v>
      </c>
      <c r="X762" s="15" t="n">
        <v>0.00638977635782756</v>
      </c>
      <c r="Y762" s="13" t="n">
        <v>0.00751089441079822</v>
      </c>
      <c r="Z762" s="13" t="n">
        <v>0.0425324053082534</v>
      </c>
      <c r="AA762" s="30" t="s">
        <v>97</v>
      </c>
      <c r="AB762" s="28" t="s">
        <v>93</v>
      </c>
      <c r="AC762" s="28" t="s">
        <v>101</v>
      </c>
      <c r="AD762" s="28" t="s">
        <v>106</v>
      </c>
      <c r="AE762" s="28" t="s">
        <v>101</v>
      </c>
      <c r="AF762" s="28" t="s">
        <v>118</v>
      </c>
      <c r="AG762" s="30" t="s">
        <v>122</v>
      </c>
    </row>
    <row r="763" customFormat="false" ht="15" hidden="false" customHeight="false" outlineLevel="0" collapsed="false">
      <c r="A763" s="10" t="n">
        <v>2026</v>
      </c>
      <c r="B763" s="28" t="s">
        <v>79</v>
      </c>
      <c r="C763" s="29" t="n">
        <v>46146</v>
      </c>
      <c r="D763" s="30" t="s">
        <v>125</v>
      </c>
      <c r="E763" s="28" t="s">
        <v>1059</v>
      </c>
      <c r="F763" s="30" t="s">
        <v>1060</v>
      </c>
      <c r="G763" s="31" t="n">
        <v>36637</v>
      </c>
      <c r="H763" s="31" t="n">
        <v>2</v>
      </c>
      <c r="I763" s="31" t="n">
        <v>73273</v>
      </c>
      <c r="J763" s="29" t="n">
        <v>46148</v>
      </c>
      <c r="K763" s="31" t="n">
        <v>34865</v>
      </c>
      <c r="L763" s="30" t="s">
        <v>32</v>
      </c>
      <c r="M763" s="10" t="n">
        <v>1</v>
      </c>
      <c r="N763" s="12" t="n">
        <v>-3704</v>
      </c>
      <c r="O763" s="13" t="n">
        <v>-0.050549326493179</v>
      </c>
      <c r="P763" s="15" t="n">
        <v>0.0181075754846247</v>
      </c>
      <c r="Q763" s="13" t="n">
        <v>-0.0869785951753165</v>
      </c>
      <c r="R763" s="15" t="n">
        <v>0.240677966101695</v>
      </c>
      <c r="S763" s="32" t="n">
        <v>85979146200</v>
      </c>
      <c r="T763" s="15" t="n">
        <v>0.079646017699115</v>
      </c>
      <c r="U763" s="32" t="n">
        <v>20957151437.5</v>
      </c>
      <c r="V763" s="14" t="n">
        <v>3.30150407962881</v>
      </c>
      <c r="W763" s="13" t="n">
        <v>0.169329073482428</v>
      </c>
      <c r="X763" s="15" t="n">
        <v>0.0478142076502732</v>
      </c>
      <c r="Y763" s="13" t="n">
        <v>0.0512390757811565</v>
      </c>
      <c r="Z763" s="13" t="n">
        <v>0.0712455776503598</v>
      </c>
      <c r="AA763" s="30" t="s">
        <v>97</v>
      </c>
      <c r="AB763" s="28" t="s">
        <v>93</v>
      </c>
      <c r="AC763" s="28" t="s">
        <v>104</v>
      </c>
      <c r="AD763" s="28" t="s">
        <v>108</v>
      </c>
      <c r="AE763" s="28" t="s">
        <v>101</v>
      </c>
      <c r="AF763" s="28" t="s">
        <v>118</v>
      </c>
      <c r="AG763" s="30" t="s">
        <v>122</v>
      </c>
    </row>
    <row r="764" customFormat="false" ht="15" hidden="false" customHeight="false" outlineLevel="0" collapsed="false">
      <c r="A764" s="10" t="n">
        <v>2026</v>
      </c>
      <c r="B764" s="28" t="s">
        <v>79</v>
      </c>
      <c r="C764" s="29" t="n">
        <v>46148</v>
      </c>
      <c r="D764" s="30" t="s">
        <v>127</v>
      </c>
      <c r="E764" s="28" t="s">
        <v>1061</v>
      </c>
      <c r="F764" s="30" t="s">
        <v>1062</v>
      </c>
      <c r="G764" s="31" t="n">
        <v>12512</v>
      </c>
      <c r="H764" s="31" t="n">
        <v>7</v>
      </c>
      <c r="I764" s="31" t="n">
        <v>87587</v>
      </c>
      <c r="J764" s="29" t="n">
        <v>46149</v>
      </c>
      <c r="K764" s="31" t="n">
        <v>11908</v>
      </c>
      <c r="L764" s="30" t="s">
        <v>32</v>
      </c>
      <c r="M764" s="10" t="n">
        <v>1</v>
      </c>
      <c r="N764" s="12" t="n">
        <v>-4423</v>
      </c>
      <c r="O764" s="13" t="n">
        <v>-0.0505014383216783</v>
      </c>
      <c r="P764" s="15" t="n">
        <v>0.0157842157842159</v>
      </c>
      <c r="Q764" s="13" t="n">
        <v>-0.0657342657342656</v>
      </c>
      <c r="R764" s="15" t="n">
        <v>0.0146103896103895</v>
      </c>
      <c r="S764" s="32" t="n">
        <v>39009575000</v>
      </c>
      <c r="T764" s="15" t="n">
        <v>0.0016025641025641</v>
      </c>
      <c r="U764" s="32" t="n">
        <v>38247954022.5</v>
      </c>
      <c r="V764" s="14" t="n">
        <v>0.950531699563286</v>
      </c>
      <c r="W764" s="13" t="n">
        <v>-0.0102929532858274</v>
      </c>
      <c r="X764" s="15" t="n">
        <v>0.0344</v>
      </c>
      <c r="Y764" s="13" t="n">
        <v>0.0645193376377939</v>
      </c>
      <c r="Z764" s="13" t="n">
        <v>0.116330538183501</v>
      </c>
      <c r="AA764" s="30" t="s">
        <v>97</v>
      </c>
      <c r="AB764" s="28" t="s">
        <v>93</v>
      </c>
      <c r="AC764" s="28" t="s">
        <v>99</v>
      </c>
      <c r="AD764" s="28" t="s">
        <v>107</v>
      </c>
      <c r="AE764" s="28" t="s">
        <v>112</v>
      </c>
      <c r="AF764" s="28" t="s">
        <v>116</v>
      </c>
      <c r="AG764" s="30" t="s">
        <v>123</v>
      </c>
    </row>
    <row r="765" customFormat="false" ht="15" hidden="false" customHeight="false" outlineLevel="0" collapsed="false">
      <c r="A765" s="10" t="n">
        <v>2026</v>
      </c>
      <c r="B765" s="28" t="s">
        <v>79</v>
      </c>
      <c r="C765" s="29" t="n">
        <v>46154</v>
      </c>
      <c r="D765" s="30" t="s">
        <v>126</v>
      </c>
      <c r="E765" s="28" t="s">
        <v>1063</v>
      </c>
      <c r="F765" s="30" t="s">
        <v>1064</v>
      </c>
      <c r="G765" s="31" t="n">
        <v>4850</v>
      </c>
      <c r="H765" s="31" t="n">
        <v>20</v>
      </c>
      <c r="I765" s="31" t="n">
        <v>96997</v>
      </c>
      <c r="J765" s="29" t="n">
        <v>46155</v>
      </c>
      <c r="K765" s="31" t="n">
        <v>4615</v>
      </c>
      <c r="L765" s="30" t="s">
        <v>32</v>
      </c>
      <c r="M765" s="10" t="n">
        <v>1</v>
      </c>
      <c r="N765" s="12" t="n">
        <v>-4902</v>
      </c>
      <c r="O765" s="13" t="n">
        <v>-0.0505409025958561</v>
      </c>
      <c r="P765" s="15" t="n">
        <v>0.0721992146140755</v>
      </c>
      <c r="Q765" s="13" t="n">
        <v>-0.0927545107111669</v>
      </c>
      <c r="R765" s="15" t="n">
        <v>0.226582278481013</v>
      </c>
      <c r="S765" s="32" t="n">
        <v>94273510965</v>
      </c>
      <c r="T765" s="15" t="n">
        <v>0.0961538461538463</v>
      </c>
      <c r="U765" s="32" t="n">
        <v>20788425606</v>
      </c>
      <c r="V765" s="14" t="n">
        <v>3.68484681765642</v>
      </c>
      <c r="W765" s="13" t="n">
        <v>0.153571428571429</v>
      </c>
      <c r="X765" s="15" t="n">
        <v>0.021671826625387</v>
      </c>
      <c r="Y765" s="13" t="n">
        <v>-0.0228949763750537</v>
      </c>
      <c r="Z765" s="13" t="n">
        <v>0.101796312233404</v>
      </c>
      <c r="AA765" s="30" t="s">
        <v>97</v>
      </c>
      <c r="AB765" s="28" t="s">
        <v>93</v>
      </c>
      <c r="AC765" s="28" t="s">
        <v>104</v>
      </c>
      <c r="AD765" s="28" t="s">
        <v>108</v>
      </c>
      <c r="AE765" s="28" t="s">
        <v>101</v>
      </c>
      <c r="AF765" s="28" t="s">
        <v>118</v>
      </c>
      <c r="AG765" s="30" t="s">
        <v>122</v>
      </c>
    </row>
    <row r="766" customFormat="false" ht="15" hidden="false" customHeight="false" outlineLevel="0" collapsed="false">
      <c r="A766" s="10" t="n">
        <v>2026</v>
      </c>
      <c r="B766" s="28" t="s">
        <v>79</v>
      </c>
      <c r="C766" s="29" t="n">
        <v>46154</v>
      </c>
      <c r="D766" s="30" t="s">
        <v>126</v>
      </c>
      <c r="E766" s="28" t="s">
        <v>1065</v>
      </c>
      <c r="F766" s="30" t="s">
        <v>1066</v>
      </c>
      <c r="G766" s="31" t="n">
        <v>8759</v>
      </c>
      <c r="H766" s="31" t="n">
        <v>11</v>
      </c>
      <c r="I766" s="31" t="n">
        <v>96346</v>
      </c>
      <c r="J766" s="29" t="n">
        <v>46156</v>
      </c>
      <c r="K766" s="31" t="n">
        <v>8332</v>
      </c>
      <c r="L766" s="30" t="s">
        <v>32</v>
      </c>
      <c r="M766" s="10" t="n">
        <v>2</v>
      </c>
      <c r="N766" s="12" t="n">
        <v>-4909</v>
      </c>
      <c r="O766" s="13" t="n">
        <v>-0.0509566869130868</v>
      </c>
      <c r="P766" s="15" t="n">
        <v>0.110889110889111</v>
      </c>
      <c r="Q766" s="13" t="n">
        <v>-0.0991865277579561</v>
      </c>
      <c r="R766" s="15" t="n">
        <v>0.120358514724712</v>
      </c>
      <c r="S766" s="32" t="n">
        <v>35417427500</v>
      </c>
      <c r="T766" s="15" t="n">
        <v>0.0762607626076262</v>
      </c>
      <c r="U766" s="32" t="n">
        <v>3760362894.5</v>
      </c>
      <c r="V766" s="14" t="n">
        <v>8.32595605805637</v>
      </c>
      <c r="W766" s="13" t="n">
        <v>0.107594936708861</v>
      </c>
      <c r="X766" s="15" t="n">
        <v>0.0457142857142858</v>
      </c>
      <c r="Y766" s="13" t="n">
        <v>-0.0228949763750537</v>
      </c>
      <c r="Z766" s="13" t="n">
        <v>0.101796312233404</v>
      </c>
      <c r="AA766" s="30" t="s">
        <v>97</v>
      </c>
      <c r="AB766" s="28" t="s">
        <v>93</v>
      </c>
      <c r="AC766" s="28" t="s">
        <v>102</v>
      </c>
      <c r="AD766" s="28" t="s">
        <v>107</v>
      </c>
      <c r="AE766" s="28" t="s">
        <v>101</v>
      </c>
      <c r="AF766" s="28" t="s">
        <v>119</v>
      </c>
      <c r="AG766" s="30" t="s">
        <v>122</v>
      </c>
    </row>
    <row r="767" customFormat="false" ht="15" hidden="false" customHeight="false" outlineLevel="0" collapsed="false">
      <c r="A767" s="10" t="n">
        <v>2026</v>
      </c>
      <c r="B767" s="28" t="s">
        <v>79</v>
      </c>
      <c r="C767" s="29" t="n">
        <v>46156</v>
      </c>
      <c r="D767" s="30" t="s">
        <v>128</v>
      </c>
      <c r="E767" s="28" t="s">
        <v>705</v>
      </c>
      <c r="F767" s="30" t="s">
        <v>706</v>
      </c>
      <c r="G767" s="31" t="n">
        <v>32783</v>
      </c>
      <c r="H767" s="31" t="n">
        <v>3</v>
      </c>
      <c r="I767" s="31" t="n">
        <v>98348</v>
      </c>
      <c r="J767" s="29" t="n">
        <v>46160</v>
      </c>
      <c r="K767" s="31" t="n">
        <v>39350</v>
      </c>
      <c r="L767" s="30" t="s">
        <v>31</v>
      </c>
      <c r="M767" s="10" t="n">
        <v>2</v>
      </c>
      <c r="N767" s="12" t="n">
        <v>19433</v>
      </c>
      <c r="O767" s="13" t="n">
        <v>0.197595689425079</v>
      </c>
      <c r="P767" s="15" t="n">
        <v>0.204901968260747</v>
      </c>
      <c r="Q767" s="13" t="n">
        <v>-0.0376036177562895</v>
      </c>
      <c r="R767" s="15" t="n">
        <v>0.0826446280991735</v>
      </c>
      <c r="S767" s="32" t="n">
        <v>49857519250</v>
      </c>
      <c r="T767" s="15" t="n">
        <v>0.0413354531001591</v>
      </c>
      <c r="U767" s="32" t="n">
        <v>12346016552.5</v>
      </c>
      <c r="V767" s="14" t="n">
        <v>3.7679833278469</v>
      </c>
      <c r="W767" s="13" t="n">
        <v>0.0934891485809684</v>
      </c>
      <c r="X767" s="15" t="n">
        <v>0.0167938931297711</v>
      </c>
      <c r="Y767" s="13" t="n">
        <v>0.0175165508458046</v>
      </c>
      <c r="Z767" s="13" t="n">
        <v>0.0656016982530157</v>
      </c>
      <c r="AA767" s="30" t="s">
        <v>97</v>
      </c>
      <c r="AB767" s="28" t="s">
        <v>93</v>
      </c>
      <c r="AC767" s="28" t="s">
        <v>101</v>
      </c>
      <c r="AD767" s="28" t="s">
        <v>107</v>
      </c>
      <c r="AE767" s="28" t="s">
        <v>113</v>
      </c>
      <c r="AF767" s="28" t="s">
        <v>118</v>
      </c>
      <c r="AG767" s="30" t="s">
        <v>122</v>
      </c>
    </row>
    <row r="768" customFormat="false" ht="15" hidden="false" customHeight="false" outlineLevel="0" collapsed="false">
      <c r="A768" s="10" t="n">
        <v>2026</v>
      </c>
      <c r="B768" s="28" t="s">
        <v>79</v>
      </c>
      <c r="C768" s="29" t="n">
        <v>46160</v>
      </c>
      <c r="D768" s="30" t="s">
        <v>125</v>
      </c>
      <c r="E768" s="28" t="s">
        <v>1067</v>
      </c>
      <c r="F768" s="30" t="s">
        <v>1068</v>
      </c>
      <c r="G768" s="31" t="n">
        <v>48198</v>
      </c>
      <c r="H768" s="31" t="n">
        <v>2</v>
      </c>
      <c r="I768" s="31" t="n">
        <v>96396</v>
      </c>
      <c r="J768" s="29" t="n">
        <v>46161</v>
      </c>
      <c r="K768" s="31" t="n">
        <v>45854</v>
      </c>
      <c r="L768" s="30" t="s">
        <v>32</v>
      </c>
      <c r="M768" s="10" t="n">
        <v>1</v>
      </c>
      <c r="N768" s="12" t="n">
        <v>-4900</v>
      </c>
      <c r="O768" s="13" t="n">
        <v>-0.0508290471211033</v>
      </c>
      <c r="P768" s="15" t="n">
        <v>0.029085141234674</v>
      </c>
      <c r="Q768" s="13" t="n">
        <v>-0.143120638447741</v>
      </c>
      <c r="R768" s="15" t="n">
        <v>0.146428571428571</v>
      </c>
      <c r="S768" s="32" t="n">
        <v>194462586450</v>
      </c>
      <c r="T768" s="15" t="n">
        <v>0.02555910543131</v>
      </c>
      <c r="U768" s="32" t="n">
        <v>46176771580</v>
      </c>
      <c r="V768" s="14" t="n">
        <v>3.81030404442829</v>
      </c>
      <c r="W768" s="13" t="n">
        <v>0.0433369447453955</v>
      </c>
      <c r="X768" s="15" t="n">
        <v>0.00415368639667713</v>
      </c>
      <c r="Y768" s="13" t="n">
        <v>0.00305077417064581</v>
      </c>
      <c r="Z768" s="13" t="n">
        <v>-0.0391447973981877</v>
      </c>
      <c r="AA768" s="30" t="s">
        <v>97</v>
      </c>
      <c r="AB768" s="28" t="s">
        <v>94</v>
      </c>
      <c r="AC768" s="28" t="s">
        <v>102</v>
      </c>
      <c r="AD768" s="28" t="s">
        <v>109</v>
      </c>
      <c r="AE768" s="28" t="s">
        <v>113</v>
      </c>
      <c r="AF768" s="28" t="s">
        <v>118</v>
      </c>
      <c r="AG768" s="30" t="s">
        <v>122</v>
      </c>
    </row>
    <row r="769" customFormat="false" ht="15" hidden="false" customHeight="false" outlineLevel="0" collapsed="false">
      <c r="A769" s="10" t="n">
        <v>2026</v>
      </c>
      <c r="B769" s="28" t="s">
        <v>79</v>
      </c>
      <c r="C769" s="29" t="n">
        <v>46160</v>
      </c>
      <c r="D769" s="30" t="s">
        <v>125</v>
      </c>
      <c r="E769" s="28" t="s">
        <v>1019</v>
      </c>
      <c r="F769" s="28" t="s">
        <v>1020</v>
      </c>
      <c r="G769" s="31" t="n">
        <v>18038</v>
      </c>
      <c r="H769" s="31" t="n">
        <v>5</v>
      </c>
      <c r="I769" s="31" t="n">
        <v>90190</v>
      </c>
      <c r="J769" s="29" t="n">
        <v>46161</v>
      </c>
      <c r="K769" s="31" t="n">
        <v>17173</v>
      </c>
      <c r="L769" s="30" t="s">
        <v>32</v>
      </c>
      <c r="M769" s="10" t="n">
        <v>1</v>
      </c>
      <c r="N769" s="12" t="n">
        <v>-4524</v>
      </c>
      <c r="O769" s="13" t="n">
        <v>-0.0501627808650836</v>
      </c>
      <c r="P769" s="15" t="n">
        <v>0.0450149184888367</v>
      </c>
      <c r="Q769" s="13" t="n">
        <v>-0.106332069706098</v>
      </c>
      <c r="R769" s="15" t="n">
        <v>0.17012987012987</v>
      </c>
      <c r="S769" s="32" t="n">
        <v>48886133640</v>
      </c>
      <c r="T769" s="15" t="n">
        <v>0.00278241513633826</v>
      </c>
      <c r="U769" s="32" t="n">
        <v>5010344265</v>
      </c>
      <c r="V769" s="14" t="n">
        <v>9.28106744102349</v>
      </c>
      <c r="W769" s="13" t="n">
        <v>0.133333333333333</v>
      </c>
      <c r="X769" s="15" t="n">
        <v>0.051054384017758</v>
      </c>
      <c r="Y769" s="13" t="n">
        <v>0.00305077417064581</v>
      </c>
      <c r="Z769" s="13" t="n">
        <v>-0.0391447973981877</v>
      </c>
      <c r="AA769" s="30" t="s">
        <v>97</v>
      </c>
      <c r="AB769" s="28" t="s">
        <v>94</v>
      </c>
      <c r="AC769" s="28" t="s">
        <v>103</v>
      </c>
      <c r="AD769" s="28" t="s">
        <v>107</v>
      </c>
      <c r="AE769" s="28" t="s">
        <v>112</v>
      </c>
      <c r="AF769" s="28" t="s">
        <v>119</v>
      </c>
      <c r="AG769" s="30" t="s">
        <v>122</v>
      </c>
    </row>
    <row r="770" customFormat="false" ht="15" hidden="false" customHeight="false" outlineLevel="0" collapsed="false">
      <c r="A770" s="10" t="n">
        <v>2026</v>
      </c>
      <c r="B770" s="28" t="s">
        <v>79</v>
      </c>
      <c r="C770" s="29" t="n">
        <v>46161</v>
      </c>
      <c r="D770" s="30" t="s">
        <v>126</v>
      </c>
      <c r="E770" s="28" t="s">
        <v>993</v>
      </c>
      <c r="F770" s="30" t="s">
        <v>994</v>
      </c>
      <c r="G770" s="31" t="n">
        <v>3470</v>
      </c>
      <c r="H770" s="31" t="n">
        <v>28</v>
      </c>
      <c r="I770" s="31" t="n">
        <v>97148</v>
      </c>
      <c r="J770" s="29" t="n">
        <v>46162</v>
      </c>
      <c r="K770" s="31" t="n">
        <v>3302</v>
      </c>
      <c r="L770" s="30" t="s">
        <v>32</v>
      </c>
      <c r="M770" s="10" t="n">
        <v>1</v>
      </c>
      <c r="N770" s="12" t="n">
        <v>-4913</v>
      </c>
      <c r="O770" s="13" t="n">
        <v>-0.0505766402727584</v>
      </c>
      <c r="P770" s="15" t="n">
        <v>-0.0166901161665558</v>
      </c>
      <c r="Q770" s="13" t="n">
        <v>-0.155294966813291</v>
      </c>
      <c r="R770" s="15" t="n">
        <v>0.0366350067842605</v>
      </c>
      <c r="S770" s="32" t="n">
        <v>69176200460</v>
      </c>
      <c r="T770" s="15" t="n">
        <v>0.0140997683899717</v>
      </c>
      <c r="U770" s="32" t="n">
        <v>21654004090.25</v>
      </c>
      <c r="V770" s="14" t="n">
        <v>2.85291088531492</v>
      </c>
      <c r="W770" s="13" t="n">
        <v>0.0200267022696929</v>
      </c>
      <c r="X770" s="15" t="n">
        <v>0.136125654450262</v>
      </c>
      <c r="Y770" s="13" t="n">
        <v>-0.032514462403074</v>
      </c>
      <c r="Z770" s="13" t="n">
        <v>-0.0486043058163191</v>
      </c>
      <c r="AA770" s="30" t="s">
        <v>97</v>
      </c>
      <c r="AB770" s="28" t="s">
        <v>94</v>
      </c>
      <c r="AC770" s="28" t="s">
        <v>100</v>
      </c>
      <c r="AD770" s="28" t="s">
        <v>108</v>
      </c>
      <c r="AE770" s="28" t="s">
        <v>112</v>
      </c>
      <c r="AF770" s="28" t="s">
        <v>117</v>
      </c>
      <c r="AG770" s="30" t="s">
        <v>122</v>
      </c>
    </row>
    <row r="771" customFormat="false" ht="15" hidden="false" customHeight="false" outlineLevel="0" collapsed="false">
      <c r="A771" s="10" t="n">
        <v>2026</v>
      </c>
      <c r="B771" s="28" t="s">
        <v>79</v>
      </c>
      <c r="C771" s="29" t="n">
        <v>46163</v>
      </c>
      <c r="D771" s="30" t="s">
        <v>128</v>
      </c>
      <c r="E771" s="28" t="s">
        <v>1069</v>
      </c>
      <c r="F771" s="30" t="s">
        <v>1070</v>
      </c>
      <c r="G771" s="31" t="n">
        <v>13714</v>
      </c>
      <c r="H771" s="31" t="n">
        <v>7</v>
      </c>
      <c r="I771" s="31" t="n">
        <v>95996</v>
      </c>
      <c r="J771" s="29" t="n">
        <v>46164</v>
      </c>
      <c r="K771" s="31" t="n">
        <v>13047</v>
      </c>
      <c r="L771" s="30" t="s">
        <v>32</v>
      </c>
      <c r="M771" s="10" t="n">
        <v>1</v>
      </c>
      <c r="N771" s="12" t="n">
        <v>-4878</v>
      </c>
      <c r="O771" s="13" t="n">
        <v>-0.0508154601602777</v>
      </c>
      <c r="P771" s="15" t="n">
        <v>0.071920779949977</v>
      </c>
      <c r="Q771" s="13" t="n">
        <v>-0.0658976060435914</v>
      </c>
      <c r="R771" s="15" t="n">
        <v>0.100401606425703</v>
      </c>
      <c r="S771" s="32" t="n">
        <v>585134535000</v>
      </c>
      <c r="T771" s="15" t="n">
        <v>0.0378787878787879</v>
      </c>
      <c r="U771" s="32" t="n">
        <v>83231005537</v>
      </c>
      <c r="V771" s="14" t="n">
        <v>5.96915440399861</v>
      </c>
      <c r="W771" s="13" t="n">
        <v>0.0262172284644195</v>
      </c>
      <c r="X771" s="15" t="n">
        <v>0.129197080291971</v>
      </c>
      <c r="Y771" s="13" t="n">
        <v>0.0841509512481014</v>
      </c>
      <c r="Z771" s="13" t="n">
        <v>-0.0207757777134616</v>
      </c>
      <c r="AA771" s="30" t="s">
        <v>97</v>
      </c>
      <c r="AB771" s="28" t="s">
        <v>94</v>
      </c>
      <c r="AC771" s="28" t="s">
        <v>102</v>
      </c>
      <c r="AD771" s="28" t="s">
        <v>110</v>
      </c>
      <c r="AE771" s="28" t="s">
        <v>113</v>
      </c>
      <c r="AF771" s="28" t="s">
        <v>119</v>
      </c>
      <c r="AG771" s="30" t="s">
        <v>122</v>
      </c>
    </row>
    <row r="772" customFormat="false" ht="15" hidden="false" customHeight="false" outlineLevel="0" collapsed="false">
      <c r="A772" s="10" t="n">
        <v>2026</v>
      </c>
      <c r="B772" s="28" t="s">
        <v>79</v>
      </c>
      <c r="C772" s="29" t="n">
        <v>46164</v>
      </c>
      <c r="D772" s="30" t="s">
        <v>129</v>
      </c>
      <c r="E772" s="28" t="s">
        <v>1071</v>
      </c>
      <c r="F772" s="30" t="s">
        <v>1072</v>
      </c>
      <c r="G772" s="31" t="n">
        <v>26577</v>
      </c>
      <c r="H772" s="31" t="n">
        <v>3</v>
      </c>
      <c r="I772" s="31" t="n">
        <v>79730</v>
      </c>
      <c r="J772" s="29" t="n">
        <v>46168</v>
      </c>
      <c r="K772" s="31" t="n">
        <v>31900</v>
      </c>
      <c r="L772" s="30" t="s">
        <v>31</v>
      </c>
      <c r="M772" s="10" t="n">
        <v>1</v>
      </c>
      <c r="N772" s="12" t="n">
        <v>15753</v>
      </c>
      <c r="O772" s="13" t="n">
        <v>0.197575626539186</v>
      </c>
      <c r="P772" s="15" t="n">
        <v>0.226645294441905</v>
      </c>
      <c r="Q772" s="13" t="n">
        <v>0.0535603755942742</v>
      </c>
      <c r="R772" s="15" t="n">
        <v>0.108559498956159</v>
      </c>
      <c r="S772" s="32" t="n">
        <v>123789534300</v>
      </c>
      <c r="T772" s="15" t="n">
        <v>0.043222003929273</v>
      </c>
      <c r="U772" s="32" t="n">
        <v>28965071991</v>
      </c>
      <c r="V772" s="14" t="n">
        <v>3.70402432887436</v>
      </c>
      <c r="W772" s="13" t="n">
        <v>-0.0585106382978723</v>
      </c>
      <c r="X772" s="15" t="n">
        <v>0.141242937853107</v>
      </c>
      <c r="Y772" s="13" t="n">
        <v>0.00410973451780361</v>
      </c>
      <c r="Z772" s="13" t="n">
        <v>0.0473136905826364</v>
      </c>
      <c r="AA772" s="30" t="s">
        <v>97</v>
      </c>
      <c r="AB772" s="28" t="s">
        <v>93</v>
      </c>
      <c r="AC772" s="28" t="s">
        <v>102</v>
      </c>
      <c r="AD772" s="28" t="s">
        <v>109</v>
      </c>
      <c r="AE772" s="28" t="s">
        <v>113</v>
      </c>
      <c r="AF772" s="28" t="s">
        <v>118</v>
      </c>
      <c r="AG772" s="30" t="s">
        <v>123</v>
      </c>
    </row>
    <row r="773" customFormat="false" ht="15" hidden="false" customHeight="false" outlineLevel="0" collapsed="false">
      <c r="A773" s="10" t="n">
        <v>2026</v>
      </c>
      <c r="B773" s="28" t="s">
        <v>79</v>
      </c>
      <c r="C773" s="29" t="n">
        <v>46164</v>
      </c>
      <c r="D773" s="30" t="s">
        <v>129</v>
      </c>
      <c r="E773" s="28" t="s">
        <v>565</v>
      </c>
      <c r="F773" s="30" t="s">
        <v>566</v>
      </c>
      <c r="G773" s="31" t="n">
        <v>57057</v>
      </c>
      <c r="H773" s="31" t="n">
        <v>1</v>
      </c>
      <c r="I773" s="31" t="n">
        <v>57057</v>
      </c>
      <c r="J773" s="29" t="n">
        <v>46169</v>
      </c>
      <c r="K773" s="31" t="n">
        <v>68500</v>
      </c>
      <c r="L773" s="30" t="s">
        <v>31</v>
      </c>
      <c r="M773" s="10" t="n">
        <v>2</v>
      </c>
      <c r="N773" s="12" t="n">
        <v>11287</v>
      </c>
      <c r="O773" s="13" t="n">
        <v>0.197822641393694</v>
      </c>
      <c r="P773" s="15" t="n">
        <v>0.279422332053911</v>
      </c>
      <c r="Q773" s="13" t="n">
        <v>-0.00976216765690441</v>
      </c>
      <c r="R773" s="15" t="n">
        <v>0.119842829076621</v>
      </c>
      <c r="S773" s="32" t="n">
        <v>105113586000</v>
      </c>
      <c r="T773" s="15" t="n">
        <v>0.1003861003861</v>
      </c>
      <c r="U773" s="32" t="n">
        <v>16453742902.5</v>
      </c>
      <c r="V773" s="14" t="n">
        <v>5.16585100141171</v>
      </c>
      <c r="W773" s="13" t="n">
        <v>0.0594795539033457</v>
      </c>
      <c r="X773" s="15" t="n">
        <v>0.0614035087719298</v>
      </c>
      <c r="Y773" s="13" t="n">
        <v>0.00410973451780361</v>
      </c>
      <c r="Z773" s="13" t="n">
        <v>0.0473136905826364</v>
      </c>
      <c r="AA773" s="30" t="s">
        <v>97</v>
      </c>
      <c r="AB773" s="28" t="s">
        <v>93</v>
      </c>
      <c r="AC773" s="28" t="s">
        <v>102</v>
      </c>
      <c r="AD773" s="28" t="s">
        <v>109</v>
      </c>
      <c r="AE773" s="28" t="s">
        <v>114</v>
      </c>
      <c r="AF773" s="28" t="s">
        <v>119</v>
      </c>
      <c r="AG773" s="30" t="s">
        <v>122</v>
      </c>
    </row>
    <row r="774" customFormat="false" ht="15" hidden="false" customHeight="false" outlineLevel="0" collapsed="false">
      <c r="A774" s="10" t="n">
        <v>2026</v>
      </c>
      <c r="B774" s="28" t="s">
        <v>79</v>
      </c>
      <c r="C774" s="29" t="n">
        <v>46168</v>
      </c>
      <c r="D774" s="30" t="s">
        <v>126</v>
      </c>
      <c r="E774" s="28" t="s">
        <v>165</v>
      </c>
      <c r="F774" s="28" t="s">
        <v>166</v>
      </c>
      <c r="G774" s="31" t="n">
        <v>15646</v>
      </c>
      <c r="H774" s="31" t="n">
        <v>6</v>
      </c>
      <c r="I774" s="31" t="n">
        <v>93874</v>
      </c>
      <c r="J774" s="29" t="n">
        <v>46169</v>
      </c>
      <c r="K774" s="31" t="n">
        <v>14895</v>
      </c>
      <c r="L774" s="30" t="s">
        <v>32</v>
      </c>
      <c r="M774" s="10" t="n">
        <v>1</v>
      </c>
      <c r="N774" s="12" t="n">
        <v>-4709</v>
      </c>
      <c r="O774" s="13" t="n">
        <v>-0.0501680845066639</v>
      </c>
      <c r="P774" s="15" t="n">
        <v>0.0162582139549512</v>
      </c>
      <c r="Q774" s="13" t="n">
        <v>-0.102624822394496</v>
      </c>
      <c r="R774" s="15" t="n">
        <v>0.0316831683168317</v>
      </c>
      <c r="S774" s="32" t="n">
        <v>272529087660</v>
      </c>
      <c r="T774" s="15" t="n">
        <v>0.0189048239895697</v>
      </c>
      <c r="U774" s="32" t="n">
        <v>168540673778</v>
      </c>
      <c r="V774" s="14" t="n">
        <v>1.42602200506271</v>
      </c>
      <c r="W774" s="13" t="n">
        <v>0.0182410423452768</v>
      </c>
      <c r="X774" s="15" t="n">
        <v>0.0505438259756879</v>
      </c>
      <c r="Y774" s="13" t="n">
        <v>0.0254596563838367</v>
      </c>
      <c r="Z774" s="13" t="n">
        <v>0.0707114384702583</v>
      </c>
      <c r="AA774" s="30" t="s">
        <v>97</v>
      </c>
      <c r="AB774" s="28" t="s">
        <v>93</v>
      </c>
      <c r="AC774" s="28" t="s">
        <v>100</v>
      </c>
      <c r="AD774" s="28" t="s">
        <v>110</v>
      </c>
      <c r="AE774" s="28" t="s">
        <v>112</v>
      </c>
      <c r="AF774" s="28" t="s">
        <v>116</v>
      </c>
      <c r="AG774" s="30" t="s">
        <v>122</v>
      </c>
    </row>
    <row r="775" customFormat="false" ht="15" hidden="false" customHeight="false" outlineLevel="0" collapsed="false">
      <c r="A775" s="10" t="n">
        <v>2026</v>
      </c>
      <c r="B775" s="28" t="s">
        <v>79</v>
      </c>
      <c r="C775" s="29" t="n">
        <v>46168</v>
      </c>
      <c r="D775" s="30" t="s">
        <v>126</v>
      </c>
      <c r="E775" s="28" t="s">
        <v>1073</v>
      </c>
      <c r="F775" s="30" t="s">
        <v>1074</v>
      </c>
      <c r="G775" s="31" t="n">
        <v>10400</v>
      </c>
      <c r="H775" s="31" t="n">
        <v>9</v>
      </c>
      <c r="I775" s="31" t="n">
        <v>93604</v>
      </c>
      <c r="J775" s="29" t="n">
        <v>46169</v>
      </c>
      <c r="K775" s="31" t="n">
        <v>9900</v>
      </c>
      <c r="L775" s="30" t="s">
        <v>32</v>
      </c>
      <c r="M775" s="10" t="n">
        <v>1</v>
      </c>
      <c r="N775" s="12" t="n">
        <v>-4708</v>
      </c>
      <c r="O775" s="13" t="n">
        <v>-0.0503005418066054</v>
      </c>
      <c r="P775" s="15" t="n">
        <v>-0.0144600346717767</v>
      </c>
      <c r="Q775" s="13" t="n">
        <v>-0.150993376209931</v>
      </c>
      <c r="R775" s="15" t="n">
        <v>0.0822916666666667</v>
      </c>
      <c r="S775" s="32" t="n">
        <v>165997985730</v>
      </c>
      <c r="T775" s="15" t="n">
        <v>0.0494949494949495</v>
      </c>
      <c r="U775" s="32" t="n">
        <v>57716534439</v>
      </c>
      <c r="V775" s="14" t="n">
        <v>2.50628408098833</v>
      </c>
      <c r="W775" s="13" t="n">
        <v>0.0276953511374876</v>
      </c>
      <c r="X775" s="15" t="n">
        <v>0.0587102983638113</v>
      </c>
      <c r="Y775" s="13" t="n">
        <v>0.0254596563838367</v>
      </c>
      <c r="Z775" s="13" t="n">
        <v>0.0707114384702583</v>
      </c>
      <c r="AA775" s="30" t="s">
        <v>97</v>
      </c>
      <c r="AB775" s="28" t="s">
        <v>93</v>
      </c>
      <c r="AC775" s="28" t="s">
        <v>101</v>
      </c>
      <c r="AD775" s="28" t="s">
        <v>109</v>
      </c>
      <c r="AE775" s="28" t="s">
        <v>113</v>
      </c>
      <c r="AF775" s="28" t="s">
        <v>117</v>
      </c>
      <c r="AG775" s="30" t="s">
        <v>122</v>
      </c>
    </row>
    <row r="776" customFormat="false" ht="15" hidden="false" customHeight="false" outlineLevel="0" collapsed="false">
      <c r="A776" s="10" t="n">
        <v>2026</v>
      </c>
      <c r="B776" s="28" t="s">
        <v>79</v>
      </c>
      <c r="C776" s="29" t="n">
        <v>46168</v>
      </c>
      <c r="D776" s="30" t="s">
        <v>126</v>
      </c>
      <c r="E776" s="28" t="s">
        <v>1075</v>
      </c>
      <c r="F776" s="30" t="s">
        <v>1076</v>
      </c>
      <c r="G776" s="31" t="n">
        <v>6296</v>
      </c>
      <c r="H776" s="31" t="n">
        <v>15</v>
      </c>
      <c r="I776" s="31" t="n">
        <v>94444</v>
      </c>
      <c r="J776" s="29" t="n">
        <v>46170</v>
      </c>
      <c r="K776" s="31" t="n">
        <v>7560</v>
      </c>
      <c r="L776" s="30" t="s">
        <v>31</v>
      </c>
      <c r="M776" s="10" t="n">
        <v>2</v>
      </c>
      <c r="N776" s="12" t="n">
        <v>18698</v>
      </c>
      <c r="O776" s="13" t="n">
        <v>0.197975562831445</v>
      </c>
      <c r="P776" s="15" t="n">
        <v>0.249942426413015</v>
      </c>
      <c r="Q776" s="13" t="n">
        <v>0.00853042029512641</v>
      </c>
      <c r="R776" s="15" t="n">
        <v>0.248015873015873</v>
      </c>
      <c r="S776" s="32" t="n">
        <v>76649770170</v>
      </c>
      <c r="T776" s="15" t="n">
        <v>0.166975881261596</v>
      </c>
      <c r="U776" s="32" t="n">
        <v>8993215890.5</v>
      </c>
      <c r="V776" s="14" t="n">
        <v>6.51588503142935</v>
      </c>
      <c r="W776" s="13" t="n">
        <v>0.200381679389313</v>
      </c>
      <c r="X776" s="15" t="n">
        <v>0.028616852146264</v>
      </c>
      <c r="Y776" s="13" t="n">
        <v>0.0254596563838367</v>
      </c>
      <c r="Z776" s="13" t="n">
        <v>0.0707114384702583</v>
      </c>
      <c r="AA776" s="30" t="s">
        <v>97</v>
      </c>
      <c r="AB776" s="28" t="s">
        <v>93</v>
      </c>
      <c r="AC776" s="28" t="s">
        <v>104</v>
      </c>
      <c r="AD776" s="28" t="s">
        <v>108</v>
      </c>
      <c r="AE776" s="28" t="s">
        <v>114</v>
      </c>
      <c r="AF776" s="28" t="s">
        <v>119</v>
      </c>
      <c r="AG776" s="30" t="s">
        <v>122</v>
      </c>
    </row>
    <row r="777" customFormat="false" ht="15" hidden="false" customHeight="false" outlineLevel="0" collapsed="false">
      <c r="A777" s="10" t="n">
        <v>2026</v>
      </c>
      <c r="B777" s="28" t="s">
        <v>79</v>
      </c>
      <c r="C777" s="29" t="n">
        <v>46168</v>
      </c>
      <c r="D777" s="30" t="s">
        <v>126</v>
      </c>
      <c r="E777" s="28" t="s">
        <v>1077</v>
      </c>
      <c r="F777" s="30" t="s">
        <v>1078</v>
      </c>
      <c r="G777" s="31" t="n">
        <v>2357</v>
      </c>
      <c r="H777" s="31" t="n">
        <v>42</v>
      </c>
      <c r="I777" s="31" t="n">
        <v>99009</v>
      </c>
      <c r="J777" s="29" t="n">
        <v>46169</v>
      </c>
      <c r="K777" s="31" t="n">
        <v>2243</v>
      </c>
      <c r="L777" s="30" t="s">
        <v>32</v>
      </c>
      <c r="M777" s="10" t="n">
        <v>1</v>
      </c>
      <c r="N777" s="12" t="n">
        <v>-5031</v>
      </c>
      <c r="O777" s="13" t="n">
        <v>-0.0508092868914522</v>
      </c>
      <c r="P777" s="15" t="n">
        <v>0.213224143160449</v>
      </c>
      <c r="Q777" s="13" t="n">
        <v>-0.0922029138589646</v>
      </c>
      <c r="R777" s="15" t="n">
        <v>0.0753424657534247</v>
      </c>
      <c r="S777" s="32" t="n">
        <v>51139060500</v>
      </c>
      <c r="T777" s="15" t="n">
        <v>0.0194805194805194</v>
      </c>
      <c r="U777" s="32" t="n">
        <v>32423520853.9</v>
      </c>
      <c r="V777" s="14" t="n">
        <v>1.38864555640552</v>
      </c>
      <c r="W777" s="13" t="n">
        <v>0.0536912751677852</v>
      </c>
      <c r="X777" s="15" t="n">
        <v>0.0785562632696391</v>
      </c>
      <c r="Y777" s="13" t="n">
        <v>0.0254596563838367</v>
      </c>
      <c r="Z777" s="13" t="n">
        <v>0.0707114384702583</v>
      </c>
      <c r="AA777" s="30" t="s">
        <v>97</v>
      </c>
      <c r="AB777" s="28" t="s">
        <v>93</v>
      </c>
      <c r="AC777" s="28" t="s">
        <v>101</v>
      </c>
      <c r="AD777" s="28" t="s">
        <v>108</v>
      </c>
      <c r="AE777" s="28" t="s">
        <v>112</v>
      </c>
      <c r="AF777" s="28" t="s">
        <v>116</v>
      </c>
      <c r="AG777" s="30" t="s">
        <v>122</v>
      </c>
    </row>
    <row r="778" customFormat="false" ht="15" hidden="false" customHeight="false" outlineLevel="0" collapsed="false">
      <c r="A778" s="10" t="n">
        <v>2026</v>
      </c>
      <c r="B778" s="28" t="s">
        <v>79</v>
      </c>
      <c r="C778" s="29" t="n">
        <v>46168</v>
      </c>
      <c r="D778" s="30" t="s">
        <v>126</v>
      </c>
      <c r="E778" s="28" t="s">
        <v>1079</v>
      </c>
      <c r="F778" s="30" t="s">
        <v>1080</v>
      </c>
      <c r="G778" s="31" t="n">
        <v>70288</v>
      </c>
      <c r="H778" s="31" t="n">
        <v>1</v>
      </c>
      <c r="I778" s="31" t="n">
        <v>70288</v>
      </c>
      <c r="J778" s="29" t="n">
        <v>46177</v>
      </c>
      <c r="K778" s="31" t="n">
        <v>84400</v>
      </c>
      <c r="L778" s="30" t="s">
        <v>31</v>
      </c>
      <c r="M778" s="10" t="n">
        <v>6</v>
      </c>
      <c r="N778" s="12" t="n">
        <v>13920</v>
      </c>
      <c r="O778" s="13" t="n">
        <v>0.198045530321857</v>
      </c>
      <c r="P778" s="15" t="n">
        <v>0.20431292845086</v>
      </c>
      <c r="Q778" s="13" t="n">
        <v>-0.0340693788969652</v>
      </c>
      <c r="R778" s="15" t="n">
        <v>0.061493411420205</v>
      </c>
      <c r="S778" s="32" t="n">
        <v>31022532500</v>
      </c>
      <c r="T778" s="15" t="n">
        <v>0.00138121546961334</v>
      </c>
      <c r="U778" s="32" t="n">
        <v>20916186330</v>
      </c>
      <c r="V778" s="14" t="n">
        <v>1.32277005881716</v>
      </c>
      <c r="W778" s="13" t="n">
        <v>0.0357142857142858</v>
      </c>
      <c r="X778" s="15" t="n">
        <v>0.0317241379310345</v>
      </c>
      <c r="Y778" s="13" t="n">
        <v>0.0254596563838367</v>
      </c>
      <c r="Z778" s="13" t="n">
        <v>0.0707114384702583</v>
      </c>
      <c r="AA778" s="30" t="s">
        <v>97</v>
      </c>
      <c r="AB778" s="28" t="s">
        <v>93</v>
      </c>
      <c r="AC778" s="28" t="s">
        <v>101</v>
      </c>
      <c r="AD778" s="28" t="s">
        <v>107</v>
      </c>
      <c r="AE778" s="28" t="s">
        <v>112</v>
      </c>
      <c r="AF778" s="28" t="s">
        <v>116</v>
      </c>
      <c r="AG778" s="30" t="s">
        <v>122</v>
      </c>
    </row>
    <row r="779" customFormat="false" ht="15" hidden="false" customHeight="false" outlineLevel="0" collapsed="false">
      <c r="A779" s="10" t="n">
        <v>2026</v>
      </c>
      <c r="B779" s="28" t="s">
        <v>79</v>
      </c>
      <c r="C779" s="29" t="n">
        <v>46169</v>
      </c>
      <c r="D779" s="30" t="s">
        <v>127</v>
      </c>
      <c r="E779" s="28" t="s">
        <v>1081</v>
      </c>
      <c r="F779" s="30" t="s">
        <v>1082</v>
      </c>
      <c r="G779" s="31" t="n">
        <v>34835</v>
      </c>
      <c r="H779" s="31" t="n">
        <v>2</v>
      </c>
      <c r="I779" s="31" t="n">
        <v>69670</v>
      </c>
      <c r="J779" s="29" t="n">
        <v>46170</v>
      </c>
      <c r="K779" s="31" t="n">
        <v>33117</v>
      </c>
      <c r="L779" s="30" t="s">
        <v>32</v>
      </c>
      <c r="M779" s="10" t="n">
        <v>1</v>
      </c>
      <c r="N779" s="12" t="n">
        <v>-3589</v>
      </c>
      <c r="O779" s="13" t="n">
        <v>-0.0515110305642633</v>
      </c>
      <c r="P779" s="15" t="n">
        <v>0.0305786167855136</v>
      </c>
      <c r="Q779" s="13" t="n">
        <v>-0.0885551230378815</v>
      </c>
      <c r="R779" s="15" t="n">
        <v>0.12258064516129</v>
      </c>
      <c r="S779" s="32" t="n">
        <v>21232454400</v>
      </c>
      <c r="T779" s="15" t="n">
        <v>0.0497737556561086</v>
      </c>
      <c r="U779" s="32" t="n">
        <v>9779568605</v>
      </c>
      <c r="V779" s="14" t="n">
        <v>1.67804033905255</v>
      </c>
      <c r="W779" s="13" t="n">
        <v>0.140983606557377</v>
      </c>
      <c r="X779" s="15" t="n">
        <v>0.0431034482758621</v>
      </c>
      <c r="Y779" s="13" t="n">
        <v>0.0225150388132478</v>
      </c>
      <c r="Z779" s="13" t="n">
        <v>0.131612314107095</v>
      </c>
      <c r="AA779" s="30" t="s">
        <v>97</v>
      </c>
      <c r="AB779" s="28" t="s">
        <v>93</v>
      </c>
      <c r="AC779" s="28" t="s">
        <v>102</v>
      </c>
      <c r="AD779" s="28" t="s">
        <v>106</v>
      </c>
      <c r="AE779" s="28" t="s">
        <v>113</v>
      </c>
      <c r="AF779" s="28" t="s">
        <v>116</v>
      </c>
      <c r="AG779" s="30" t="s">
        <v>122</v>
      </c>
    </row>
    <row r="780" customFormat="false" ht="15" hidden="false" customHeight="false" outlineLevel="0" collapsed="false">
      <c r="A780" s="10" t="n">
        <v>2026</v>
      </c>
      <c r="B780" s="28" t="s">
        <v>79</v>
      </c>
      <c r="C780" s="29" t="n">
        <v>46171</v>
      </c>
      <c r="D780" s="30" t="s">
        <v>129</v>
      </c>
      <c r="E780" s="28" t="s">
        <v>909</v>
      </c>
      <c r="F780" s="30" t="s">
        <v>910</v>
      </c>
      <c r="G780" s="31" t="n">
        <v>38538</v>
      </c>
      <c r="H780" s="31" t="n">
        <v>2</v>
      </c>
      <c r="I780" s="31" t="n">
        <v>77077</v>
      </c>
      <c r="J780" s="29" t="n">
        <v>46175</v>
      </c>
      <c r="K780" s="31" t="n">
        <v>36663</v>
      </c>
      <c r="L780" s="30" t="s">
        <v>32</v>
      </c>
      <c r="M780" s="10" t="n">
        <v>2</v>
      </c>
      <c r="N780" s="12" t="n">
        <v>-3920</v>
      </c>
      <c r="O780" s="13" t="n">
        <v>-0.0508532213241303</v>
      </c>
      <c r="P780" s="15" t="n">
        <v>0.0898192716374537</v>
      </c>
      <c r="Q780" s="13" t="n">
        <v>-0.13073939047965</v>
      </c>
      <c r="R780" s="15" t="n">
        <v>0.11271676300578</v>
      </c>
      <c r="S780" s="32" t="n">
        <v>189497770000</v>
      </c>
      <c r="T780" s="15" t="n">
        <v>0.0739191073919108</v>
      </c>
      <c r="U780" s="32" t="n">
        <v>7547249890</v>
      </c>
      <c r="V780" s="14" t="n">
        <v>21.1186261707285</v>
      </c>
      <c r="W780" s="13" t="n">
        <v>0.122448979591837</v>
      </c>
      <c r="X780" s="15" t="n">
        <v>0.14025974025974</v>
      </c>
      <c r="Y780" s="13" t="n">
        <v>0.0355344770924426</v>
      </c>
      <c r="Z780" s="13" t="n">
        <v>0.0845182513412295</v>
      </c>
      <c r="AA780" s="30" t="s">
        <v>97</v>
      </c>
      <c r="AB780" s="28" t="s">
        <v>93</v>
      </c>
      <c r="AC780" s="28" t="s">
        <v>102</v>
      </c>
      <c r="AD780" s="28" t="s">
        <v>109</v>
      </c>
      <c r="AE780" s="28" t="s">
        <v>101</v>
      </c>
      <c r="AF780" s="28" t="s">
        <v>120</v>
      </c>
      <c r="AG780" s="30" t="s">
        <v>122</v>
      </c>
    </row>
    <row r="781" customFormat="false" ht="15" hidden="false" customHeight="false" outlineLevel="0" collapsed="false">
      <c r="A781" s="10" t="n">
        <v>2026</v>
      </c>
      <c r="B781" s="28" t="s">
        <v>79</v>
      </c>
      <c r="C781" s="29" t="n">
        <v>46171</v>
      </c>
      <c r="D781" s="30" t="s">
        <v>129</v>
      </c>
      <c r="E781" s="28" t="s">
        <v>211</v>
      </c>
      <c r="F781" s="30" t="s">
        <v>212</v>
      </c>
      <c r="G781" s="31" t="n">
        <v>66867</v>
      </c>
      <c r="H781" s="31" t="n">
        <v>1</v>
      </c>
      <c r="I781" s="31" t="n">
        <v>66867</v>
      </c>
      <c r="J781" s="29" t="n">
        <v>46181</v>
      </c>
      <c r="K781" s="31" t="n">
        <v>63636</v>
      </c>
      <c r="L781" s="30" t="s">
        <v>32</v>
      </c>
      <c r="M781" s="10" t="n">
        <v>5</v>
      </c>
      <c r="N781" s="12" t="n">
        <v>-3377</v>
      </c>
      <c r="O781" s="13" t="n">
        <v>-0.0505085941752857</v>
      </c>
      <c r="P781" s="15" t="n">
        <v>0.0767675438334123</v>
      </c>
      <c r="Q781" s="13" t="n">
        <v>-0.0982071820395172</v>
      </c>
      <c r="R781" s="15" t="n">
        <v>0.0603174603174603</v>
      </c>
      <c r="S781" s="32" t="n">
        <v>100140948800</v>
      </c>
      <c r="T781" s="15" t="n">
        <v>0.0324574961360125</v>
      </c>
      <c r="U781" s="32" t="n">
        <v>30729434030</v>
      </c>
      <c r="V781" s="14" t="n">
        <v>3.00153338657189</v>
      </c>
      <c r="W781" s="13" t="n">
        <v>0.0388802488335927</v>
      </c>
      <c r="X781" s="15" t="n">
        <v>0</v>
      </c>
      <c r="Y781" s="13" t="n">
        <v>0.0355344770924426</v>
      </c>
      <c r="Z781" s="13" t="n">
        <v>0.0845182513412295</v>
      </c>
      <c r="AA781" s="30" t="s">
        <v>97</v>
      </c>
      <c r="AB781" s="28" t="s">
        <v>93</v>
      </c>
      <c r="AC781" s="28" t="s">
        <v>101</v>
      </c>
      <c r="AD781" s="28" t="s">
        <v>109</v>
      </c>
      <c r="AE781" s="28" t="s">
        <v>113</v>
      </c>
      <c r="AF781" s="28" t="s">
        <v>118</v>
      </c>
      <c r="AG781" s="30" t="s">
        <v>122</v>
      </c>
    </row>
    <row r="782" customFormat="false" ht="15" hidden="false" customHeight="false" outlineLevel="0" collapsed="false">
      <c r="A782" s="10" t="n">
        <v>2026</v>
      </c>
      <c r="B782" s="28" t="s">
        <v>79</v>
      </c>
      <c r="C782" s="29" t="n">
        <v>46171</v>
      </c>
      <c r="D782" s="30" t="s">
        <v>129</v>
      </c>
      <c r="E782" s="28" t="s">
        <v>1083</v>
      </c>
      <c r="F782" s="28" t="s">
        <v>1084</v>
      </c>
      <c r="G782" s="31" t="n">
        <v>50951</v>
      </c>
      <c r="H782" s="31" t="n">
        <v>1</v>
      </c>
      <c r="I782" s="31" t="n">
        <v>50951</v>
      </c>
      <c r="J782" s="29" t="n">
        <v>46174</v>
      </c>
      <c r="K782" s="31" t="n">
        <v>61200</v>
      </c>
      <c r="L782" s="30" t="s">
        <v>31</v>
      </c>
      <c r="M782" s="10" t="n">
        <v>1</v>
      </c>
      <c r="N782" s="12" t="n">
        <v>10110</v>
      </c>
      <c r="O782" s="13" t="n">
        <v>0.198423921167241</v>
      </c>
      <c r="P782" s="15" t="n">
        <v>0.273775340572983</v>
      </c>
      <c r="Q782" s="13" t="n">
        <v>0.0402171502367967</v>
      </c>
      <c r="R782" s="15" t="n">
        <v>0.22503008423586</v>
      </c>
      <c r="S782" s="32" t="n">
        <v>53986219700</v>
      </c>
      <c r="T782" s="15" t="n">
        <v>0.209026128266033</v>
      </c>
      <c r="U782" s="32" t="n">
        <v>3859164552.5</v>
      </c>
      <c r="V782" s="14" t="n">
        <v>10.7201728758551</v>
      </c>
      <c r="W782" s="13" t="n">
        <v>0.235436893203884</v>
      </c>
      <c r="X782" s="15" t="n">
        <v>0.0412573673870333</v>
      </c>
      <c r="Y782" s="13" t="n">
        <v>0.0355344770924426</v>
      </c>
      <c r="Z782" s="13" t="n">
        <v>0.0845182513412295</v>
      </c>
      <c r="AA782" s="30" t="s">
        <v>97</v>
      </c>
      <c r="AB782" s="28" t="s">
        <v>93</v>
      </c>
      <c r="AC782" s="28" t="s">
        <v>104</v>
      </c>
      <c r="AD782" s="28" t="s">
        <v>108</v>
      </c>
      <c r="AE782" s="28" t="s">
        <v>114</v>
      </c>
      <c r="AF782" s="28" t="s">
        <v>120</v>
      </c>
      <c r="AG782" s="30" t="s">
        <v>122</v>
      </c>
    </row>
    <row r="783" customFormat="false" ht="15" hidden="false" customHeight="false" outlineLevel="0" collapsed="false">
      <c r="A783" s="10" t="n">
        <v>2026</v>
      </c>
      <c r="B783" s="28" t="s">
        <v>80</v>
      </c>
      <c r="C783" s="29" t="n">
        <v>46174</v>
      </c>
      <c r="D783" s="30" t="s">
        <v>125</v>
      </c>
      <c r="E783" s="28" t="s">
        <v>455</v>
      </c>
      <c r="F783" s="30" t="s">
        <v>456</v>
      </c>
      <c r="G783" s="31" t="n">
        <v>38739</v>
      </c>
      <c r="H783" s="31" t="n">
        <v>2</v>
      </c>
      <c r="I783" s="31" t="n">
        <v>77477</v>
      </c>
      <c r="J783" s="29" t="n">
        <v>46175</v>
      </c>
      <c r="K783" s="31" t="n">
        <v>36863</v>
      </c>
      <c r="L783" s="30" t="s">
        <v>32</v>
      </c>
      <c r="M783" s="10" t="n">
        <v>1</v>
      </c>
      <c r="N783" s="12" t="n">
        <v>-3921</v>
      </c>
      <c r="O783" s="13" t="n">
        <v>-0.0506126036753943</v>
      </c>
      <c r="P783" s="15" t="n">
        <v>-0.0384292709874105</v>
      </c>
      <c r="Q783" s="13" t="n">
        <v>-0.135231693371228</v>
      </c>
      <c r="R783" s="15" t="n">
        <v>0.192604006163328</v>
      </c>
      <c r="S783" s="32" t="n">
        <v>319061646900</v>
      </c>
      <c r="T783" s="15" t="n">
        <v>0.0646492434663</v>
      </c>
      <c r="U783" s="32" t="n">
        <v>21662180972.5</v>
      </c>
      <c r="V783" s="14" t="n">
        <v>12.7585836023197</v>
      </c>
      <c r="W783" s="13" t="n">
        <v>0.14327917282127</v>
      </c>
      <c r="X783" s="15" t="n">
        <v>0.0465116279069768</v>
      </c>
      <c r="Y783" s="13" t="n">
        <v>0.0368362994991829</v>
      </c>
      <c r="Z783" s="13" t="n">
        <v>0.119865540393312</v>
      </c>
      <c r="AA783" s="30" t="s">
        <v>97</v>
      </c>
      <c r="AB783" s="28" t="s">
        <v>93</v>
      </c>
      <c r="AC783" s="28" t="s">
        <v>103</v>
      </c>
      <c r="AD783" s="28" t="s">
        <v>110</v>
      </c>
      <c r="AE783" s="28" t="s">
        <v>101</v>
      </c>
      <c r="AF783" s="28" t="s">
        <v>120</v>
      </c>
      <c r="AG783" s="30" t="s">
        <v>122</v>
      </c>
    </row>
    <row r="784" customFormat="false" ht="15" hidden="false" customHeight="false" outlineLevel="0" collapsed="false">
      <c r="A784" s="10" t="n">
        <v>2026</v>
      </c>
      <c r="B784" s="28" t="s">
        <v>80</v>
      </c>
      <c r="C784" s="29" t="n">
        <v>46177</v>
      </c>
      <c r="D784" s="30" t="s">
        <v>128</v>
      </c>
      <c r="E784" s="28" t="s">
        <v>1085</v>
      </c>
      <c r="F784" s="30" t="s">
        <v>1086</v>
      </c>
      <c r="G784" s="31" t="n">
        <v>51451</v>
      </c>
      <c r="H784" s="31" t="n">
        <v>1</v>
      </c>
      <c r="I784" s="31" t="n">
        <v>51451</v>
      </c>
      <c r="J784" s="29" t="n">
        <v>46178</v>
      </c>
      <c r="K784" s="31" t="n">
        <v>48951</v>
      </c>
      <c r="L784" s="30" t="s">
        <v>32</v>
      </c>
      <c r="M784" s="10" t="n">
        <v>1</v>
      </c>
      <c r="N784" s="12" t="n">
        <v>-2613</v>
      </c>
      <c r="O784" s="13" t="n">
        <v>-0.0507928328480858</v>
      </c>
      <c r="P784" s="15" t="n">
        <v>0.0126060709718299</v>
      </c>
      <c r="Q784" s="13" t="n">
        <v>-0.124416439591537</v>
      </c>
      <c r="R784" s="15" t="n">
        <v>0.0821052631578947</v>
      </c>
      <c r="S784" s="32" t="n">
        <v>672827953200</v>
      </c>
      <c r="T784" s="15" t="n">
        <v>0.0686070686070686</v>
      </c>
      <c r="U784" s="32" t="n">
        <v>132541458930</v>
      </c>
      <c r="V784" s="14" t="n">
        <v>4.20118542409207</v>
      </c>
      <c r="W784" s="13" t="n">
        <v>0.0832455216016861</v>
      </c>
      <c r="X784" s="15" t="n">
        <v>0.122568093385214</v>
      </c>
      <c r="Y784" s="13" t="n">
        <v>-0.0184150638130589</v>
      </c>
      <c r="Z784" s="13" t="n">
        <v>0.0499118937377714</v>
      </c>
      <c r="AA784" s="30" t="s">
        <v>97</v>
      </c>
      <c r="AB784" s="28" t="s">
        <v>93</v>
      </c>
      <c r="AC784" s="28" t="s">
        <v>101</v>
      </c>
      <c r="AD784" s="28" t="s">
        <v>110</v>
      </c>
      <c r="AE784" s="28" t="s">
        <v>101</v>
      </c>
      <c r="AF784" s="28" t="s">
        <v>118</v>
      </c>
      <c r="AG784" s="30" t="s">
        <v>122</v>
      </c>
    </row>
    <row r="785" customFormat="false" ht="15" hidden="false" customHeight="false" outlineLevel="0" collapsed="false">
      <c r="A785" s="10" t="n">
        <v>2026</v>
      </c>
      <c r="B785" s="28" t="s">
        <v>80</v>
      </c>
      <c r="C785" s="29" t="n">
        <v>46181</v>
      </c>
      <c r="D785" s="30" t="s">
        <v>125</v>
      </c>
      <c r="E785" s="28" t="s">
        <v>1087</v>
      </c>
      <c r="F785" s="30" t="s">
        <v>1088</v>
      </c>
      <c r="G785" s="31" t="n">
        <v>6757</v>
      </c>
      <c r="H785" s="31" t="n">
        <v>14</v>
      </c>
      <c r="I785" s="31" t="n">
        <v>94594</v>
      </c>
      <c r="J785" s="29" t="n">
        <v>46182</v>
      </c>
      <c r="K785" s="31" t="n">
        <v>8110</v>
      </c>
      <c r="L785" s="30" t="s">
        <v>31</v>
      </c>
      <c r="M785" s="10" t="n">
        <v>1</v>
      </c>
      <c r="N785" s="12" t="n">
        <v>18687</v>
      </c>
      <c r="O785" s="13" t="n">
        <v>0.197550595700596</v>
      </c>
      <c r="P785" s="15" t="n">
        <v>0.243201243201243</v>
      </c>
      <c r="Q785" s="13" t="n">
        <v>0.0138010138010138</v>
      </c>
      <c r="R785" s="15" t="n">
        <v>0.142131979695432</v>
      </c>
      <c r="S785" s="32" t="n">
        <v>101469118500</v>
      </c>
      <c r="T785" s="15" t="n">
        <v>0.136363636363637</v>
      </c>
      <c r="U785" s="32" t="n">
        <v>10825226979</v>
      </c>
      <c r="V785" s="14" t="n">
        <v>7.51051774914822</v>
      </c>
      <c r="W785" s="13" t="n">
        <v>0.194690265486726</v>
      </c>
      <c r="X785" s="15" t="n">
        <v>0.111111111111111</v>
      </c>
      <c r="Y785" s="13" t="n">
        <v>-0.0828592050329695</v>
      </c>
      <c r="Z785" s="13" t="n">
        <v>-0.117003592432885</v>
      </c>
      <c r="AA785" s="30" t="s">
        <v>96</v>
      </c>
      <c r="AB785" s="28" t="s">
        <v>94</v>
      </c>
      <c r="AC785" s="28" t="s">
        <v>102</v>
      </c>
      <c r="AD785" s="28" t="s">
        <v>109</v>
      </c>
      <c r="AE785" s="28" t="s">
        <v>114</v>
      </c>
      <c r="AF785" s="28" t="s">
        <v>119</v>
      </c>
      <c r="AG785" s="30" t="s">
        <v>122</v>
      </c>
    </row>
    <row r="786" customFormat="false" ht="15" hidden="false" customHeight="false" outlineLevel="0" collapsed="false">
      <c r="A786" s="10" t="n">
        <v>2026</v>
      </c>
      <c r="B786" s="28" t="s">
        <v>80</v>
      </c>
      <c r="C786" s="29" t="n">
        <v>46182</v>
      </c>
      <c r="D786" s="30" t="s">
        <v>126</v>
      </c>
      <c r="E786" s="28" t="s">
        <v>655</v>
      </c>
      <c r="F786" s="30" t="s">
        <v>656</v>
      </c>
      <c r="G786" s="31" t="n">
        <v>59760</v>
      </c>
      <c r="H786" s="31" t="n">
        <v>1</v>
      </c>
      <c r="I786" s="31" t="n">
        <v>59760</v>
      </c>
      <c r="J786" s="29" t="n">
        <v>46183</v>
      </c>
      <c r="K786" s="31" t="n">
        <v>56843</v>
      </c>
      <c r="L786" s="30" t="s">
        <v>32</v>
      </c>
      <c r="M786" s="10" t="n">
        <v>1</v>
      </c>
      <c r="N786" s="12" t="n">
        <v>-3048</v>
      </c>
      <c r="O786" s="13" t="n">
        <v>-0.0510005341392276</v>
      </c>
      <c r="P786" s="15" t="n">
        <v>0.0843427928855067</v>
      </c>
      <c r="Q786" s="13" t="n">
        <v>-0.0545467932402605</v>
      </c>
      <c r="R786" s="15" t="n">
        <v>0.209726443768997</v>
      </c>
      <c r="S786" s="32" t="n">
        <v>586185046500</v>
      </c>
      <c r="T786" s="15" t="n">
        <v>0.00674536256323788</v>
      </c>
      <c r="U786" s="32" t="n">
        <v>61294727335</v>
      </c>
      <c r="V786" s="14" t="n">
        <v>8.49122756040518</v>
      </c>
      <c r="W786" s="13" t="n">
        <v>0.159223300970874</v>
      </c>
      <c r="X786" s="15" t="n">
        <v>0.0737018425460636</v>
      </c>
      <c r="Y786" s="13" t="n">
        <v>0.0818394502706292</v>
      </c>
      <c r="Z786" s="13" t="n">
        <v>-0.0786777540343043</v>
      </c>
      <c r="AA786" s="30" t="s">
        <v>97</v>
      </c>
      <c r="AB786" s="28" t="s">
        <v>94</v>
      </c>
      <c r="AC786" s="28" t="s">
        <v>104</v>
      </c>
      <c r="AD786" s="28" t="s">
        <v>110</v>
      </c>
      <c r="AE786" s="28" t="s">
        <v>112</v>
      </c>
      <c r="AF786" s="28" t="s">
        <v>119</v>
      </c>
      <c r="AG786" s="30" t="s">
        <v>122</v>
      </c>
    </row>
    <row r="787" customFormat="false" ht="15" hidden="false" customHeight="false" outlineLevel="0" collapsed="false">
      <c r="A787" s="10" t="n">
        <v>2026</v>
      </c>
      <c r="B787" s="28" t="s">
        <v>80</v>
      </c>
      <c r="C787" s="29" t="n">
        <v>46182</v>
      </c>
      <c r="D787" s="30" t="s">
        <v>126</v>
      </c>
      <c r="E787" s="28" t="s">
        <v>619</v>
      </c>
      <c r="F787" s="30" t="s">
        <v>620</v>
      </c>
      <c r="G787" s="31" t="n">
        <v>24424</v>
      </c>
      <c r="H787" s="31" t="n">
        <v>4</v>
      </c>
      <c r="I787" s="31" t="n">
        <v>97698</v>
      </c>
      <c r="J787" s="29" t="n">
        <v>46184</v>
      </c>
      <c r="K787" s="31" t="n">
        <v>23227</v>
      </c>
      <c r="L787" s="30" t="s">
        <v>32</v>
      </c>
      <c r="M787" s="10" t="n">
        <v>2</v>
      </c>
      <c r="N787" s="12" t="n">
        <v>-5005</v>
      </c>
      <c r="O787" s="13" t="n">
        <v>-0.0512295562019948</v>
      </c>
      <c r="P787" s="15" t="n">
        <v>0.0235665973370893</v>
      </c>
      <c r="Q787" s="13" t="n">
        <v>-0.0746957960072714</v>
      </c>
      <c r="R787" s="15" t="n">
        <v>0.0725274725274725</v>
      </c>
      <c r="S787" s="32" t="n">
        <v>60320606400</v>
      </c>
      <c r="T787" s="15" t="n">
        <v>0.0317124735729386</v>
      </c>
      <c r="U787" s="32" t="n">
        <v>27428231475</v>
      </c>
      <c r="V787" s="14" t="n">
        <v>2.02606965855054</v>
      </c>
      <c r="W787" s="13" t="n">
        <v>0.082039911308204</v>
      </c>
      <c r="X787" s="15" t="n">
        <v>0.00819672131147531</v>
      </c>
      <c r="Y787" s="13" t="n">
        <v>0.0818394502706292</v>
      </c>
      <c r="Z787" s="13" t="n">
        <v>-0.0786777540343043</v>
      </c>
      <c r="AA787" s="30" t="s">
        <v>97</v>
      </c>
      <c r="AB787" s="28" t="s">
        <v>94</v>
      </c>
      <c r="AC787" s="28" t="s">
        <v>101</v>
      </c>
      <c r="AD787" s="28" t="s">
        <v>108</v>
      </c>
      <c r="AE787" s="28" t="s">
        <v>113</v>
      </c>
      <c r="AF787" s="28" t="s">
        <v>117</v>
      </c>
      <c r="AG787" s="30" t="s">
        <v>122</v>
      </c>
    </row>
    <row r="788" customFormat="false" ht="15" hidden="false" customHeight="false" outlineLevel="0" collapsed="false">
      <c r="A788" s="10" t="n">
        <v>2026</v>
      </c>
      <c r="B788" s="28" t="s">
        <v>80</v>
      </c>
      <c r="C788" s="29" t="n">
        <v>46182</v>
      </c>
      <c r="D788" s="30" t="s">
        <v>126</v>
      </c>
      <c r="E788" s="28" t="s">
        <v>1089</v>
      </c>
      <c r="F788" s="30" t="s">
        <v>1090</v>
      </c>
      <c r="G788" s="31" t="n">
        <v>43493</v>
      </c>
      <c r="H788" s="31" t="n">
        <v>2</v>
      </c>
      <c r="I788" s="31" t="n">
        <v>86987</v>
      </c>
      <c r="J788" s="29" t="n">
        <v>46183</v>
      </c>
      <c r="K788" s="31" t="n">
        <v>41359</v>
      </c>
      <c r="L788" s="30" t="s">
        <v>32</v>
      </c>
      <c r="M788" s="10" t="n">
        <v>1</v>
      </c>
      <c r="N788" s="12" t="n">
        <v>-4461</v>
      </c>
      <c r="O788" s="13" t="n">
        <v>-0.0512788708989516</v>
      </c>
      <c r="P788" s="15" t="n">
        <v>0.0254417619204732</v>
      </c>
      <c r="Q788" s="13" t="n">
        <v>-0.0849196833086361</v>
      </c>
      <c r="R788" s="15" t="n">
        <v>0.246771879483501</v>
      </c>
      <c r="S788" s="32" t="n">
        <v>47568191000</v>
      </c>
      <c r="T788" s="15" t="n">
        <v>0.143421052631579</v>
      </c>
      <c r="U788" s="32" t="n">
        <v>6299399605</v>
      </c>
      <c r="V788" s="14" t="n">
        <v>6.00417689501383</v>
      </c>
      <c r="W788" s="13" t="n">
        <v>0.218793828892006</v>
      </c>
      <c r="X788" s="15" t="n">
        <v>0.0322209436133487</v>
      </c>
      <c r="Y788" s="13" t="n">
        <v>0.0818394502706292</v>
      </c>
      <c r="Z788" s="13" t="n">
        <v>-0.0786777540343043</v>
      </c>
      <c r="AA788" s="30" t="s">
        <v>97</v>
      </c>
      <c r="AB788" s="28" t="s">
        <v>94</v>
      </c>
      <c r="AC788" s="28" t="s">
        <v>104</v>
      </c>
      <c r="AD788" s="28" t="s">
        <v>107</v>
      </c>
      <c r="AE788" s="28" t="s">
        <v>114</v>
      </c>
      <c r="AF788" s="28" t="s">
        <v>119</v>
      </c>
      <c r="AG788" s="30" t="s">
        <v>122</v>
      </c>
    </row>
    <row r="789" customFormat="false" ht="15" hidden="false" customHeight="false" outlineLevel="0" collapsed="false">
      <c r="A789" s="10" t="n">
        <v>2026</v>
      </c>
      <c r="B789" s="28" t="s">
        <v>80</v>
      </c>
      <c r="C789" s="29" t="n">
        <v>46182</v>
      </c>
      <c r="D789" s="30" t="s">
        <v>126</v>
      </c>
      <c r="E789" s="28" t="s">
        <v>1091</v>
      </c>
      <c r="F789" s="30" t="s">
        <v>1092</v>
      </c>
      <c r="G789" s="31" t="n">
        <v>51051</v>
      </c>
      <c r="H789" s="31" t="n">
        <v>1</v>
      </c>
      <c r="I789" s="31" t="n">
        <v>51051</v>
      </c>
      <c r="J789" s="29" t="n">
        <v>46183</v>
      </c>
      <c r="K789" s="31" t="n">
        <v>48601</v>
      </c>
      <c r="L789" s="30" t="s">
        <v>32</v>
      </c>
      <c r="M789" s="10" t="n">
        <v>1</v>
      </c>
      <c r="N789" s="12" t="n">
        <v>-2562</v>
      </c>
      <c r="O789" s="13" t="n">
        <v>-0.0501812021801729</v>
      </c>
      <c r="P789" s="15" t="n">
        <v>0.0695187165775402</v>
      </c>
      <c r="Q789" s="13" t="n">
        <v>-0.116569704804999</v>
      </c>
      <c r="R789" s="15" t="n">
        <v>0.128318584070797</v>
      </c>
      <c r="S789" s="32" t="n">
        <v>32181000000</v>
      </c>
      <c r="T789" s="15" t="n">
        <v>0.0759493670886076</v>
      </c>
      <c r="U789" s="32" t="n">
        <v>14141859097.5</v>
      </c>
      <c r="V789" s="14" t="n">
        <v>1.94692665594057</v>
      </c>
      <c r="W789" s="13" t="n">
        <v>0.0793650793650793</v>
      </c>
      <c r="X789" s="15" t="n">
        <v>0.0117647058823529</v>
      </c>
      <c r="Y789" s="13" t="n">
        <v>0.0818394502706292</v>
      </c>
      <c r="Z789" s="13" t="n">
        <v>-0.0786777540343043</v>
      </c>
      <c r="AA789" s="30" t="s">
        <v>97</v>
      </c>
      <c r="AB789" s="28" t="s">
        <v>94</v>
      </c>
      <c r="AC789" s="28" t="s">
        <v>102</v>
      </c>
      <c r="AD789" s="28" t="s">
        <v>107</v>
      </c>
      <c r="AE789" s="28" t="s">
        <v>101</v>
      </c>
      <c r="AF789" s="28" t="s">
        <v>116</v>
      </c>
      <c r="AG789" s="30" t="s">
        <v>122</v>
      </c>
    </row>
    <row r="790" customFormat="false" ht="15" hidden="false" customHeight="false" outlineLevel="0" collapsed="false">
      <c r="A790" s="10" t="n">
        <v>2026</v>
      </c>
      <c r="B790" s="28" t="s">
        <v>80</v>
      </c>
      <c r="C790" s="29" t="n">
        <v>46183</v>
      </c>
      <c r="D790" s="30" t="s">
        <v>127</v>
      </c>
      <c r="E790" s="28" t="s">
        <v>1093</v>
      </c>
      <c r="F790" s="30" t="s">
        <v>1094</v>
      </c>
      <c r="G790" s="31" t="n">
        <v>16256</v>
      </c>
      <c r="H790" s="31" t="n">
        <v>6</v>
      </c>
      <c r="I790" s="31" t="n">
        <v>97537</v>
      </c>
      <c r="J790" s="29" t="n">
        <v>46184</v>
      </c>
      <c r="K790" s="31" t="n">
        <v>15475</v>
      </c>
      <c r="L790" s="30" t="s">
        <v>32</v>
      </c>
      <c r="M790" s="10" t="n">
        <v>1</v>
      </c>
      <c r="N790" s="12" t="n">
        <v>-4905</v>
      </c>
      <c r="O790" s="13" t="n">
        <v>-0.0502846065572358</v>
      </c>
      <c r="P790" s="15" t="n">
        <v>0.0451371288809714</v>
      </c>
      <c r="Q790" s="13" t="n">
        <v>-0.0957318543525439</v>
      </c>
      <c r="R790" s="15" t="n">
        <v>0.201183431952663</v>
      </c>
      <c r="S790" s="32" t="n">
        <v>532040491360</v>
      </c>
      <c r="T790" s="15" t="n">
        <v>0.192364170337739</v>
      </c>
      <c r="U790" s="32" t="n">
        <v>27882714159</v>
      </c>
      <c r="V790" s="14" t="n">
        <v>14.554989120449</v>
      </c>
      <c r="W790" s="13" t="n">
        <v>0.136459062281316</v>
      </c>
      <c r="X790" s="15" t="n">
        <v>0.0264778325123152</v>
      </c>
      <c r="Y790" s="13" t="n">
        <v>-0.0452159028174877</v>
      </c>
      <c r="Z790" s="13" t="n">
        <v>-0.121646448499061</v>
      </c>
      <c r="AA790" s="30" t="s">
        <v>96</v>
      </c>
      <c r="AB790" s="28" t="s">
        <v>94</v>
      </c>
      <c r="AC790" s="28" t="s">
        <v>104</v>
      </c>
      <c r="AD790" s="28" t="s">
        <v>110</v>
      </c>
      <c r="AE790" s="28" t="s">
        <v>114</v>
      </c>
      <c r="AF790" s="28" t="s">
        <v>120</v>
      </c>
      <c r="AG790" s="30" t="s">
        <v>122</v>
      </c>
    </row>
    <row r="791" customFormat="false" ht="15" hidden="false" customHeight="false" outlineLevel="0" collapsed="false">
      <c r="A791" s="10" t="n">
        <v>2026</v>
      </c>
      <c r="B791" s="28" t="s">
        <v>80</v>
      </c>
      <c r="C791" s="29" t="n">
        <v>46183</v>
      </c>
      <c r="D791" s="30" t="s">
        <v>127</v>
      </c>
      <c r="E791" s="28" t="s">
        <v>1095</v>
      </c>
      <c r="F791" s="30" t="s">
        <v>1096</v>
      </c>
      <c r="G791" s="31" t="n">
        <v>6036</v>
      </c>
      <c r="H791" s="31" t="n">
        <v>16</v>
      </c>
      <c r="I791" s="31" t="n">
        <v>96576</v>
      </c>
      <c r="J791" s="29" t="n">
        <v>46184</v>
      </c>
      <c r="K791" s="31" t="n">
        <v>5744</v>
      </c>
      <c r="L791" s="30" t="s">
        <v>32</v>
      </c>
      <c r="M791" s="10" t="n">
        <v>1</v>
      </c>
      <c r="N791" s="12" t="n">
        <v>-4881</v>
      </c>
      <c r="O791" s="13" t="n">
        <v>-0.0505357895835507</v>
      </c>
      <c r="P791" s="15" t="n">
        <v>0.0470458231652262</v>
      </c>
      <c r="Q791" s="13" t="n">
        <v>-0.0656110059095133</v>
      </c>
      <c r="R791" s="15" t="n">
        <v>0.0432525951557095</v>
      </c>
      <c r="S791" s="32" t="n">
        <v>213234029820</v>
      </c>
      <c r="T791" s="15" t="n">
        <v>0.0414507772020725</v>
      </c>
      <c r="U791" s="32" t="n">
        <v>12221492728</v>
      </c>
      <c r="V791" s="14" t="n">
        <v>16.1577149181446</v>
      </c>
      <c r="W791" s="13" t="n">
        <v>0.0578947368421052</v>
      </c>
      <c r="X791" s="15" t="n">
        <v>0.102819237147595</v>
      </c>
      <c r="Y791" s="13" t="n">
        <v>-0.0452159028174877</v>
      </c>
      <c r="Z791" s="13" t="n">
        <v>-0.121646448499061</v>
      </c>
      <c r="AA791" s="30" t="s">
        <v>96</v>
      </c>
      <c r="AB791" s="28" t="s">
        <v>94</v>
      </c>
      <c r="AC791" s="28" t="s">
        <v>100</v>
      </c>
      <c r="AD791" s="28" t="s">
        <v>110</v>
      </c>
      <c r="AE791" s="28" t="s">
        <v>113</v>
      </c>
      <c r="AF791" s="28" t="s">
        <v>120</v>
      </c>
      <c r="AG791" s="30" t="s">
        <v>122</v>
      </c>
    </row>
    <row r="792" customFormat="false" ht="15" hidden="false" customHeight="false" outlineLevel="0" collapsed="false">
      <c r="A792" s="10" t="n">
        <v>2026</v>
      </c>
      <c r="B792" s="28" t="s">
        <v>80</v>
      </c>
      <c r="C792" s="29" t="n">
        <v>46183</v>
      </c>
      <c r="D792" s="30" t="s">
        <v>127</v>
      </c>
      <c r="E792" s="28" t="s">
        <v>375</v>
      </c>
      <c r="F792" s="30" t="s">
        <v>376</v>
      </c>
      <c r="G792" s="31" t="n">
        <v>12763</v>
      </c>
      <c r="H792" s="31" t="n">
        <v>7</v>
      </c>
      <c r="I792" s="31" t="n">
        <v>89339</v>
      </c>
      <c r="J792" s="29" t="n">
        <v>46184</v>
      </c>
      <c r="K792" s="31" t="n">
        <v>12148</v>
      </c>
      <c r="L792" s="30" t="s">
        <v>32</v>
      </c>
      <c r="M792" s="10" t="n">
        <v>1</v>
      </c>
      <c r="N792" s="12" t="n">
        <v>-4501</v>
      </c>
      <c r="O792" s="13" t="n">
        <v>-0.0503764681201151</v>
      </c>
      <c r="P792" s="15" t="n">
        <v>0.0930246224363873</v>
      </c>
      <c r="Q792" s="13" t="n">
        <v>-0.0534955240837592</v>
      </c>
      <c r="R792" s="15" t="n">
        <v>0.1455525606469</v>
      </c>
      <c r="S792" s="32" t="n">
        <v>195435646500</v>
      </c>
      <c r="T792" s="15" t="n">
        <v>0.0660535117056855</v>
      </c>
      <c r="U792" s="32" t="n">
        <v>9668097660</v>
      </c>
      <c r="V792" s="14" t="n">
        <v>16.9142665833107</v>
      </c>
      <c r="W792" s="13" t="n">
        <v>0.1654478976234</v>
      </c>
      <c r="X792" s="15" t="n">
        <v>0.111372549019608</v>
      </c>
      <c r="Y792" s="13" t="n">
        <v>-0.0452159028174877</v>
      </c>
      <c r="Z792" s="13" t="n">
        <v>-0.121646448499061</v>
      </c>
      <c r="AA792" s="30" t="s">
        <v>96</v>
      </c>
      <c r="AB792" s="28" t="s">
        <v>94</v>
      </c>
      <c r="AC792" s="28" t="s">
        <v>102</v>
      </c>
      <c r="AD792" s="28" t="s">
        <v>109</v>
      </c>
      <c r="AE792" s="28" t="s">
        <v>101</v>
      </c>
      <c r="AF792" s="28" t="s">
        <v>120</v>
      </c>
      <c r="AG792" s="30" t="s">
        <v>122</v>
      </c>
    </row>
    <row r="793" customFormat="false" ht="15" hidden="false" customHeight="false" outlineLevel="0" collapsed="false">
      <c r="A793" s="10" t="n">
        <v>2026</v>
      </c>
      <c r="B793" s="28" t="s">
        <v>80</v>
      </c>
      <c r="C793" s="29" t="n">
        <v>46184</v>
      </c>
      <c r="D793" s="30" t="s">
        <v>128</v>
      </c>
      <c r="E793" s="28" t="s">
        <v>1097</v>
      </c>
      <c r="F793" s="30" t="s">
        <v>1098</v>
      </c>
      <c r="G793" s="31" t="n">
        <v>43944</v>
      </c>
      <c r="H793" s="31" t="n">
        <v>2</v>
      </c>
      <c r="I793" s="31" t="n">
        <v>87888</v>
      </c>
      <c r="J793" s="29" t="n">
        <v>46189</v>
      </c>
      <c r="K793" s="31" t="n">
        <v>41808</v>
      </c>
      <c r="L793" s="30" t="s">
        <v>32</v>
      </c>
      <c r="M793" s="10" t="n">
        <v>3</v>
      </c>
      <c r="N793" s="12" t="n">
        <v>-4464</v>
      </c>
      <c r="O793" s="13" t="n">
        <v>-0.0507972462048201</v>
      </c>
      <c r="P793" s="15" t="n">
        <v>0.03882450123908</v>
      </c>
      <c r="Q793" s="13" t="n">
        <v>-0.0681300476289085</v>
      </c>
      <c r="R793" s="15" t="n">
        <v>0.0879801734820322</v>
      </c>
      <c r="S793" s="32" t="n">
        <v>39529667200</v>
      </c>
      <c r="T793" s="15" t="n">
        <v>0.0733496332518338</v>
      </c>
      <c r="U793" s="32" t="n">
        <v>7247723225</v>
      </c>
      <c r="V793" s="14" t="n">
        <v>4.81782435782264</v>
      </c>
      <c r="W793" s="13" t="n">
        <v>0.111392405063291</v>
      </c>
      <c r="X793" s="15" t="n">
        <v>0.0341685649202734</v>
      </c>
      <c r="Y793" s="13" t="n">
        <v>0.00428544449359847</v>
      </c>
      <c r="Z793" s="13" t="n">
        <v>-0.101333308640289</v>
      </c>
      <c r="AA793" s="30" t="s">
        <v>96</v>
      </c>
      <c r="AB793" s="28" t="s">
        <v>94</v>
      </c>
      <c r="AC793" s="28" t="s">
        <v>101</v>
      </c>
      <c r="AD793" s="28" t="s">
        <v>107</v>
      </c>
      <c r="AE793" s="28" t="s">
        <v>101</v>
      </c>
      <c r="AF793" s="28" t="s">
        <v>118</v>
      </c>
      <c r="AG793" s="30" t="s">
        <v>122</v>
      </c>
    </row>
    <row r="794" customFormat="false" ht="15" hidden="false" customHeight="false" outlineLevel="0" collapsed="false">
      <c r="A794" s="10" t="n">
        <v>2026</v>
      </c>
      <c r="B794" s="28" t="s">
        <v>80</v>
      </c>
      <c r="C794" s="29" t="n">
        <v>46185</v>
      </c>
      <c r="D794" s="30" t="s">
        <v>129</v>
      </c>
      <c r="E794" s="28" t="s">
        <v>1099</v>
      </c>
      <c r="F794" s="30" t="s">
        <v>1100</v>
      </c>
      <c r="G794" s="31" t="n">
        <v>42192</v>
      </c>
      <c r="H794" s="31" t="n">
        <v>2</v>
      </c>
      <c r="I794" s="31" t="n">
        <v>84384</v>
      </c>
      <c r="J794" s="29" t="n">
        <v>46189</v>
      </c>
      <c r="K794" s="31" t="n">
        <v>40160</v>
      </c>
      <c r="L794" s="30" t="s">
        <v>32</v>
      </c>
      <c r="M794" s="10" t="n">
        <v>2</v>
      </c>
      <c r="N794" s="12" t="n">
        <v>-4250</v>
      </c>
      <c r="O794" s="13" t="n">
        <v>-0.0503653497747803</v>
      </c>
      <c r="P794" s="15" t="n">
        <v>0.0144067083568864</v>
      </c>
      <c r="Q794" s="13" t="n">
        <v>-0.0638068929883875</v>
      </c>
      <c r="R794" s="15" t="n">
        <v>0.164364640883978</v>
      </c>
      <c r="S794" s="32" t="n">
        <v>79975410000</v>
      </c>
      <c r="T794" s="15" t="n">
        <v>0.0962288686605981</v>
      </c>
      <c r="U794" s="32" t="n">
        <v>16032480205</v>
      </c>
      <c r="V794" s="14" t="n">
        <v>4.11896546540305</v>
      </c>
      <c r="W794" s="13" t="n">
        <v>0.106299212598425</v>
      </c>
      <c r="X794" s="15" t="n">
        <v>0.077105575326216</v>
      </c>
      <c r="Y794" s="13" t="n">
        <v>0.0463256460950934</v>
      </c>
      <c r="Z794" s="13" t="n">
        <v>-0.00453030969574508</v>
      </c>
      <c r="AA794" s="30" t="s">
        <v>97</v>
      </c>
      <c r="AB794" s="28" t="s">
        <v>94</v>
      </c>
      <c r="AC794" s="28" t="s">
        <v>103</v>
      </c>
      <c r="AD794" s="28" t="s">
        <v>108</v>
      </c>
      <c r="AE794" s="28" t="s">
        <v>101</v>
      </c>
      <c r="AF794" s="28" t="s">
        <v>118</v>
      </c>
      <c r="AG794" s="30" t="s">
        <v>122</v>
      </c>
    </row>
    <row r="795" customFormat="false" ht="15" hidden="false" customHeight="false" outlineLevel="0" collapsed="false">
      <c r="A795" s="10" t="n">
        <v>2026</v>
      </c>
      <c r="B795" s="28" t="s">
        <v>80</v>
      </c>
      <c r="C795" s="29" t="n">
        <v>46185</v>
      </c>
      <c r="D795" s="30" t="s">
        <v>129</v>
      </c>
      <c r="E795" s="28" t="s">
        <v>865</v>
      </c>
      <c r="F795" s="30" t="s">
        <v>866</v>
      </c>
      <c r="G795" s="31" t="n">
        <v>21822</v>
      </c>
      <c r="H795" s="31" t="n">
        <v>4</v>
      </c>
      <c r="I795" s="31" t="n">
        <v>87287</v>
      </c>
      <c r="J795" s="29" t="n">
        <v>46195</v>
      </c>
      <c r="K795" s="31" t="n">
        <v>20729</v>
      </c>
      <c r="L795" s="30" t="s">
        <v>32</v>
      </c>
      <c r="M795" s="10" t="n">
        <v>6</v>
      </c>
      <c r="N795" s="12" t="n">
        <v>-4562</v>
      </c>
      <c r="O795" s="13" t="n">
        <v>-0.0522592617245141</v>
      </c>
      <c r="P795" s="15" t="n">
        <v>0.0860698934093429</v>
      </c>
      <c r="Q795" s="13" t="n">
        <v>-0.0605724550678679</v>
      </c>
      <c r="R795" s="15" t="n">
        <v>0.0405727923627686</v>
      </c>
      <c r="S795" s="32" t="n">
        <v>59786260200</v>
      </c>
      <c r="T795" s="15" t="n">
        <v>0.0234741784037558</v>
      </c>
      <c r="U795" s="32" t="n">
        <v>34585895605</v>
      </c>
      <c r="V795" s="14" t="n">
        <v>1.62948160857485</v>
      </c>
      <c r="W795" s="13" t="n">
        <v>0.0307328605200945</v>
      </c>
      <c r="X795" s="15" t="n">
        <v>0.025229357798165</v>
      </c>
      <c r="Y795" s="13" t="n">
        <v>0.0463256460950934</v>
      </c>
      <c r="Z795" s="13" t="n">
        <v>-0.00453030969574508</v>
      </c>
      <c r="AA795" s="30" t="s">
        <v>97</v>
      </c>
      <c r="AB795" s="28" t="s">
        <v>94</v>
      </c>
      <c r="AC795" s="28" t="s">
        <v>100</v>
      </c>
      <c r="AD795" s="28" t="s">
        <v>108</v>
      </c>
      <c r="AE795" s="28" t="s">
        <v>113</v>
      </c>
      <c r="AF795" s="28" t="s">
        <v>116</v>
      </c>
      <c r="AG795" s="30" t="s">
        <v>122</v>
      </c>
    </row>
    <row r="796" customFormat="false" ht="15" hidden="false" customHeight="false" outlineLevel="0" collapsed="false">
      <c r="A796" s="10" t="n">
        <v>2026</v>
      </c>
      <c r="B796" s="28" t="s">
        <v>80</v>
      </c>
      <c r="C796" s="29" t="n">
        <v>46185</v>
      </c>
      <c r="D796" s="30" t="s">
        <v>129</v>
      </c>
      <c r="E796" s="28" t="s">
        <v>1101</v>
      </c>
      <c r="F796" s="30" t="s">
        <v>1102</v>
      </c>
      <c r="G796" s="31" t="n">
        <v>20470</v>
      </c>
      <c r="H796" s="31" t="n">
        <v>4</v>
      </c>
      <c r="I796" s="31" t="n">
        <v>81882</v>
      </c>
      <c r="J796" s="29" t="n">
        <v>46191</v>
      </c>
      <c r="K796" s="31" t="n">
        <v>19480</v>
      </c>
      <c r="L796" s="30" t="s">
        <v>32</v>
      </c>
      <c r="M796" s="10" t="n">
        <v>4</v>
      </c>
      <c r="N796" s="12" t="n">
        <v>-4140</v>
      </c>
      <c r="O796" s="13" t="n">
        <v>-0.050555979106468</v>
      </c>
      <c r="P796" s="15" t="n">
        <v>0.0502944488274564</v>
      </c>
      <c r="Q796" s="13" t="n">
        <v>-0.0674362312504121</v>
      </c>
      <c r="R796" s="15" t="n">
        <v>0.0590367685137234</v>
      </c>
      <c r="S796" s="32" t="n">
        <v>56495865300</v>
      </c>
      <c r="T796" s="15" t="n">
        <v>0.0438999489535477</v>
      </c>
      <c r="U796" s="32" t="n">
        <v>10419012919</v>
      </c>
      <c r="V796" s="14" t="n">
        <v>4.97539841102938</v>
      </c>
      <c r="W796" s="13" t="n">
        <v>0.0651041666666667</v>
      </c>
      <c r="X796" s="15" t="n">
        <v>0.0342298288508558</v>
      </c>
      <c r="Y796" s="13" t="n">
        <v>0.0463256460950934</v>
      </c>
      <c r="Z796" s="13" t="n">
        <v>-0.00453030969574508</v>
      </c>
      <c r="AA796" s="30" t="s">
        <v>97</v>
      </c>
      <c r="AB796" s="28" t="s">
        <v>94</v>
      </c>
      <c r="AC796" s="28" t="s">
        <v>101</v>
      </c>
      <c r="AD796" s="28" t="s">
        <v>108</v>
      </c>
      <c r="AE796" s="28" t="s">
        <v>113</v>
      </c>
      <c r="AF796" s="28" t="s">
        <v>118</v>
      </c>
      <c r="AG796" s="30" t="s">
        <v>122</v>
      </c>
    </row>
    <row r="797" customFormat="false" ht="15" hidden="false" customHeight="false" outlineLevel="0" collapsed="false">
      <c r="A797" s="10" t="n">
        <v>2026</v>
      </c>
      <c r="B797" s="28" t="s">
        <v>80</v>
      </c>
      <c r="C797" s="29" t="n">
        <v>46185</v>
      </c>
      <c r="D797" s="30" t="s">
        <v>129</v>
      </c>
      <c r="E797" s="28" t="s">
        <v>1103</v>
      </c>
      <c r="F797" s="30" t="s">
        <v>1104</v>
      </c>
      <c r="G797" s="31" t="n">
        <v>51551</v>
      </c>
      <c r="H797" s="31" t="n">
        <v>1</v>
      </c>
      <c r="I797" s="31" t="n">
        <v>51551</v>
      </c>
      <c r="J797" s="29" t="n">
        <v>46191</v>
      </c>
      <c r="K797" s="31" t="n">
        <v>49051</v>
      </c>
      <c r="L797" s="30" t="s">
        <v>32</v>
      </c>
      <c r="M797" s="10" t="n">
        <v>4</v>
      </c>
      <c r="N797" s="12" t="n">
        <v>-2614</v>
      </c>
      <c r="O797" s="13" t="n">
        <v>-0.0507025432819606</v>
      </c>
      <c r="P797" s="15" t="n">
        <v>0.066894270777766</v>
      </c>
      <c r="Q797" s="13" t="n">
        <v>-0.0485242912427377</v>
      </c>
      <c r="R797" s="15" t="n">
        <v>0.0922587486744433</v>
      </c>
      <c r="S797" s="32" t="n">
        <v>43919200000</v>
      </c>
      <c r="T797" s="15" t="n">
        <v>0.00980392156862742</v>
      </c>
      <c r="U797" s="32" t="n">
        <v>8521991845</v>
      </c>
      <c r="V797" s="14" t="n">
        <v>4.76693953035472</v>
      </c>
      <c r="W797" s="13" t="n">
        <v>0.079664570230608</v>
      </c>
      <c r="X797" s="15" t="n">
        <v>0.0155339805825243</v>
      </c>
      <c r="Y797" s="13" t="n">
        <v>0.0463256460950934</v>
      </c>
      <c r="Z797" s="13" t="n">
        <v>-0.00453030969574508</v>
      </c>
      <c r="AA797" s="30" t="s">
        <v>97</v>
      </c>
      <c r="AB797" s="28" t="s">
        <v>94</v>
      </c>
      <c r="AC797" s="28" t="s">
        <v>101</v>
      </c>
      <c r="AD797" s="28" t="s">
        <v>107</v>
      </c>
      <c r="AE797" s="28" t="s">
        <v>112</v>
      </c>
      <c r="AF797" s="28" t="s">
        <v>118</v>
      </c>
      <c r="AG797" s="30" t="s">
        <v>122</v>
      </c>
    </row>
    <row r="798" customFormat="false" ht="15" hidden="false" customHeight="false" outlineLevel="0" collapsed="false">
      <c r="A798" s="10" t="n">
        <v>2026</v>
      </c>
      <c r="B798" s="28" t="s">
        <v>80</v>
      </c>
      <c r="C798" s="29" t="n">
        <v>46188</v>
      </c>
      <c r="D798" s="30" t="s">
        <v>125</v>
      </c>
      <c r="E798" s="28" t="s">
        <v>851</v>
      </c>
      <c r="F798" s="30" t="s">
        <v>852</v>
      </c>
      <c r="G798" s="31" t="n">
        <v>5686</v>
      </c>
      <c r="H798" s="31" t="n">
        <v>17</v>
      </c>
      <c r="I798" s="31" t="n">
        <v>96657</v>
      </c>
      <c r="J798" s="29" t="n">
        <v>46189</v>
      </c>
      <c r="K798" s="31" t="n">
        <v>5405</v>
      </c>
      <c r="L798" s="30" t="s">
        <v>32</v>
      </c>
      <c r="M798" s="10" t="n">
        <v>1</v>
      </c>
      <c r="N798" s="12" t="n">
        <v>-4991</v>
      </c>
      <c r="O798" s="13" t="n">
        <v>-0.0516319456072096</v>
      </c>
      <c r="P798" s="15" t="n">
        <v>0.00603621730382309</v>
      </c>
      <c r="Q798" s="13" t="n">
        <v>-0.0959744480871241</v>
      </c>
      <c r="R798" s="15" t="n">
        <v>0.208510638297872</v>
      </c>
      <c r="S798" s="32" t="n">
        <v>458508406480</v>
      </c>
      <c r="T798" s="15" t="n">
        <v>0.00888099467140324</v>
      </c>
      <c r="U798" s="32" t="n">
        <v>134086200759.5</v>
      </c>
      <c r="V798" s="14" t="n">
        <v>3.05212348216467</v>
      </c>
      <c r="W798" s="13" t="n">
        <v>0.152129817444219</v>
      </c>
      <c r="X798" s="15" t="n">
        <v>0.0369718309859155</v>
      </c>
      <c r="Y798" s="13" t="n">
        <v>0.0519915998040281</v>
      </c>
      <c r="Z798" s="13" t="n">
        <v>0.141837499549063</v>
      </c>
      <c r="AA798" s="30" t="s">
        <v>97</v>
      </c>
      <c r="AB798" s="28" t="s">
        <v>93</v>
      </c>
      <c r="AC798" s="28" t="s">
        <v>104</v>
      </c>
      <c r="AD798" s="28" t="s">
        <v>110</v>
      </c>
      <c r="AE798" s="28" t="s">
        <v>112</v>
      </c>
      <c r="AF798" s="28" t="s">
        <v>118</v>
      </c>
      <c r="AG798" s="30" t="s">
        <v>122</v>
      </c>
    </row>
    <row r="799" customFormat="false" ht="15" hidden="false" customHeight="false" outlineLevel="0" collapsed="false">
      <c r="A799" s="10" t="n">
        <v>2026</v>
      </c>
      <c r="B799" s="28" t="s">
        <v>80</v>
      </c>
      <c r="C799" s="29" t="n">
        <v>46188</v>
      </c>
      <c r="D799" s="30" t="s">
        <v>125</v>
      </c>
      <c r="E799" s="28" t="s">
        <v>247</v>
      </c>
      <c r="F799" s="30" t="s">
        <v>248</v>
      </c>
      <c r="G799" s="31" t="n">
        <v>41441</v>
      </c>
      <c r="H799" s="31" t="n">
        <v>2</v>
      </c>
      <c r="I799" s="31" t="n">
        <v>82883</v>
      </c>
      <c r="J799" s="29" t="n">
        <v>46191</v>
      </c>
      <c r="K799" s="31" t="n">
        <v>39411</v>
      </c>
      <c r="L799" s="30" t="s">
        <v>32</v>
      </c>
      <c r="M799" s="10" t="n">
        <v>3</v>
      </c>
      <c r="N799" s="12" t="n">
        <v>-4244</v>
      </c>
      <c r="O799" s="13" t="n">
        <v>-0.0511999809972635</v>
      </c>
      <c r="P799" s="15" t="n">
        <v>0.0400227791532142</v>
      </c>
      <c r="Q799" s="13" t="n">
        <v>-0.0601186253360165</v>
      </c>
      <c r="R799" s="15" t="n">
        <v>0.0996015936254979</v>
      </c>
      <c r="S799" s="32" t="n">
        <v>162750106800</v>
      </c>
      <c r="T799" s="15" t="n">
        <v>0.0234857849196539</v>
      </c>
      <c r="U799" s="32" t="n">
        <v>100077774122.5</v>
      </c>
      <c r="V799" s="14" t="n">
        <v>1.50049648699429</v>
      </c>
      <c r="W799" s="13" t="n">
        <v>0.0234857849196539</v>
      </c>
      <c r="X799" s="15" t="n">
        <v>0.0241545893719808</v>
      </c>
      <c r="Y799" s="13" t="n">
        <v>0.0519915998040281</v>
      </c>
      <c r="Z799" s="13" t="n">
        <v>0.141837499549063</v>
      </c>
      <c r="AA799" s="30" t="s">
        <v>97</v>
      </c>
      <c r="AB799" s="28" t="s">
        <v>93</v>
      </c>
      <c r="AC799" s="28" t="s">
        <v>101</v>
      </c>
      <c r="AD799" s="28" t="s">
        <v>109</v>
      </c>
      <c r="AE799" s="28" t="s">
        <v>113</v>
      </c>
      <c r="AF799" s="28" t="s">
        <v>116</v>
      </c>
      <c r="AG799" s="30" t="s">
        <v>122</v>
      </c>
    </row>
    <row r="800" customFormat="false" ht="15" hidden="false" customHeight="false" outlineLevel="0" collapsed="false">
      <c r="A800" s="10" t="n">
        <v>2026</v>
      </c>
      <c r="B800" s="28" t="s">
        <v>80</v>
      </c>
      <c r="C800" s="29" t="n">
        <v>46188</v>
      </c>
      <c r="D800" s="30" t="s">
        <v>125</v>
      </c>
      <c r="E800" s="28" t="s">
        <v>573</v>
      </c>
      <c r="F800" s="30" t="s">
        <v>574</v>
      </c>
      <c r="G800" s="31" t="n">
        <v>32583</v>
      </c>
      <c r="H800" s="31" t="n">
        <v>3</v>
      </c>
      <c r="I800" s="31" t="n">
        <v>97748</v>
      </c>
      <c r="J800" s="29" t="n">
        <v>46192</v>
      </c>
      <c r="K800" s="31" t="n">
        <v>31019</v>
      </c>
      <c r="L800" s="30" t="s">
        <v>32</v>
      </c>
      <c r="M800" s="10" t="n">
        <v>4</v>
      </c>
      <c r="N800" s="12" t="n">
        <v>-4906</v>
      </c>
      <c r="O800" s="13" t="n">
        <v>-0.0501857013953789</v>
      </c>
      <c r="P800" s="15" t="n">
        <v>0.0342959651715413</v>
      </c>
      <c r="Q800" s="13" t="n">
        <v>-0.0715889333400853</v>
      </c>
      <c r="R800" s="15" t="n">
        <v>0.0449438202247192</v>
      </c>
      <c r="S800" s="32" t="n">
        <v>72059190000</v>
      </c>
      <c r="T800" s="15" t="n">
        <v>0.0235849056603774</v>
      </c>
      <c r="U800" s="32" t="n">
        <v>78958446355</v>
      </c>
      <c r="V800" s="14" t="n">
        <v>0.849986011782738</v>
      </c>
      <c r="W800" s="13" t="n">
        <v>0.0300632911392404</v>
      </c>
      <c r="X800" s="15" t="n">
        <v>0.0138248847926268</v>
      </c>
      <c r="Y800" s="13" t="n">
        <v>0.0519915998040281</v>
      </c>
      <c r="Z800" s="13" t="n">
        <v>0.141837499549063</v>
      </c>
      <c r="AA800" s="30" t="s">
        <v>97</v>
      </c>
      <c r="AB800" s="28" t="s">
        <v>93</v>
      </c>
      <c r="AC800" s="28" t="s">
        <v>100</v>
      </c>
      <c r="AD800" s="28" t="s">
        <v>108</v>
      </c>
      <c r="AE800" s="28" t="s">
        <v>113</v>
      </c>
      <c r="AF800" s="28" t="s">
        <v>116</v>
      </c>
      <c r="AG800" s="30" t="s">
        <v>122</v>
      </c>
    </row>
    <row r="801" customFormat="false" ht="15" hidden="false" customHeight="false" outlineLevel="0" collapsed="false">
      <c r="A801" s="10" t="n">
        <v>2026</v>
      </c>
      <c r="B801" s="28" t="s">
        <v>80</v>
      </c>
      <c r="C801" s="29" t="n">
        <v>46188</v>
      </c>
      <c r="D801" s="30" t="s">
        <v>125</v>
      </c>
      <c r="E801" s="28" t="s">
        <v>385</v>
      </c>
      <c r="F801" s="28" t="s">
        <v>386</v>
      </c>
      <c r="G801" s="31" t="n">
        <v>21321</v>
      </c>
      <c r="H801" s="31" t="n">
        <v>4</v>
      </c>
      <c r="I801" s="31" t="n">
        <v>85285</v>
      </c>
      <c r="J801" s="29" t="n">
        <v>46192</v>
      </c>
      <c r="K801" s="31" t="n">
        <v>20280</v>
      </c>
      <c r="L801" s="30" t="s">
        <v>32</v>
      </c>
      <c r="M801" s="10" t="n">
        <v>4</v>
      </c>
      <c r="N801" s="12" t="n">
        <v>-4354</v>
      </c>
      <c r="O801" s="13" t="n">
        <v>-0.0510475228996355</v>
      </c>
      <c r="P801" s="15" t="n">
        <v>0.0881137641701022</v>
      </c>
      <c r="Q801" s="13" t="n">
        <v>-0.0896427516145826</v>
      </c>
      <c r="R801" s="15" t="n">
        <v>0.0623441396508728</v>
      </c>
      <c r="S801" s="32" t="n">
        <v>66301660200</v>
      </c>
      <c r="T801" s="15" t="n">
        <v>0.0390243902439025</v>
      </c>
      <c r="U801" s="32" t="n">
        <v>33653278714</v>
      </c>
      <c r="V801" s="14" t="n">
        <v>1.81606673385419</v>
      </c>
      <c r="W801" s="13" t="n">
        <v>0.0240384615384615</v>
      </c>
      <c r="X801" s="15" t="n">
        <v>0.0352112676056338</v>
      </c>
      <c r="Y801" s="13" t="n">
        <v>0.0519915998040281</v>
      </c>
      <c r="Z801" s="13" t="n">
        <v>0.141837499549063</v>
      </c>
      <c r="AA801" s="30" t="s">
        <v>97</v>
      </c>
      <c r="AB801" s="28" t="s">
        <v>93</v>
      </c>
      <c r="AC801" s="28" t="s">
        <v>101</v>
      </c>
      <c r="AD801" s="28" t="s">
        <v>108</v>
      </c>
      <c r="AE801" s="28" t="s">
        <v>113</v>
      </c>
      <c r="AF801" s="28" t="s">
        <v>116</v>
      </c>
      <c r="AG801" s="30" t="s">
        <v>122</v>
      </c>
    </row>
    <row r="802" customFormat="false" ht="15" hidden="false" customHeight="false" outlineLevel="0" collapsed="false">
      <c r="A802" s="10" t="n">
        <v>2026</v>
      </c>
      <c r="B802" s="28" t="s">
        <v>80</v>
      </c>
      <c r="C802" s="29" t="n">
        <v>46188</v>
      </c>
      <c r="D802" s="30" t="s">
        <v>125</v>
      </c>
      <c r="E802" s="28" t="s">
        <v>391</v>
      </c>
      <c r="F802" s="28" t="s">
        <v>392</v>
      </c>
      <c r="G802" s="31" t="n">
        <v>18038</v>
      </c>
      <c r="H802" s="31" t="n">
        <v>5</v>
      </c>
      <c r="I802" s="31" t="n">
        <v>90190</v>
      </c>
      <c r="J802" s="29" t="n">
        <v>46195</v>
      </c>
      <c r="K802" s="31" t="n">
        <v>17173</v>
      </c>
      <c r="L802" s="30" t="s">
        <v>32</v>
      </c>
      <c r="M802" s="10" t="n">
        <v>5</v>
      </c>
      <c r="N802" s="12" t="n">
        <v>-4524</v>
      </c>
      <c r="O802" s="13" t="n">
        <v>-0.0501627808650836</v>
      </c>
      <c r="P802" s="15" t="n">
        <v>0.054439456215261</v>
      </c>
      <c r="Q802" s="13" t="n">
        <v>-0.060318150218261</v>
      </c>
      <c r="R802" s="15" t="n">
        <v>0.0198075834748162</v>
      </c>
      <c r="S802" s="32" t="n">
        <v>20254083560</v>
      </c>
      <c r="T802" s="15" t="n">
        <v>0.0198075834748162</v>
      </c>
      <c r="U802" s="32" t="n">
        <v>25908919798.5</v>
      </c>
      <c r="V802" s="14" t="n">
        <v>0.741681277875868</v>
      </c>
      <c r="W802" s="13" t="n">
        <v>0.0123595505617977</v>
      </c>
      <c r="X802" s="15" t="n">
        <v>0.0271920088790234</v>
      </c>
      <c r="Y802" s="13" t="n">
        <v>0.0519915998040281</v>
      </c>
      <c r="Z802" s="13" t="n">
        <v>0.141837499549063</v>
      </c>
      <c r="AA802" s="30" t="s">
        <v>97</v>
      </c>
      <c r="AB802" s="28" t="s">
        <v>93</v>
      </c>
      <c r="AC802" s="28" t="s">
        <v>99</v>
      </c>
      <c r="AD802" s="28" t="s">
        <v>106</v>
      </c>
      <c r="AE802" s="28" t="s">
        <v>112</v>
      </c>
      <c r="AF802" s="28" t="s">
        <v>116</v>
      </c>
      <c r="AG802" s="30" t="s">
        <v>122</v>
      </c>
    </row>
    <row r="803" customFormat="false" ht="15" hidden="false" customHeight="false" outlineLevel="0" collapsed="false">
      <c r="A803" s="10" t="n">
        <v>2026</v>
      </c>
      <c r="B803" s="28" t="s">
        <v>80</v>
      </c>
      <c r="C803" s="29" t="n">
        <v>46189</v>
      </c>
      <c r="D803" s="30" t="s">
        <v>126</v>
      </c>
      <c r="E803" s="28" t="s">
        <v>805</v>
      </c>
      <c r="F803" s="28" t="s">
        <v>806</v>
      </c>
      <c r="G803" s="31" t="n">
        <v>55856</v>
      </c>
      <c r="H803" s="31" t="n">
        <v>1</v>
      </c>
      <c r="I803" s="31" t="n">
        <v>55856</v>
      </c>
      <c r="J803" s="29" t="n">
        <v>46190</v>
      </c>
      <c r="K803" s="31" t="n">
        <v>53147</v>
      </c>
      <c r="L803" s="30" t="s">
        <v>32</v>
      </c>
      <c r="M803" s="10" t="n">
        <v>1</v>
      </c>
      <c r="N803" s="12" t="n">
        <v>-2832</v>
      </c>
      <c r="O803" s="13" t="n">
        <v>-0.050695612452064</v>
      </c>
      <c r="P803" s="15" t="n">
        <v>0.041968783904268</v>
      </c>
      <c r="Q803" s="13" t="n">
        <v>-0.111103949813627</v>
      </c>
      <c r="R803" s="15" t="n">
        <v>0.142272262026612</v>
      </c>
      <c r="S803" s="32" t="n">
        <v>1245359075400</v>
      </c>
      <c r="T803" s="15" t="n">
        <v>0.142272262026612</v>
      </c>
      <c r="U803" s="32" t="n">
        <v>66589874012.5</v>
      </c>
      <c r="V803" s="14" t="n">
        <v>14.7629806515486</v>
      </c>
      <c r="W803" s="13" t="n">
        <v>0.142272262026612</v>
      </c>
      <c r="X803" s="15" t="n">
        <v>0.109318996415771</v>
      </c>
      <c r="Y803" s="13" t="n">
        <v>0.0211350833959361</v>
      </c>
      <c r="Z803" s="13" t="n">
        <v>0.0777665115049777</v>
      </c>
      <c r="AA803" s="30" t="s">
        <v>97</v>
      </c>
      <c r="AB803" s="28" t="s">
        <v>93</v>
      </c>
      <c r="AC803" s="28" t="s">
        <v>102</v>
      </c>
      <c r="AD803" s="28" t="s">
        <v>110</v>
      </c>
      <c r="AE803" s="28" t="s">
        <v>114</v>
      </c>
      <c r="AF803" s="28" t="s">
        <v>120</v>
      </c>
      <c r="AG803" s="30" t="s">
        <v>122</v>
      </c>
    </row>
    <row r="804" customFormat="false" ht="15" hidden="false" customHeight="false" outlineLevel="0" collapsed="false">
      <c r="A804" s="10" t="n">
        <v>2026</v>
      </c>
      <c r="B804" s="28" t="s">
        <v>80</v>
      </c>
      <c r="C804" s="29" t="n">
        <v>46189</v>
      </c>
      <c r="D804" s="30" t="s">
        <v>126</v>
      </c>
      <c r="E804" s="28" t="s">
        <v>379</v>
      </c>
      <c r="F804" s="30" t="s">
        <v>380</v>
      </c>
      <c r="G804" s="31" t="n">
        <v>56757</v>
      </c>
      <c r="H804" s="31" t="n">
        <v>1</v>
      </c>
      <c r="I804" s="31" t="n">
        <v>56757</v>
      </c>
      <c r="J804" s="29" t="n">
        <v>46190</v>
      </c>
      <c r="K804" s="31" t="n">
        <v>53946</v>
      </c>
      <c r="L804" s="30" t="s">
        <v>32</v>
      </c>
      <c r="M804" s="10" t="n">
        <v>1</v>
      </c>
      <c r="N804" s="12" t="n">
        <v>-2935</v>
      </c>
      <c r="O804" s="13" t="n">
        <v>-0.0517154345654346</v>
      </c>
      <c r="P804" s="15" t="n">
        <v>0.0430486620962811</v>
      </c>
      <c r="Q804" s="13" t="n">
        <v>-0.0767609815228862</v>
      </c>
      <c r="R804" s="15" t="n">
        <v>0.0882917466410749</v>
      </c>
      <c r="S804" s="32" t="n">
        <v>369516621600</v>
      </c>
      <c r="T804" s="15" t="n">
        <v>0.0384615384615386</v>
      </c>
      <c r="U804" s="32" t="n">
        <v>95471509320</v>
      </c>
      <c r="V804" s="14" t="n">
        <v>3.40567718076179</v>
      </c>
      <c r="W804" s="13" t="n">
        <v>0.0800000000000001</v>
      </c>
      <c r="X804" s="15" t="n">
        <v>0.037037037037037</v>
      </c>
      <c r="Y804" s="13" t="n">
        <v>0.0211350833959361</v>
      </c>
      <c r="Z804" s="13" t="n">
        <v>0.0777665115049777</v>
      </c>
      <c r="AA804" s="30" t="s">
        <v>97</v>
      </c>
      <c r="AB804" s="28" t="s">
        <v>93</v>
      </c>
      <c r="AC804" s="28" t="s">
        <v>101</v>
      </c>
      <c r="AD804" s="28" t="s">
        <v>110</v>
      </c>
      <c r="AE804" s="28" t="s">
        <v>113</v>
      </c>
      <c r="AF804" s="28" t="s">
        <v>118</v>
      </c>
      <c r="AG804" s="30" t="s">
        <v>122</v>
      </c>
    </row>
    <row r="805" customFormat="false" ht="15" hidden="false" customHeight="false" outlineLevel="0" collapsed="false">
      <c r="A805" s="10" t="n">
        <v>2026</v>
      </c>
      <c r="B805" s="28" t="s">
        <v>80</v>
      </c>
      <c r="C805" s="29" t="n">
        <v>46189</v>
      </c>
      <c r="D805" s="30" t="s">
        <v>126</v>
      </c>
      <c r="E805" s="28" t="s">
        <v>673</v>
      </c>
      <c r="F805" s="28" t="s">
        <v>674</v>
      </c>
      <c r="G805" s="31" t="n">
        <v>89489</v>
      </c>
      <c r="H805" s="31" t="n">
        <v>1</v>
      </c>
      <c r="I805" s="31" t="n">
        <v>89489</v>
      </c>
      <c r="J805" s="29" t="n">
        <v>46190</v>
      </c>
      <c r="K805" s="31" t="n">
        <v>85115</v>
      </c>
      <c r="L805" s="30" t="s">
        <v>32</v>
      </c>
      <c r="M805" s="10" t="n">
        <v>1</v>
      </c>
      <c r="N805" s="12" t="n">
        <v>-4571</v>
      </c>
      <c r="O805" s="13" t="n">
        <v>-0.0510789013000422</v>
      </c>
      <c r="P805" s="15" t="n">
        <v>0.0682829474775784</v>
      </c>
      <c r="Q805" s="13" t="n">
        <v>-0.0579889908748968</v>
      </c>
      <c r="R805" s="15" t="n">
        <v>0.131645569620253</v>
      </c>
      <c r="S805" s="32" t="n">
        <v>200988633000</v>
      </c>
      <c r="T805" s="15" t="n">
        <v>0.0875912408759123</v>
      </c>
      <c r="U805" s="32" t="n">
        <v>39486275020</v>
      </c>
      <c r="V805" s="14" t="n">
        <v>4.31487817716048</v>
      </c>
      <c r="W805" s="13" t="n">
        <v>0.109181141439206</v>
      </c>
      <c r="X805" s="15" t="n">
        <v>0.058165548098434</v>
      </c>
      <c r="Y805" s="13" t="n">
        <v>0.0211350833959361</v>
      </c>
      <c r="Z805" s="13" t="n">
        <v>0.0777665115049777</v>
      </c>
      <c r="AA805" s="30" t="s">
        <v>97</v>
      </c>
      <c r="AB805" s="28" t="s">
        <v>93</v>
      </c>
      <c r="AC805" s="28" t="s">
        <v>102</v>
      </c>
      <c r="AD805" s="28" t="s">
        <v>110</v>
      </c>
      <c r="AE805" s="28" t="s">
        <v>101</v>
      </c>
      <c r="AF805" s="28" t="s">
        <v>118</v>
      </c>
      <c r="AG805" s="30" t="s">
        <v>122</v>
      </c>
    </row>
    <row r="806" customFormat="false" ht="15" hidden="false" customHeight="false" outlineLevel="0" collapsed="false">
      <c r="A806" s="10" t="n">
        <v>2026</v>
      </c>
      <c r="B806" s="28" t="s">
        <v>80</v>
      </c>
      <c r="C806" s="29" t="n">
        <v>46190</v>
      </c>
      <c r="D806" s="30" t="s">
        <v>127</v>
      </c>
      <c r="E806" s="28" t="s">
        <v>1105</v>
      </c>
      <c r="F806" s="30" t="s">
        <v>1106</v>
      </c>
      <c r="G806" s="31" t="n">
        <v>8118</v>
      </c>
      <c r="H806" s="31" t="n">
        <v>12</v>
      </c>
      <c r="I806" s="31" t="n">
        <v>97417</v>
      </c>
      <c r="J806" s="29" t="n">
        <v>46196</v>
      </c>
      <c r="K806" s="31" t="n">
        <v>7722</v>
      </c>
      <c r="L806" s="30" t="s">
        <v>32</v>
      </c>
      <c r="M806" s="10" t="n">
        <v>4</v>
      </c>
      <c r="N806" s="12" t="n">
        <v>-4964</v>
      </c>
      <c r="O806" s="13" t="n">
        <v>-0.0509552835573795</v>
      </c>
      <c r="P806" s="15" t="n">
        <v>0.192395766995027</v>
      </c>
      <c r="Q806" s="13" t="n">
        <v>-0.124180381886917</v>
      </c>
      <c r="R806" s="15" t="n">
        <v>0.0671052631578948</v>
      </c>
      <c r="S806" s="32" t="n">
        <v>237525242060</v>
      </c>
      <c r="T806" s="15" t="n">
        <v>0.0587467362924281</v>
      </c>
      <c r="U806" s="32" t="n">
        <v>15229538386</v>
      </c>
      <c r="V806" s="14" t="n">
        <v>14.3423002828677</v>
      </c>
      <c r="W806" s="13" t="n">
        <v>0.0755968169761274</v>
      </c>
      <c r="X806" s="15" t="n">
        <v>0.165228113440197</v>
      </c>
      <c r="Y806" s="13" t="n">
        <v>0.0157724657942382</v>
      </c>
      <c r="Z806" s="13" t="n">
        <v>0.146610579472811</v>
      </c>
      <c r="AA806" s="30" t="s">
        <v>97</v>
      </c>
      <c r="AB806" s="28" t="s">
        <v>93</v>
      </c>
      <c r="AC806" s="28" t="s">
        <v>101</v>
      </c>
      <c r="AD806" s="28" t="s">
        <v>110</v>
      </c>
      <c r="AE806" s="28" t="s">
        <v>101</v>
      </c>
      <c r="AF806" s="28" t="s">
        <v>120</v>
      </c>
      <c r="AG806" s="30" t="s">
        <v>122</v>
      </c>
    </row>
    <row r="807" customFormat="false" ht="15" hidden="false" customHeight="false" outlineLevel="0" collapsed="false">
      <c r="A807" s="10" t="n">
        <v>2026</v>
      </c>
      <c r="B807" s="28" t="s">
        <v>80</v>
      </c>
      <c r="C807" s="29" t="n">
        <v>46190</v>
      </c>
      <c r="D807" s="30" t="s">
        <v>127</v>
      </c>
      <c r="E807" s="28" t="s">
        <v>731</v>
      </c>
      <c r="F807" s="28" t="s">
        <v>732</v>
      </c>
      <c r="G807" s="31" t="n">
        <v>23924</v>
      </c>
      <c r="H807" s="31" t="n">
        <v>4</v>
      </c>
      <c r="I807" s="31" t="n">
        <v>95696</v>
      </c>
      <c r="J807" s="29" t="n">
        <v>46192</v>
      </c>
      <c r="K807" s="31" t="n">
        <v>22727</v>
      </c>
      <c r="L807" s="30" t="s">
        <v>32</v>
      </c>
      <c r="M807" s="10" t="n">
        <v>2</v>
      </c>
      <c r="N807" s="12" t="n">
        <v>-4996</v>
      </c>
      <c r="O807" s="13" t="n">
        <v>-0.0522114777481932</v>
      </c>
      <c r="P807" s="15" t="n">
        <v>0.0345303232332521</v>
      </c>
      <c r="Q807" s="13" t="n">
        <v>-0.0845974109572435</v>
      </c>
      <c r="R807" s="15" t="n">
        <v>0.0413943355119826</v>
      </c>
      <c r="S807" s="32" t="n">
        <v>28812238700</v>
      </c>
      <c r="T807" s="15" t="n">
        <v>0.0257510729613735</v>
      </c>
      <c r="U807" s="32" t="n">
        <v>20612012100</v>
      </c>
      <c r="V807" s="14" t="n">
        <v>1.27858217126158</v>
      </c>
      <c r="W807" s="13" t="n">
        <v>0.0301724137931034</v>
      </c>
      <c r="X807" s="15" t="n">
        <v>0.0104602510460252</v>
      </c>
      <c r="Y807" s="13" t="n">
        <v>0.0157724657942382</v>
      </c>
      <c r="Z807" s="13" t="n">
        <v>0.146610579472811</v>
      </c>
      <c r="AA807" s="30" t="s">
        <v>97</v>
      </c>
      <c r="AB807" s="28" t="s">
        <v>93</v>
      </c>
      <c r="AC807" s="28" t="s">
        <v>100</v>
      </c>
      <c r="AD807" s="28" t="s">
        <v>106</v>
      </c>
      <c r="AE807" s="28" t="s">
        <v>113</v>
      </c>
      <c r="AF807" s="28" t="s">
        <v>116</v>
      </c>
      <c r="AG807" s="30" t="s">
        <v>122</v>
      </c>
    </row>
    <row r="808" customFormat="false" ht="15" hidden="false" customHeight="false" outlineLevel="0" collapsed="false">
      <c r="A808" s="10" t="n">
        <v>2026</v>
      </c>
      <c r="B808" s="28" t="s">
        <v>80</v>
      </c>
      <c r="C808" s="29" t="n">
        <v>46195</v>
      </c>
      <c r="D808" s="30" t="s">
        <v>125</v>
      </c>
      <c r="E808" s="28" t="s">
        <v>447</v>
      </c>
      <c r="F808" s="30" t="s">
        <v>448</v>
      </c>
      <c r="G808" s="31" t="n">
        <v>22873</v>
      </c>
      <c r="H808" s="31" t="n">
        <v>4</v>
      </c>
      <c r="I808" s="31" t="n">
        <v>91491</v>
      </c>
      <c r="J808" s="29" t="n">
        <v>46196</v>
      </c>
      <c r="K808" s="31" t="n">
        <v>21728</v>
      </c>
      <c r="L808" s="30" t="s">
        <v>32</v>
      </c>
      <c r="M808" s="10" t="n">
        <v>1</v>
      </c>
      <c r="N808" s="12" t="n">
        <v>-4779</v>
      </c>
      <c r="O808" s="13" t="n">
        <v>-0.0522342718550596</v>
      </c>
      <c r="P808" s="15" t="n">
        <v>0.103928893863248</v>
      </c>
      <c r="Q808" s="13" t="n">
        <v>-0.134344867386443</v>
      </c>
      <c r="R808" s="15" t="n">
        <v>0.088095238095238</v>
      </c>
      <c r="S808" s="32" t="n">
        <v>86184647450</v>
      </c>
      <c r="T808" s="15" t="n">
        <v>0.0269662921348315</v>
      </c>
      <c r="U808" s="32" t="n">
        <v>6298943951.5</v>
      </c>
      <c r="V808" s="14" t="n">
        <v>11.6174883417216</v>
      </c>
      <c r="W808" s="13" t="n">
        <v>0.0155555555555555</v>
      </c>
      <c r="X808" s="15" t="n">
        <v>0.0940919037199124</v>
      </c>
      <c r="Y808" s="13" t="n">
        <v>0.00686335808546223</v>
      </c>
      <c r="Z808" s="13" t="n">
        <v>0.0665306963039931</v>
      </c>
      <c r="AA808" s="30" t="s">
        <v>97</v>
      </c>
      <c r="AB808" s="28" t="s">
        <v>93</v>
      </c>
      <c r="AC808" s="28" t="s">
        <v>101</v>
      </c>
      <c r="AD808" s="28" t="s">
        <v>108</v>
      </c>
      <c r="AE808" s="28" t="s">
        <v>113</v>
      </c>
      <c r="AF808" s="28" t="s">
        <v>120</v>
      </c>
      <c r="AG808" s="30" t="s">
        <v>122</v>
      </c>
    </row>
    <row r="809" customFormat="false" ht="15" hidden="false" customHeight="false" outlineLevel="0" collapsed="false">
      <c r="A809" s="10" t="n">
        <v>2026</v>
      </c>
      <c r="B809" s="28" t="s">
        <v>80</v>
      </c>
      <c r="C809" s="29" t="n">
        <v>46197</v>
      </c>
      <c r="D809" s="30" t="s">
        <v>127</v>
      </c>
      <c r="E809" s="28" t="s">
        <v>709</v>
      </c>
      <c r="F809" s="30" t="s">
        <v>710</v>
      </c>
      <c r="G809" s="31" t="n">
        <v>5786</v>
      </c>
      <c r="H809" s="31" t="n">
        <v>17</v>
      </c>
      <c r="I809" s="31" t="n">
        <v>98358</v>
      </c>
      <c r="J809" s="29" t="n">
        <v>46199</v>
      </c>
      <c r="K809" s="31" t="n">
        <v>5504</v>
      </c>
      <c r="L809" s="30" t="s">
        <v>32</v>
      </c>
      <c r="M809" s="10" t="n">
        <v>2</v>
      </c>
      <c r="N809" s="12" t="n">
        <v>-4998</v>
      </c>
      <c r="O809" s="13" t="n">
        <v>-0.0508129449270453</v>
      </c>
      <c r="P809" s="15" t="n">
        <v>0.0698643916636996</v>
      </c>
      <c r="Q809" s="13" t="n">
        <v>-0.0960596496928676</v>
      </c>
      <c r="R809" s="15" t="n">
        <v>0.156</v>
      </c>
      <c r="S809" s="32" t="n">
        <v>121454088040</v>
      </c>
      <c r="T809" s="15" t="n">
        <v>0.0471014492753623</v>
      </c>
      <c r="U809" s="32" t="n">
        <v>11352599269.75</v>
      </c>
      <c r="V809" s="14" t="n">
        <v>9.25196654425049</v>
      </c>
      <c r="W809" s="13" t="n">
        <v>0.111538461538462</v>
      </c>
      <c r="X809" s="15" t="n">
        <v>0.124567474048443</v>
      </c>
      <c r="Y809" s="13" t="n">
        <v>0.0325676756250732</v>
      </c>
      <c r="Z809" s="13" t="n">
        <v>-0.0443602610037633</v>
      </c>
      <c r="AA809" s="30" t="s">
        <v>97</v>
      </c>
      <c r="AB809" s="28" t="s">
        <v>94</v>
      </c>
      <c r="AC809" s="28" t="s">
        <v>103</v>
      </c>
      <c r="AD809" s="28" t="s">
        <v>109</v>
      </c>
      <c r="AE809" s="28" t="s">
        <v>113</v>
      </c>
      <c r="AF809" s="28" t="s">
        <v>119</v>
      </c>
      <c r="AG809" s="30" t="s">
        <v>122</v>
      </c>
    </row>
    <row r="810" customFormat="false" ht="15" hidden="false" customHeight="false" outlineLevel="0" collapsed="false">
      <c r="A810" s="10" t="n">
        <v>2026</v>
      </c>
      <c r="B810" s="28" t="s">
        <v>80</v>
      </c>
      <c r="C810" s="29" t="n">
        <v>46199</v>
      </c>
      <c r="D810" s="30" t="s">
        <v>129</v>
      </c>
      <c r="E810" s="28" t="s">
        <v>695</v>
      </c>
      <c r="F810" s="30" t="s">
        <v>696</v>
      </c>
      <c r="G810" s="31" t="n">
        <v>90791</v>
      </c>
      <c r="H810" s="31" t="n">
        <v>1</v>
      </c>
      <c r="I810" s="31" t="n">
        <v>90791</v>
      </c>
      <c r="J810" s="29" t="n">
        <v>46205</v>
      </c>
      <c r="K810" s="31" t="n">
        <v>109000</v>
      </c>
      <c r="L810" s="30" t="s">
        <v>31</v>
      </c>
      <c r="M810" s="10" t="n">
        <v>4</v>
      </c>
      <c r="N810" s="12" t="n">
        <v>17961</v>
      </c>
      <c r="O810" s="13" t="n">
        <v>0.197832282326274</v>
      </c>
      <c r="P810" s="15" t="n">
        <v>0.354764309560341</v>
      </c>
      <c r="Q810" s="13" t="n">
        <v>0.0144210805732306</v>
      </c>
      <c r="R810" s="15" t="n">
        <v>0.0473441108545034</v>
      </c>
      <c r="S810" s="32" t="n">
        <v>47504578500</v>
      </c>
      <c r="T810" s="15" t="n">
        <v>0.0260180995475112</v>
      </c>
      <c r="U810" s="32" t="n">
        <v>16405392590</v>
      </c>
      <c r="V810" s="14" t="n">
        <v>2.71938687562435</v>
      </c>
      <c r="W810" s="13" t="n">
        <v>0.038946162657503</v>
      </c>
      <c r="X810" s="15" t="n">
        <v>0.0176405733186329</v>
      </c>
      <c r="Y810" s="13" t="n">
        <v>-0.0581268266463613</v>
      </c>
      <c r="Z810" s="13" t="n">
        <v>-0.0708329927245975</v>
      </c>
      <c r="AA810" s="30" t="s">
        <v>96</v>
      </c>
      <c r="AB810" s="28" t="s">
        <v>94</v>
      </c>
      <c r="AC810" s="28" t="s">
        <v>100</v>
      </c>
      <c r="AD810" s="28" t="s">
        <v>107</v>
      </c>
      <c r="AE810" s="28" t="s">
        <v>113</v>
      </c>
      <c r="AF810" s="28" t="s">
        <v>117</v>
      </c>
      <c r="AG810" s="30" t="s">
        <v>122</v>
      </c>
    </row>
    <row r="811" customFormat="false" ht="15" hidden="false" customHeight="false" outlineLevel="0" collapsed="false">
      <c r="A811" s="10" t="n">
        <v>2026</v>
      </c>
      <c r="B811" s="28" t="s">
        <v>80</v>
      </c>
      <c r="C811" s="29" t="n">
        <v>46202</v>
      </c>
      <c r="D811" s="30" t="s">
        <v>125</v>
      </c>
      <c r="E811" s="28" t="s">
        <v>565</v>
      </c>
      <c r="F811" s="30" t="s">
        <v>566</v>
      </c>
      <c r="G811" s="31" t="n">
        <v>69069</v>
      </c>
      <c r="H811" s="31" t="n">
        <v>1</v>
      </c>
      <c r="I811" s="31" t="n">
        <v>69069</v>
      </c>
      <c r="J811" s="29" t="n">
        <v>46203</v>
      </c>
      <c r="K811" s="31" t="n">
        <v>65734</v>
      </c>
      <c r="L811" s="30" t="s">
        <v>32</v>
      </c>
      <c r="M811" s="10" t="n">
        <v>1</v>
      </c>
      <c r="N811" s="12" t="n">
        <v>-3486</v>
      </c>
      <c r="O811" s="13" t="n">
        <v>-0.0504783460018241</v>
      </c>
      <c r="P811" s="15" t="n">
        <v>-0.00389465606856887</v>
      </c>
      <c r="Q811" s="13" t="n">
        <v>-0.0965556182947486</v>
      </c>
      <c r="R811" s="15" t="n">
        <v>0.193771626297578</v>
      </c>
      <c r="S811" s="32" t="n">
        <v>118031538000</v>
      </c>
      <c r="T811" s="15" t="n">
        <v>0.104</v>
      </c>
      <c r="U811" s="32" t="n">
        <v>31582752862.5</v>
      </c>
      <c r="V811" s="14" t="n">
        <v>3.03956448951999</v>
      </c>
      <c r="W811" s="13" t="n">
        <v>0.15</v>
      </c>
      <c r="X811" s="15" t="n">
        <v>0.0144927536231885</v>
      </c>
      <c r="Y811" s="13" t="n">
        <v>-0.00196880115940512</v>
      </c>
      <c r="Z811" s="13" t="n">
        <v>-0.0789836031400343</v>
      </c>
      <c r="AA811" s="30" t="s">
        <v>96</v>
      </c>
      <c r="AB811" s="28" t="s">
        <v>94</v>
      </c>
      <c r="AC811" s="28" t="s">
        <v>103</v>
      </c>
      <c r="AD811" s="28" t="s">
        <v>109</v>
      </c>
      <c r="AE811" s="28" t="s">
        <v>114</v>
      </c>
      <c r="AF811" s="28" t="s">
        <v>118</v>
      </c>
      <c r="AG811" s="30" t="s">
        <v>122</v>
      </c>
    </row>
    <row r="812" customFormat="false" ht="15" hidden="false" customHeight="false" outlineLevel="0" collapsed="false">
      <c r="A812" s="10" t="n">
        <v>2026</v>
      </c>
      <c r="B812" s="28" t="s">
        <v>81</v>
      </c>
      <c r="C812" s="29" t="n">
        <v>46204</v>
      </c>
      <c r="D812" s="30" t="s">
        <v>127</v>
      </c>
      <c r="E812" s="28" t="s">
        <v>1107</v>
      </c>
      <c r="F812" s="30" t="s">
        <v>1108</v>
      </c>
      <c r="G812" s="31" t="n">
        <v>27878</v>
      </c>
      <c r="H812" s="31" t="n">
        <v>3</v>
      </c>
      <c r="I812" s="31" t="n">
        <v>83634</v>
      </c>
      <c r="J812" s="29" t="n">
        <v>46205</v>
      </c>
      <c r="K812" s="31" t="n">
        <v>26523</v>
      </c>
      <c r="L812" s="30" t="s">
        <v>32</v>
      </c>
      <c r="M812" s="10" t="n">
        <v>1</v>
      </c>
      <c r="N812" s="12" t="n">
        <v>-4247</v>
      </c>
      <c r="O812" s="13" t="n">
        <v>-0.0507789192853825</v>
      </c>
      <c r="P812" s="15" t="n">
        <v>0.0617748499256579</v>
      </c>
      <c r="Q812" s="13" t="n">
        <v>-0.0565986975322702</v>
      </c>
      <c r="R812" s="15" t="n">
        <v>0.226872246696035</v>
      </c>
      <c r="S812" s="32" t="n">
        <v>22652131700</v>
      </c>
      <c r="T812" s="15" t="n">
        <v>0.143737166324435</v>
      </c>
      <c r="U812" s="32" t="n">
        <v>3332811098</v>
      </c>
      <c r="V812" s="14" t="n">
        <v>5.23019495186086</v>
      </c>
      <c r="W812" s="13" t="n">
        <v>0.187633262260128</v>
      </c>
      <c r="X812" s="15" t="n">
        <v>0.014362657091562</v>
      </c>
      <c r="Y812" s="13" t="n">
        <v>-0.0204176733738533</v>
      </c>
      <c r="Z812" s="13" t="n">
        <v>-0.0197862831158469</v>
      </c>
      <c r="AA812" s="30" t="s">
        <v>96</v>
      </c>
      <c r="AB812" s="28" t="s">
        <v>94</v>
      </c>
      <c r="AC812" s="28" t="s">
        <v>104</v>
      </c>
      <c r="AD812" s="28" t="s">
        <v>106</v>
      </c>
      <c r="AE812" s="28" t="s">
        <v>114</v>
      </c>
      <c r="AF812" s="28" t="s">
        <v>119</v>
      </c>
      <c r="AG812" s="30" t="s">
        <v>122</v>
      </c>
    </row>
    <row r="813" customFormat="false" ht="15" hidden="false" customHeight="false" outlineLevel="0" collapsed="false">
      <c r="A813" s="10" t="n">
        <v>2026</v>
      </c>
      <c r="B813" s="28" t="s">
        <v>81</v>
      </c>
      <c r="C813" s="29" t="n">
        <v>46204</v>
      </c>
      <c r="D813" s="30" t="s">
        <v>127</v>
      </c>
      <c r="E813" s="28" t="s">
        <v>1109</v>
      </c>
      <c r="F813" s="30" t="s">
        <v>1110</v>
      </c>
      <c r="G813" s="31" t="n">
        <v>11211</v>
      </c>
      <c r="H813" s="31" t="n">
        <v>8</v>
      </c>
      <c r="I813" s="31" t="n">
        <v>89690</v>
      </c>
      <c r="J813" s="29" t="n">
        <v>46205</v>
      </c>
      <c r="K813" s="31" t="n">
        <v>10539</v>
      </c>
      <c r="L813" s="30" t="s">
        <v>32</v>
      </c>
      <c r="M813" s="10" t="n">
        <v>1</v>
      </c>
      <c r="N813" s="12" t="n">
        <v>-5569</v>
      </c>
      <c r="O813" s="13" t="n">
        <v>-0.0620889376248751</v>
      </c>
      <c r="P813" s="15" t="n">
        <v>-0.0509490509490509</v>
      </c>
      <c r="Q813" s="13" t="n">
        <v>-0.174040245468817</v>
      </c>
      <c r="R813" s="15" t="n">
        <v>0.132457027300303</v>
      </c>
      <c r="S813" s="32" t="n">
        <v>20954057600</v>
      </c>
      <c r="T813" s="15" t="n">
        <v>0.104536489151874</v>
      </c>
      <c r="U813" s="32" t="n">
        <v>3480781111.5</v>
      </c>
      <c r="V813" s="14" t="n">
        <v>5.01568525944852</v>
      </c>
      <c r="W813" s="13" t="n">
        <v>0.123370110330993</v>
      </c>
      <c r="X813" s="15" t="n">
        <v>0.0392857142857144</v>
      </c>
      <c r="Y813" s="13" t="n">
        <v>-0.0204176733738533</v>
      </c>
      <c r="Z813" s="13" t="n">
        <v>-0.0197862831158469</v>
      </c>
      <c r="AA813" s="30" t="s">
        <v>96</v>
      </c>
      <c r="AB813" s="28" t="s">
        <v>94</v>
      </c>
      <c r="AC813" s="28" t="s">
        <v>102</v>
      </c>
      <c r="AD813" s="28" t="s">
        <v>106</v>
      </c>
      <c r="AE813" s="28" t="s">
        <v>114</v>
      </c>
      <c r="AF813" s="28" t="s">
        <v>119</v>
      </c>
      <c r="AG813" s="30" t="s">
        <v>122</v>
      </c>
    </row>
    <row r="814" customFormat="false" ht="15" hidden="false" customHeight="false" outlineLevel="0" collapsed="false">
      <c r="A814" s="10" t="n">
        <v>2026</v>
      </c>
      <c r="B814" s="28" t="s">
        <v>81</v>
      </c>
      <c r="C814" s="29" t="n">
        <v>46204</v>
      </c>
      <c r="D814" s="30" t="s">
        <v>127</v>
      </c>
      <c r="E814" s="28" t="s">
        <v>905</v>
      </c>
      <c r="F814" s="30" t="s">
        <v>906</v>
      </c>
      <c r="G814" s="31" t="n">
        <v>95095</v>
      </c>
      <c r="H814" s="31" t="n">
        <v>1</v>
      </c>
      <c r="I814" s="31" t="n">
        <v>95095</v>
      </c>
      <c r="J814" s="29" t="n">
        <v>46211</v>
      </c>
      <c r="K814" s="31" t="n">
        <v>90509</v>
      </c>
      <c r="L814" s="30" t="s">
        <v>32</v>
      </c>
      <c r="M814" s="10" t="n">
        <v>5</v>
      </c>
      <c r="N814" s="12" t="n">
        <v>-4794</v>
      </c>
      <c r="O814" s="13" t="n">
        <v>-0.0504175767390504</v>
      </c>
      <c r="P814" s="15" t="n">
        <v>0.0568378989431622</v>
      </c>
      <c r="Q814" s="13" t="n">
        <v>-0.0514748409485251</v>
      </c>
      <c r="R814" s="15" t="n">
        <v>0.0520487264673311</v>
      </c>
      <c r="S814" s="32" t="n">
        <v>20520380000</v>
      </c>
      <c r="T814" s="15" t="n">
        <v>0.00422832980972521</v>
      </c>
      <c r="U814" s="32" t="n">
        <v>25122796050</v>
      </c>
      <c r="V814" s="14" t="n">
        <v>0.775792420468832</v>
      </c>
      <c r="W814" s="13" t="n">
        <v>0.0416666666666667</v>
      </c>
      <c r="X814" s="15" t="n">
        <v>0.00315789473684203</v>
      </c>
      <c r="Y814" s="13" t="n">
        <v>-0.0204176733738533</v>
      </c>
      <c r="Z814" s="13" t="n">
        <v>-0.0197862831158469</v>
      </c>
      <c r="AA814" s="30" t="s">
        <v>96</v>
      </c>
      <c r="AB814" s="28" t="s">
        <v>94</v>
      </c>
      <c r="AC814" s="28" t="s">
        <v>101</v>
      </c>
      <c r="AD814" s="28" t="s">
        <v>106</v>
      </c>
      <c r="AE814" s="28" t="s">
        <v>112</v>
      </c>
      <c r="AF814" s="28" t="s">
        <v>116</v>
      </c>
      <c r="AG814" s="30" t="s">
        <v>122</v>
      </c>
    </row>
    <row r="815" customFormat="false" ht="15" hidden="false" customHeight="false" outlineLevel="0" collapsed="false">
      <c r="A815" s="10" t="n">
        <v>2026</v>
      </c>
      <c r="B815" s="28" t="s">
        <v>81</v>
      </c>
      <c r="C815" s="29" t="n">
        <v>46205</v>
      </c>
      <c r="D815" s="30" t="s">
        <v>128</v>
      </c>
      <c r="E815" s="28" t="s">
        <v>1111</v>
      </c>
      <c r="F815" s="30" t="s">
        <v>1112</v>
      </c>
      <c r="G815" s="31" t="n">
        <v>8239</v>
      </c>
      <c r="H815" s="31" t="n">
        <v>12</v>
      </c>
      <c r="I815" s="31" t="n">
        <v>98873</v>
      </c>
      <c r="J815" s="29" t="n">
        <v>46206</v>
      </c>
      <c r="K815" s="31" t="n">
        <v>7842</v>
      </c>
      <c r="L815" s="30" t="s">
        <v>32</v>
      </c>
      <c r="M815" s="10" t="n">
        <v>1</v>
      </c>
      <c r="N815" s="12" t="n">
        <v>-4984</v>
      </c>
      <c r="O815" s="13" t="n">
        <v>-0.0504118350422743</v>
      </c>
      <c r="P815" s="15" t="n">
        <v>-0.0208621787569154</v>
      </c>
      <c r="Q815" s="13" t="n">
        <v>-0.186778134146555</v>
      </c>
      <c r="R815" s="15" t="n">
        <v>0.0363636363636364</v>
      </c>
      <c r="S815" s="32" t="n">
        <v>34996543650</v>
      </c>
      <c r="T815" s="15" t="n">
        <v>0.015439429928741</v>
      </c>
      <c r="U815" s="32" t="n">
        <v>3397843859.5</v>
      </c>
      <c r="V815" s="14" t="n">
        <v>9.50691104935233</v>
      </c>
      <c r="W815" s="13" t="n">
        <v>0.0687499999999999</v>
      </c>
      <c r="X815" s="15" t="n">
        <v>0.23859649122807</v>
      </c>
      <c r="Y815" s="13" t="n">
        <v>-0.0789217923720496</v>
      </c>
      <c r="Z815" s="13" t="n">
        <v>-0.143579722965634</v>
      </c>
      <c r="AA815" s="30" t="s">
        <v>96</v>
      </c>
      <c r="AB815" s="28" t="s">
        <v>94</v>
      </c>
      <c r="AC815" s="28" t="s">
        <v>100</v>
      </c>
      <c r="AD815" s="28" t="s">
        <v>107</v>
      </c>
      <c r="AE815" s="28" t="s">
        <v>112</v>
      </c>
      <c r="AF815" s="28" t="s">
        <v>119</v>
      </c>
      <c r="AG815" s="30" t="s">
        <v>122</v>
      </c>
    </row>
    <row r="816" customFormat="false" ht="15" hidden="false" customHeight="false" outlineLevel="0" collapsed="false">
      <c r="A816" s="10" t="n">
        <v>2026</v>
      </c>
      <c r="B816" s="28" t="s">
        <v>81</v>
      </c>
      <c r="C816" s="29" t="n">
        <v>46206</v>
      </c>
      <c r="D816" s="30" t="s">
        <v>129</v>
      </c>
      <c r="E816" s="28" t="s">
        <v>545</v>
      </c>
      <c r="F816" s="30" t="s">
        <v>546</v>
      </c>
      <c r="G816" s="31" t="n">
        <v>36136</v>
      </c>
      <c r="H816" s="31" t="n">
        <v>2</v>
      </c>
      <c r="I816" s="31" t="n">
        <v>72272</v>
      </c>
      <c r="J816" s="29" t="n">
        <v>46223</v>
      </c>
      <c r="K816" s="31" t="n">
        <v>34366</v>
      </c>
      <c r="L816" s="30" t="s">
        <v>32</v>
      </c>
      <c r="M816" s="10" t="n">
        <v>10</v>
      </c>
      <c r="N816" s="12" t="n">
        <v>-3700</v>
      </c>
      <c r="O816" s="13" t="n">
        <v>-0.0511899860527284</v>
      </c>
      <c r="P816" s="15" t="n">
        <v>0.119379235722726</v>
      </c>
      <c r="Q816" s="13" t="n">
        <v>-0.0660309219866007</v>
      </c>
      <c r="R816" s="15" t="n">
        <v>0.0329041487839772</v>
      </c>
      <c r="S816" s="32" t="n">
        <v>27894072900</v>
      </c>
      <c r="T816" s="15" t="n">
        <v>0.0083798882681565</v>
      </c>
      <c r="U816" s="32" t="n">
        <v>17754755600</v>
      </c>
      <c r="V816" s="14" t="n">
        <v>1.46914117902397</v>
      </c>
      <c r="W816" s="13" t="n">
        <v>0.0183356840620592</v>
      </c>
      <c r="X816" s="15" t="n">
        <v>0.0110803324099722</v>
      </c>
      <c r="Y816" s="13" t="n">
        <v>0.0575633916441882</v>
      </c>
      <c r="Z816" s="13" t="n">
        <v>-0.0383856781604548</v>
      </c>
      <c r="AA816" s="30" t="s">
        <v>96</v>
      </c>
      <c r="AB816" s="28" t="s">
        <v>94</v>
      </c>
      <c r="AC816" s="28" t="s">
        <v>100</v>
      </c>
      <c r="AD816" s="28" t="s">
        <v>106</v>
      </c>
      <c r="AE816" s="28" t="s">
        <v>112</v>
      </c>
      <c r="AF816" s="28" t="s">
        <v>116</v>
      </c>
      <c r="AG816" s="30" t="s">
        <v>122</v>
      </c>
    </row>
    <row r="817" customFormat="false" ht="15" hidden="false" customHeight="false" outlineLevel="0" collapsed="false">
      <c r="A817" s="10" t="n">
        <v>2026</v>
      </c>
      <c r="B817" s="28" t="s">
        <v>81</v>
      </c>
      <c r="C817" s="29" t="n">
        <v>46209</v>
      </c>
      <c r="D817" s="30" t="s">
        <v>125</v>
      </c>
      <c r="E817" s="28" t="s">
        <v>871</v>
      </c>
      <c r="F817" s="28" t="s">
        <v>872</v>
      </c>
      <c r="G817" s="31" t="n">
        <v>33133</v>
      </c>
      <c r="H817" s="31" t="n">
        <v>3</v>
      </c>
      <c r="I817" s="31" t="n">
        <v>99399</v>
      </c>
      <c r="J817" s="29" t="n">
        <v>46210</v>
      </c>
      <c r="K817" s="31" t="n">
        <v>31518</v>
      </c>
      <c r="L817" s="30" t="s">
        <v>32</v>
      </c>
      <c r="M817" s="10" t="n">
        <v>1</v>
      </c>
      <c r="N817" s="12" t="n">
        <v>-5062</v>
      </c>
      <c r="O817" s="13" t="n">
        <v>-0.050927460228593</v>
      </c>
      <c r="P817" s="15" t="n">
        <v>-0.000999000999000965</v>
      </c>
      <c r="Q817" s="13" t="n">
        <v>-0.0704159888449918</v>
      </c>
      <c r="R817" s="15" t="n">
        <v>0.0541401273885351</v>
      </c>
      <c r="S817" s="32" t="n">
        <v>36688437200</v>
      </c>
      <c r="T817" s="15" t="n">
        <v>0.00761035007610356</v>
      </c>
      <c r="U817" s="32" t="n">
        <v>26193011287.5</v>
      </c>
      <c r="V817" s="14" t="n">
        <v>1.2971868705372</v>
      </c>
      <c r="W817" s="13" t="n">
        <v>0.0441640378548895</v>
      </c>
      <c r="X817" s="15" t="n">
        <v>0.0302114803625377</v>
      </c>
      <c r="Y817" s="13" t="n">
        <v>-0.00457572258337313</v>
      </c>
      <c r="Z817" s="13" t="n">
        <v>-0.0408974763688778</v>
      </c>
      <c r="AA817" s="30" t="s">
        <v>96</v>
      </c>
      <c r="AB817" s="28" t="s">
        <v>94</v>
      </c>
      <c r="AC817" s="28" t="s">
        <v>101</v>
      </c>
      <c r="AD817" s="28" t="s">
        <v>107</v>
      </c>
      <c r="AE817" s="28" t="s">
        <v>112</v>
      </c>
      <c r="AF817" s="28" t="s">
        <v>116</v>
      </c>
      <c r="AG817" s="30" t="s">
        <v>122</v>
      </c>
    </row>
    <row r="818" customFormat="false" ht="15" hidden="false" customHeight="false" outlineLevel="0" collapsed="false">
      <c r="A818" s="10" t="n">
        <v>2026</v>
      </c>
      <c r="B818" s="28" t="s">
        <v>81</v>
      </c>
      <c r="C818" s="29" t="n">
        <v>46212</v>
      </c>
      <c r="D818" s="30" t="s">
        <v>128</v>
      </c>
      <c r="E818" s="28" t="s">
        <v>469</v>
      </c>
      <c r="F818" s="28" t="s">
        <v>470</v>
      </c>
      <c r="G818" s="31" t="n">
        <v>52252</v>
      </c>
      <c r="H818" s="31" t="n">
        <v>1</v>
      </c>
      <c r="I818" s="31" t="n">
        <v>52252</v>
      </c>
      <c r="J818" s="29" t="n">
        <v>46213</v>
      </c>
      <c r="K818" s="31" t="n">
        <v>36563</v>
      </c>
      <c r="L818" s="30" t="s">
        <v>32</v>
      </c>
      <c r="M818" s="10" t="n">
        <v>1</v>
      </c>
      <c r="N818" s="12" t="n">
        <v>-15775</v>
      </c>
      <c r="O818" s="13" t="n">
        <v>-0.301905931999036</v>
      </c>
      <c r="P818" s="15" t="n">
        <v>-0.299551023688955</v>
      </c>
      <c r="Q818" s="13" t="n">
        <v>-0.299551023688955</v>
      </c>
      <c r="R818" s="15" t="n">
        <v>0.0419161676646707</v>
      </c>
      <c r="S818" s="32" t="n">
        <v>63003781800</v>
      </c>
      <c r="T818" s="15" t="n">
        <v>0.00384615384615383</v>
      </c>
      <c r="U818" s="32" t="n">
        <v>42427082187.5</v>
      </c>
      <c r="V818" s="14" t="n">
        <v>1.39141913871825</v>
      </c>
      <c r="W818" s="13" t="n">
        <v>0.0316205533596838</v>
      </c>
      <c r="X818" s="15" t="n">
        <v>0.0517241379310345</v>
      </c>
      <c r="Y818" s="13" t="n">
        <v>0.00622620498179183</v>
      </c>
      <c r="Z818" s="13" t="n">
        <v>-0.0465711046810381</v>
      </c>
      <c r="AA818" s="30" t="s">
        <v>96</v>
      </c>
      <c r="AB818" s="28" t="s">
        <v>94</v>
      </c>
      <c r="AC818" s="28" t="s">
        <v>100</v>
      </c>
      <c r="AD818" s="28" t="s">
        <v>108</v>
      </c>
      <c r="AE818" s="28" t="s">
        <v>112</v>
      </c>
      <c r="AF818" s="28" t="s">
        <v>116</v>
      </c>
      <c r="AG818" s="30" t="s">
        <v>122</v>
      </c>
    </row>
    <row r="819" customFormat="false" ht="15" hidden="false" customHeight="false" outlineLevel="0" collapsed="false">
      <c r="A819" s="10" t="n">
        <v>2026</v>
      </c>
      <c r="B819" s="28" t="s">
        <v>81</v>
      </c>
      <c r="C819" s="29" t="n">
        <v>46216</v>
      </c>
      <c r="D819" s="30" t="s">
        <v>125</v>
      </c>
      <c r="E819" s="28" t="s">
        <v>547</v>
      </c>
      <c r="F819" s="30" t="s">
        <v>548</v>
      </c>
      <c r="G819" s="31" t="n">
        <v>11652</v>
      </c>
      <c r="H819" s="31" t="n">
        <v>8</v>
      </c>
      <c r="I819" s="31" t="n">
        <v>93213</v>
      </c>
      <c r="J819" s="29" t="n">
        <v>46217</v>
      </c>
      <c r="K819" s="31" t="n">
        <v>13990</v>
      </c>
      <c r="L819" s="30" t="s">
        <v>31</v>
      </c>
      <c r="M819" s="10" t="n">
        <v>1</v>
      </c>
      <c r="N819" s="12" t="n">
        <v>18452</v>
      </c>
      <c r="O819" s="13" t="n">
        <v>0.197957862927451</v>
      </c>
      <c r="P819" s="15" t="n">
        <v>0.200689345019242</v>
      </c>
      <c r="Q819" s="13" t="n">
        <v>0.0565036338232214</v>
      </c>
      <c r="R819" s="15" t="n">
        <v>0.0738007380073802</v>
      </c>
      <c r="S819" s="32" t="n">
        <v>163884309120</v>
      </c>
      <c r="T819" s="15" t="n">
        <v>0.0237467018469657</v>
      </c>
      <c r="U819" s="32" t="n">
        <v>23422906009.5</v>
      </c>
      <c r="V819" s="14" t="n">
        <v>6.35933841490529</v>
      </c>
      <c r="W819" s="13" t="n">
        <v>0.00866551126516457</v>
      </c>
      <c r="X819" s="15" t="n">
        <v>0.0962199312714778</v>
      </c>
      <c r="Y819" s="13" t="n">
        <v>-0.0894884121595411</v>
      </c>
      <c r="Z819" s="13" t="n">
        <v>-0.154558315210034</v>
      </c>
      <c r="AA819" s="30" t="s">
        <v>96</v>
      </c>
      <c r="AB819" s="28" t="s">
        <v>94</v>
      </c>
      <c r="AC819" s="28" t="s">
        <v>101</v>
      </c>
      <c r="AD819" s="28" t="s">
        <v>109</v>
      </c>
      <c r="AE819" s="28" t="s">
        <v>113</v>
      </c>
      <c r="AF819" s="28" t="s">
        <v>119</v>
      </c>
      <c r="AG819" s="30" t="s">
        <v>122</v>
      </c>
    </row>
    <row r="820" customFormat="false" ht="15" hidden="false" customHeight="false" outlineLevel="0" collapsed="false">
      <c r="A820" s="10" t="n">
        <v>2026</v>
      </c>
      <c r="B820" s="28" t="s">
        <v>81</v>
      </c>
      <c r="C820" s="29" t="n">
        <v>46218</v>
      </c>
      <c r="D820" s="30" t="s">
        <v>127</v>
      </c>
      <c r="E820" s="28" t="s">
        <v>1113</v>
      </c>
      <c r="F820" s="30" t="s">
        <v>1114</v>
      </c>
      <c r="G820" s="31" t="n">
        <v>53253</v>
      </c>
      <c r="H820" s="31" t="n">
        <v>1</v>
      </c>
      <c r="I820" s="31" t="n">
        <v>53253</v>
      </c>
      <c r="J820" s="29" t="n">
        <v>46219</v>
      </c>
      <c r="K820" s="31" t="n">
        <v>50649</v>
      </c>
      <c r="L820" s="30" t="s">
        <v>32</v>
      </c>
      <c r="M820" s="10" t="n">
        <v>1</v>
      </c>
      <c r="N820" s="12" t="n">
        <v>-2721</v>
      </c>
      <c r="O820" s="13" t="n">
        <v>-0.051091464456596</v>
      </c>
      <c r="P820" s="15" t="n">
        <v>0.00463446328107997</v>
      </c>
      <c r="Q820" s="13" t="n">
        <v>-0.100523536613762</v>
      </c>
      <c r="R820" s="15" t="n">
        <v>0.176991150442478</v>
      </c>
      <c r="S820" s="32" t="n">
        <v>36573510400</v>
      </c>
      <c r="T820" s="15" t="n">
        <v>0.0350194552529184</v>
      </c>
      <c r="U820" s="32" t="n">
        <v>10827165177.5</v>
      </c>
      <c r="V820" s="14" t="n">
        <v>2.71353370355993</v>
      </c>
      <c r="W820" s="13" t="n">
        <v>0.137967914438503</v>
      </c>
      <c r="X820" s="15" t="n">
        <v>0.0225563909774436</v>
      </c>
      <c r="Y820" s="13" t="n">
        <v>0.0623582617623595</v>
      </c>
      <c r="Z820" s="13" t="n">
        <v>0.00519126399412695</v>
      </c>
      <c r="AA820" s="30" t="s">
        <v>96</v>
      </c>
      <c r="AB820" s="28" t="s">
        <v>93</v>
      </c>
      <c r="AC820" s="28" t="s">
        <v>103</v>
      </c>
      <c r="AD820" s="28" t="s">
        <v>107</v>
      </c>
      <c r="AE820" s="28" t="s">
        <v>113</v>
      </c>
      <c r="AF820" s="28" t="s">
        <v>117</v>
      </c>
      <c r="AG820" s="30" t="s">
        <v>122</v>
      </c>
    </row>
    <row r="821" customFormat="false" ht="15" hidden="false" customHeight="false" outlineLevel="0" collapsed="false">
      <c r="A821" s="10" t="n">
        <v>2026</v>
      </c>
      <c r="B821" s="28" t="s">
        <v>81</v>
      </c>
      <c r="C821" s="29" t="n">
        <v>46218</v>
      </c>
      <c r="D821" s="30" t="s">
        <v>127</v>
      </c>
      <c r="E821" s="28" t="s">
        <v>1115</v>
      </c>
      <c r="F821" s="30" t="s">
        <v>1116</v>
      </c>
      <c r="G821" s="31" t="n">
        <v>15706</v>
      </c>
      <c r="H821" s="31" t="n">
        <v>6</v>
      </c>
      <c r="I821" s="31" t="n">
        <v>94234</v>
      </c>
      <c r="J821" s="29" t="n">
        <v>46219</v>
      </c>
      <c r="K821" s="31" t="n">
        <v>14945</v>
      </c>
      <c r="L821" s="30" t="s">
        <v>32</v>
      </c>
      <c r="M821" s="10" t="n">
        <v>1</v>
      </c>
      <c r="N821" s="12" t="n">
        <v>-4771</v>
      </c>
      <c r="O821" s="13" t="n">
        <v>-0.0506273643182821</v>
      </c>
      <c r="P821" s="15" t="n">
        <v>-0.0392017160659607</v>
      </c>
      <c r="Q821" s="13" t="n">
        <v>-0.0996893482553137</v>
      </c>
      <c r="R821" s="15" t="n">
        <v>0.208782742681048</v>
      </c>
      <c r="S821" s="32" t="n">
        <v>32068900830</v>
      </c>
      <c r="T821" s="15" t="n">
        <v>0.0746575342465754</v>
      </c>
      <c r="U821" s="32" t="n">
        <v>9957106717.5</v>
      </c>
      <c r="V821" s="14" t="n">
        <v>2.63613010358309</v>
      </c>
      <c r="W821" s="13" t="n">
        <v>0.194063926940639</v>
      </c>
      <c r="X821" s="15" t="n">
        <v>0.00701083492670485</v>
      </c>
      <c r="Y821" s="13" t="n">
        <v>0.0623582617623595</v>
      </c>
      <c r="Z821" s="13" t="n">
        <v>0.00519126399412695</v>
      </c>
      <c r="AA821" s="30" t="s">
        <v>96</v>
      </c>
      <c r="AB821" s="28" t="s">
        <v>93</v>
      </c>
      <c r="AC821" s="28" t="s">
        <v>104</v>
      </c>
      <c r="AD821" s="28" t="s">
        <v>107</v>
      </c>
      <c r="AE821" s="28" t="s">
        <v>101</v>
      </c>
      <c r="AF821" s="28" t="s">
        <v>117</v>
      </c>
      <c r="AG821" s="30" t="s">
        <v>122</v>
      </c>
    </row>
    <row r="822" customFormat="false" ht="15" hidden="false" customHeight="false" outlineLevel="0" collapsed="false">
      <c r="A822" s="10" t="n">
        <v>2026</v>
      </c>
      <c r="B822" s="28" t="s">
        <v>81</v>
      </c>
      <c r="C822" s="29" t="n">
        <v>46219</v>
      </c>
      <c r="D822" s="30" t="s">
        <v>128</v>
      </c>
      <c r="E822" s="28" t="s">
        <v>1117</v>
      </c>
      <c r="F822" s="30" t="s">
        <v>1118</v>
      </c>
      <c r="G822" s="31" t="n">
        <v>13594</v>
      </c>
      <c r="H822" s="31" t="n">
        <v>7</v>
      </c>
      <c r="I822" s="31" t="n">
        <v>95155</v>
      </c>
      <c r="J822" s="29" t="n">
        <v>46223</v>
      </c>
      <c r="K822" s="31" t="n">
        <v>12937</v>
      </c>
      <c r="L822" s="30" t="s">
        <v>32</v>
      </c>
      <c r="M822" s="10" t="n">
        <v>1</v>
      </c>
      <c r="N822" s="12" t="n">
        <v>-4805</v>
      </c>
      <c r="O822" s="13" t="n">
        <v>-0.0504932250738951</v>
      </c>
      <c r="P822" s="15" t="n">
        <v>0.114496696234546</v>
      </c>
      <c r="Q822" s="13" t="n">
        <v>-0.10546007747775</v>
      </c>
      <c r="R822" s="15" t="n">
        <v>0.170689655172414</v>
      </c>
      <c r="S822" s="32" t="n">
        <v>107804436180</v>
      </c>
      <c r="T822" s="15" t="n">
        <v>0.170689655172414</v>
      </c>
      <c r="U822" s="32" t="n">
        <v>9169395253.5</v>
      </c>
      <c r="V822" s="14" t="n">
        <v>9.23915939810762</v>
      </c>
      <c r="W822" s="13" t="n">
        <v>0.182926829268293</v>
      </c>
      <c r="X822" s="15" t="n">
        <v>0.100147275405008</v>
      </c>
      <c r="Y822" s="13" t="n">
        <v>-0.063671594542317</v>
      </c>
      <c r="Z822" s="13" t="n">
        <v>-0.0646346430496262</v>
      </c>
      <c r="AA822" s="30" t="s">
        <v>96</v>
      </c>
      <c r="AB822" s="28" t="s">
        <v>94</v>
      </c>
      <c r="AC822" s="28" t="s">
        <v>103</v>
      </c>
      <c r="AD822" s="28" t="s">
        <v>109</v>
      </c>
      <c r="AE822" s="28" t="s">
        <v>114</v>
      </c>
      <c r="AF822" s="28" t="s">
        <v>119</v>
      </c>
      <c r="AG822" s="30" t="s">
        <v>122</v>
      </c>
    </row>
    <row r="823" customFormat="false" ht="15" hidden="false" customHeight="false" outlineLevel="0" collapsed="false">
      <c r="A823" s="10" t="n">
        <v>2026</v>
      </c>
      <c r="B823" s="28" t="s">
        <v>81</v>
      </c>
      <c r="C823" s="29" t="n">
        <v>46223</v>
      </c>
      <c r="D823" s="30" t="s">
        <v>125</v>
      </c>
      <c r="E823" s="28" t="s">
        <v>1119</v>
      </c>
      <c r="F823" s="30" t="s">
        <v>1120</v>
      </c>
      <c r="G823" s="31" t="n">
        <v>13003</v>
      </c>
      <c r="H823" s="31" t="n">
        <v>7</v>
      </c>
      <c r="I823" s="31" t="n">
        <v>91021</v>
      </c>
      <c r="J823" s="29" t="n">
        <v>46224</v>
      </c>
      <c r="K823" s="31" t="n">
        <v>12378</v>
      </c>
      <c r="L823" s="30" t="s">
        <v>32</v>
      </c>
      <c r="M823" s="10" t="n">
        <v>1</v>
      </c>
      <c r="N823" s="12" t="n">
        <v>-4578</v>
      </c>
      <c r="O823" s="13" t="n">
        <v>-0.0502916875272532</v>
      </c>
      <c r="P823" s="15" t="n">
        <v>0.0566800405137589</v>
      </c>
      <c r="Q823" s="13" t="n">
        <v>-0.292470424110147</v>
      </c>
      <c r="R823" s="15" t="n">
        <v>0.150575730735164</v>
      </c>
      <c r="S823" s="32" t="n">
        <v>76767119910</v>
      </c>
      <c r="T823" s="15" t="n">
        <v>0.0915966386554621</v>
      </c>
      <c r="U823" s="32" t="n">
        <v>11508945801.85</v>
      </c>
      <c r="V823" s="14" t="n">
        <v>4.99428827266553</v>
      </c>
      <c r="W823" s="13" t="n">
        <v>0.154666666666667</v>
      </c>
      <c r="X823" s="15" t="n">
        <v>0.108545034642032</v>
      </c>
      <c r="Y823" s="13" t="n">
        <v>-0.0446192417089406</v>
      </c>
      <c r="Z823" s="13" t="n">
        <v>-0.128367803914959</v>
      </c>
      <c r="AA823" s="30" t="s">
        <v>96</v>
      </c>
      <c r="AB823" s="28" t="s">
        <v>94</v>
      </c>
      <c r="AC823" s="28" t="s">
        <v>103</v>
      </c>
      <c r="AD823" s="28" t="s">
        <v>108</v>
      </c>
      <c r="AE823" s="28" t="s">
        <v>101</v>
      </c>
      <c r="AF823" s="28" t="s">
        <v>118</v>
      </c>
      <c r="AG823" s="30" t="s">
        <v>122</v>
      </c>
    </row>
    <row r="824" customFormat="false" ht="15" hidden="false" customHeight="false" outlineLevel="0" collapsed="false">
      <c r="A824" s="10" t="n">
        <v>2026</v>
      </c>
      <c r="B824" s="28" t="s">
        <v>81</v>
      </c>
      <c r="C824" s="29" t="n">
        <v>46224</v>
      </c>
      <c r="D824" s="30" t="s">
        <v>126</v>
      </c>
      <c r="E824" s="28" t="s">
        <v>347</v>
      </c>
      <c r="F824" s="30" t="s">
        <v>348</v>
      </c>
      <c r="G824" s="31" t="n">
        <v>1872</v>
      </c>
      <c r="H824" s="31" t="n">
        <v>53</v>
      </c>
      <c r="I824" s="31" t="n">
        <v>99209</v>
      </c>
      <c r="J824" s="29" t="n">
        <v>46230</v>
      </c>
      <c r="K824" s="31" t="n">
        <v>1778</v>
      </c>
      <c r="L824" s="30" t="s">
        <v>32</v>
      </c>
      <c r="M824" s="10" t="n">
        <v>4</v>
      </c>
      <c r="N824" s="12" t="n">
        <v>-5181</v>
      </c>
      <c r="O824" s="13" t="n">
        <v>-0.0522226188250253</v>
      </c>
      <c r="P824" s="15" t="n">
        <v>0.137899533621459</v>
      </c>
      <c r="Q824" s="13" t="n">
        <v>-0.0918172736354554</v>
      </c>
      <c r="R824" s="15" t="n">
        <v>0.0269082921471719</v>
      </c>
      <c r="S824" s="32" t="n">
        <v>109663909740</v>
      </c>
      <c r="T824" s="15" t="n">
        <v>0.0246575342465754</v>
      </c>
      <c r="U824" s="32" t="n">
        <v>23215202243.45</v>
      </c>
      <c r="V824" s="14" t="n">
        <v>4.34270862524983</v>
      </c>
      <c r="W824" s="13" t="n">
        <v>0.0354374307862679</v>
      </c>
      <c r="X824" s="15" t="n">
        <v>0.13903743315508</v>
      </c>
      <c r="Y824" s="13" t="n">
        <v>0.0355540823201002</v>
      </c>
      <c r="Z824" s="13" t="n">
        <v>-0.0086646990640421</v>
      </c>
      <c r="AA824" s="30" t="s">
        <v>96</v>
      </c>
      <c r="AB824" s="28" t="s">
        <v>94</v>
      </c>
      <c r="AC824" s="28" t="s">
        <v>99</v>
      </c>
      <c r="AD824" s="28" t="s">
        <v>109</v>
      </c>
      <c r="AE824" s="28" t="s">
        <v>113</v>
      </c>
      <c r="AF824" s="28" t="s">
        <v>118</v>
      </c>
      <c r="AG824" s="30" t="s">
        <v>122</v>
      </c>
    </row>
    <row r="825" customFormat="false" ht="15" hidden="false" customHeight="false" outlineLevel="0" collapsed="false">
      <c r="A825" s="10" t="n">
        <v>2026</v>
      </c>
      <c r="B825" s="28" t="s">
        <v>81</v>
      </c>
      <c r="C825" s="29" t="n">
        <v>46225</v>
      </c>
      <c r="D825" s="30" t="s">
        <v>127</v>
      </c>
      <c r="E825" s="28" t="s">
        <v>465</v>
      </c>
      <c r="F825" s="28" t="s">
        <v>466</v>
      </c>
      <c r="G825" s="31" t="n">
        <v>94194</v>
      </c>
      <c r="H825" s="31" t="n">
        <v>1</v>
      </c>
      <c r="I825" s="31" t="n">
        <v>94194</v>
      </c>
      <c r="J825" s="29" t="n">
        <v>46231</v>
      </c>
      <c r="K825" s="31" t="n">
        <v>89610</v>
      </c>
      <c r="L825" s="30" t="s">
        <v>32</v>
      </c>
      <c r="M825" s="10" t="n">
        <v>4</v>
      </c>
      <c r="N825" s="12" t="n">
        <v>-4791</v>
      </c>
      <c r="O825" s="13" t="n">
        <v>-0.0508587189643511</v>
      </c>
      <c r="P825" s="15" t="n">
        <v>0.121089325127582</v>
      </c>
      <c r="Q825" s="13" t="n">
        <v>-0.144320079495425</v>
      </c>
      <c r="R825" s="15" t="n">
        <v>0.105757931844889</v>
      </c>
      <c r="S825" s="32" t="n">
        <v>161865832700</v>
      </c>
      <c r="T825" s="15" t="n">
        <v>0.0295404814004376</v>
      </c>
      <c r="U825" s="32" t="n">
        <v>81589479090</v>
      </c>
      <c r="V825" s="14" t="n">
        <v>1.84913965379754</v>
      </c>
      <c r="W825" s="13" t="n">
        <v>0.0866050808314087</v>
      </c>
      <c r="X825" s="15" t="n">
        <v>0.0201912858661</v>
      </c>
      <c r="Y825" s="13" t="n">
        <v>0.00737260945916907</v>
      </c>
      <c r="Z825" s="13" t="n">
        <v>-0.00862351844802922</v>
      </c>
      <c r="AA825" s="30" t="s">
        <v>96</v>
      </c>
      <c r="AB825" s="28" t="s">
        <v>94</v>
      </c>
      <c r="AC825" s="28" t="s">
        <v>102</v>
      </c>
      <c r="AD825" s="28" t="s">
        <v>109</v>
      </c>
      <c r="AE825" s="28" t="s">
        <v>113</v>
      </c>
      <c r="AF825" s="28" t="s">
        <v>116</v>
      </c>
      <c r="AG825" s="30" t="s">
        <v>122</v>
      </c>
    </row>
    <row r="826" customFormat="false" ht="15" hidden="false" customHeight="false" outlineLevel="0" collapsed="false">
      <c r="A826" s="10" t="n">
        <v>2026</v>
      </c>
      <c r="B826" s="28" t="s">
        <v>81</v>
      </c>
      <c r="C826" s="29" t="n">
        <v>46225</v>
      </c>
      <c r="D826" s="30" t="s">
        <v>127</v>
      </c>
      <c r="E826" s="28" t="s">
        <v>1121</v>
      </c>
      <c r="F826" s="30" t="s">
        <v>1122</v>
      </c>
      <c r="G826" s="31" t="n">
        <v>82683</v>
      </c>
      <c r="H826" s="31" t="n">
        <v>1</v>
      </c>
      <c r="I826" s="31" t="n">
        <v>82683</v>
      </c>
      <c r="J826" s="29" t="n">
        <v>46227</v>
      </c>
      <c r="K826" s="31" t="n">
        <v>78621</v>
      </c>
      <c r="L826" s="30" t="s">
        <v>32</v>
      </c>
      <c r="M826" s="10" t="n">
        <v>2</v>
      </c>
      <c r="N826" s="12" t="n">
        <v>-4243</v>
      </c>
      <c r="O826" s="13" t="n">
        <v>-0.0513135555122843</v>
      </c>
      <c r="P826" s="15" t="n">
        <v>0.0945470993897146</v>
      </c>
      <c r="Q826" s="13" t="n">
        <v>-0.137666207884125</v>
      </c>
      <c r="R826" s="15" t="n">
        <v>0.251515151515152</v>
      </c>
      <c r="S826" s="32" t="n">
        <v>126752425800</v>
      </c>
      <c r="T826" s="15" t="n">
        <v>0.0147420147420148</v>
      </c>
      <c r="U826" s="32" t="n">
        <v>12641732940</v>
      </c>
      <c r="V826" s="14" t="n">
        <v>8.92251273952754</v>
      </c>
      <c r="W826" s="13" t="n">
        <v>0.00609013398294755</v>
      </c>
      <c r="X826" s="15" t="n">
        <v>0.0387409200968523</v>
      </c>
      <c r="Y826" s="13" t="n">
        <v>0.00737260945916907</v>
      </c>
      <c r="Z826" s="13" t="n">
        <v>-0.00862351844802922</v>
      </c>
      <c r="AA826" s="30" t="s">
        <v>96</v>
      </c>
      <c r="AB826" s="28" t="s">
        <v>94</v>
      </c>
      <c r="AC826" s="28" t="s">
        <v>104</v>
      </c>
      <c r="AD826" s="28" t="s">
        <v>109</v>
      </c>
      <c r="AE826" s="28" t="s">
        <v>112</v>
      </c>
      <c r="AF826" s="28" t="s">
        <v>119</v>
      </c>
      <c r="AG826" s="30" t="s">
        <v>122</v>
      </c>
    </row>
    <row r="827" customFormat="false" ht="15" hidden="false" customHeight="false" outlineLevel="0" collapsed="false">
      <c r="A827" s="10" t="n">
        <v>2026</v>
      </c>
      <c r="B827" s="28" t="s">
        <v>81</v>
      </c>
      <c r="C827" s="29" t="n">
        <v>46225</v>
      </c>
      <c r="D827" s="30" t="s">
        <v>127</v>
      </c>
      <c r="E827" s="28" t="s">
        <v>385</v>
      </c>
      <c r="F827" s="28" t="s">
        <v>386</v>
      </c>
      <c r="G827" s="31" t="n">
        <v>20320</v>
      </c>
      <c r="H827" s="31" t="n">
        <v>4</v>
      </c>
      <c r="I827" s="31" t="n">
        <v>81281</v>
      </c>
      <c r="J827" s="29"/>
      <c r="K827" s="31"/>
      <c r="L827" s="30" t="s">
        <v>33</v>
      </c>
      <c r="M827" s="10" t="n">
        <v>44</v>
      </c>
      <c r="N827" s="12" t="n">
        <v>1724</v>
      </c>
      <c r="O827" s="13" t="n">
        <v>0.0236069349369843</v>
      </c>
      <c r="P827" s="15" t="n">
        <v>0.151557801804107</v>
      </c>
      <c r="Q827" s="13" t="n">
        <v>-0.0270812930911453</v>
      </c>
      <c r="R827" s="15" t="n">
        <v>0.00995024875621886</v>
      </c>
      <c r="S827" s="32" t="n">
        <v>23499686000</v>
      </c>
      <c r="T827" s="15" t="n">
        <v>0.00744416873449127</v>
      </c>
      <c r="U827" s="32" t="n">
        <v>24960302482.5</v>
      </c>
      <c r="V827" s="14" t="n">
        <v>0.900679578855543</v>
      </c>
      <c r="W827" s="13" t="n">
        <v>0.00995024875621886</v>
      </c>
      <c r="X827" s="15" t="n">
        <v>0.0270935960591132</v>
      </c>
      <c r="Y827" s="13" t="n">
        <v>0.00737260945916907</v>
      </c>
      <c r="Z827" s="13" t="n">
        <v>-0.00862351844802922</v>
      </c>
      <c r="AA827" s="30" t="s">
        <v>96</v>
      </c>
      <c r="AB827" s="28" t="s">
        <v>94</v>
      </c>
      <c r="AC827" s="28" t="s">
        <v>99</v>
      </c>
      <c r="AD827" s="28" t="s">
        <v>106</v>
      </c>
      <c r="AE827" s="28" t="s">
        <v>112</v>
      </c>
      <c r="AF827" s="28" t="s">
        <v>116</v>
      </c>
      <c r="AG827" s="30" t="s">
        <v>122</v>
      </c>
    </row>
    <row r="828" customFormat="false" ht="15" hidden="false" customHeight="false" outlineLevel="0" collapsed="false">
      <c r="A828" s="10" t="n">
        <v>2026</v>
      </c>
      <c r="B828" s="28" t="s">
        <v>81</v>
      </c>
      <c r="C828" s="29" t="n">
        <v>46226</v>
      </c>
      <c r="D828" s="30" t="s">
        <v>128</v>
      </c>
      <c r="E828" s="28" t="s">
        <v>359</v>
      </c>
      <c r="F828" s="28" t="s">
        <v>360</v>
      </c>
      <c r="G828" s="31" t="n">
        <v>34434</v>
      </c>
      <c r="H828" s="31" t="n">
        <v>2</v>
      </c>
      <c r="I828" s="31" t="n">
        <v>68869</v>
      </c>
      <c r="J828" s="29" t="n">
        <v>46227</v>
      </c>
      <c r="K828" s="31" t="n">
        <v>32767</v>
      </c>
      <c r="L828" s="30" t="s">
        <v>32</v>
      </c>
      <c r="M828" s="10" t="n">
        <v>1</v>
      </c>
      <c r="N828" s="12" t="n">
        <v>-3486</v>
      </c>
      <c r="O828" s="13" t="n">
        <v>-0.0506126036753943</v>
      </c>
      <c r="P828" s="15" t="n">
        <v>-0.0126152916850589</v>
      </c>
      <c r="Q828" s="13" t="n">
        <v>-0.127326162209883</v>
      </c>
      <c r="R828" s="15" t="n">
        <v>0.18213058419244</v>
      </c>
      <c r="S828" s="32" t="n">
        <v>274994288000</v>
      </c>
      <c r="T828" s="15" t="n">
        <v>0.0800627943485086</v>
      </c>
      <c r="U828" s="32" t="n">
        <v>65905393330</v>
      </c>
      <c r="V828" s="14" t="n">
        <v>3.54513857237485</v>
      </c>
      <c r="W828" s="13" t="n">
        <v>0.18213058419244</v>
      </c>
      <c r="X828" s="15" t="n">
        <v>0.0392441860465116</v>
      </c>
      <c r="Y828" s="13" t="n">
        <v>0.0440134163025729</v>
      </c>
      <c r="Z828" s="13" t="n">
        <v>-0.0257426476543742</v>
      </c>
      <c r="AA828" s="30" t="s">
        <v>96</v>
      </c>
      <c r="AB828" s="28" t="s">
        <v>94</v>
      </c>
      <c r="AC828" s="28" t="s">
        <v>103</v>
      </c>
      <c r="AD828" s="28" t="s">
        <v>110</v>
      </c>
      <c r="AE828" s="28" t="s">
        <v>101</v>
      </c>
      <c r="AF828" s="28" t="s">
        <v>118</v>
      </c>
      <c r="AG828" s="30" t="s">
        <v>122</v>
      </c>
    </row>
    <row r="829" customFormat="false" ht="15" hidden="false" customHeight="false" outlineLevel="0" collapsed="false">
      <c r="A829" s="10" t="n">
        <v>2026</v>
      </c>
      <c r="B829" s="28" t="s">
        <v>81</v>
      </c>
      <c r="C829" s="29" t="n">
        <v>46226</v>
      </c>
      <c r="D829" s="30" t="s">
        <v>128</v>
      </c>
      <c r="E829" s="28" t="s">
        <v>777</v>
      </c>
      <c r="F829" s="28" t="s">
        <v>778</v>
      </c>
      <c r="G829" s="31" t="n">
        <v>17277</v>
      </c>
      <c r="H829" s="31" t="n">
        <v>5</v>
      </c>
      <c r="I829" s="31" t="n">
        <v>86386</v>
      </c>
      <c r="J829" s="29" t="n">
        <v>46227</v>
      </c>
      <c r="K829" s="31" t="n">
        <v>16444</v>
      </c>
      <c r="L829" s="30" t="s">
        <v>32</v>
      </c>
      <c r="M829" s="10" t="n">
        <v>1</v>
      </c>
      <c r="N829" s="12" t="n">
        <v>-4358</v>
      </c>
      <c r="O829" s="13" t="n">
        <v>-0.0504515878096408</v>
      </c>
      <c r="P829" s="15" t="n">
        <v>0.206788576429364</v>
      </c>
      <c r="Q829" s="13" t="n">
        <v>-0.0548269806670733</v>
      </c>
      <c r="R829" s="15" t="n">
        <v>0.196119196119196</v>
      </c>
      <c r="S829" s="32" t="n">
        <v>215357921840</v>
      </c>
      <c r="T829" s="15" t="n">
        <v>0.0366366366366366</v>
      </c>
      <c r="U829" s="32" t="n">
        <v>18187159964</v>
      </c>
      <c r="V829" s="14" t="n">
        <v>10.3871984210686</v>
      </c>
      <c r="W829" s="13" t="n">
        <v>0.196119196119196</v>
      </c>
      <c r="X829" s="15" t="n">
        <v>0.0770567786790266</v>
      </c>
      <c r="Y829" s="13" t="n">
        <v>0.0440134163025729</v>
      </c>
      <c r="Z829" s="13" t="n">
        <v>-0.0257426476543742</v>
      </c>
      <c r="AA829" s="30" t="s">
        <v>96</v>
      </c>
      <c r="AB829" s="28" t="s">
        <v>94</v>
      </c>
      <c r="AC829" s="28" t="s">
        <v>103</v>
      </c>
      <c r="AD829" s="28" t="s">
        <v>110</v>
      </c>
      <c r="AE829" s="28" t="s">
        <v>113</v>
      </c>
      <c r="AF829" s="28" t="s">
        <v>120</v>
      </c>
      <c r="AG829" s="30" t="s">
        <v>122</v>
      </c>
    </row>
    <row r="830" customFormat="false" ht="15" hidden="false" customHeight="false" outlineLevel="0" collapsed="false">
      <c r="A830" s="10" t="n">
        <v>2026</v>
      </c>
      <c r="B830" s="28" t="s">
        <v>81</v>
      </c>
      <c r="C830" s="29" t="n">
        <v>46226</v>
      </c>
      <c r="D830" s="30" t="s">
        <v>128</v>
      </c>
      <c r="E830" s="28" t="s">
        <v>613</v>
      </c>
      <c r="F830" s="30" t="s">
        <v>614</v>
      </c>
      <c r="G830" s="31" t="n">
        <v>37187</v>
      </c>
      <c r="H830" s="31" t="n">
        <v>2</v>
      </c>
      <c r="I830" s="31" t="n">
        <v>74374</v>
      </c>
      <c r="J830" s="29" t="n">
        <v>46231</v>
      </c>
      <c r="K830" s="31" t="n">
        <v>35365</v>
      </c>
      <c r="L830" s="30" t="s">
        <v>32</v>
      </c>
      <c r="M830" s="10" t="n">
        <v>3</v>
      </c>
      <c r="N830" s="12" t="n">
        <v>-3808</v>
      </c>
      <c r="O830" s="13" t="n">
        <v>-0.0512048372219973</v>
      </c>
      <c r="P830" s="15" t="n">
        <v>0.0084128522890301</v>
      </c>
      <c r="Q830" s="13" t="n">
        <v>-0.0520919188483117</v>
      </c>
      <c r="R830" s="15" t="n">
        <v>0.0464788732394366</v>
      </c>
      <c r="S830" s="32" t="n">
        <v>83651212250</v>
      </c>
      <c r="T830" s="15" t="n">
        <v>0.0348189415041782</v>
      </c>
      <c r="U830" s="32" t="n">
        <v>63460368217.5</v>
      </c>
      <c r="V830" s="14" t="n">
        <v>1.23752375438145</v>
      </c>
      <c r="W830" s="13" t="n">
        <v>0.0290858725761773</v>
      </c>
      <c r="X830" s="15" t="n">
        <v>0.000672947510094168</v>
      </c>
      <c r="Y830" s="13" t="n">
        <v>0.0440134163025729</v>
      </c>
      <c r="Z830" s="13" t="n">
        <v>-0.0257426476543742</v>
      </c>
      <c r="AA830" s="30" t="s">
        <v>96</v>
      </c>
      <c r="AB830" s="28" t="s">
        <v>94</v>
      </c>
      <c r="AC830" s="28" t="s">
        <v>100</v>
      </c>
      <c r="AD830" s="28" t="s">
        <v>108</v>
      </c>
      <c r="AE830" s="28" t="s">
        <v>113</v>
      </c>
      <c r="AF830" s="28" t="s">
        <v>116</v>
      </c>
      <c r="AG830" s="30" t="s">
        <v>122</v>
      </c>
    </row>
    <row r="831" customFormat="false" ht="15" hidden="false" customHeight="false" outlineLevel="0" collapsed="false">
      <c r="A831" s="10" t="n">
        <v>2026</v>
      </c>
      <c r="B831" s="28" t="s">
        <v>81</v>
      </c>
      <c r="C831" s="29" t="n">
        <v>46226</v>
      </c>
      <c r="D831" s="30" t="s">
        <v>128</v>
      </c>
      <c r="E831" s="28" t="s">
        <v>681</v>
      </c>
      <c r="F831" s="30" t="s">
        <v>682</v>
      </c>
      <c r="G831" s="31" t="n">
        <v>56657</v>
      </c>
      <c r="H831" s="31" t="n">
        <v>1</v>
      </c>
      <c r="I831" s="31" t="n">
        <v>56657</v>
      </c>
      <c r="J831" s="29" t="n">
        <v>46230</v>
      </c>
      <c r="K831" s="31" t="n">
        <v>53846</v>
      </c>
      <c r="L831" s="30" t="s">
        <v>32</v>
      </c>
      <c r="M831" s="10" t="n">
        <v>2</v>
      </c>
      <c r="N831" s="12" t="n">
        <v>-2935</v>
      </c>
      <c r="O831" s="13" t="n">
        <v>-0.0517992185376461</v>
      </c>
      <c r="P831" s="15" t="n">
        <v>0.0201812321953667</v>
      </c>
      <c r="Q831" s="13" t="n">
        <v>-0.0839549143436068</v>
      </c>
      <c r="R831" s="15" t="n">
        <v>0.0947775628626693</v>
      </c>
      <c r="S831" s="32" t="n">
        <v>40624423600</v>
      </c>
      <c r="T831" s="15" t="n">
        <v>0.0760456273764258</v>
      </c>
      <c r="U831" s="32" t="n">
        <v>23686518610</v>
      </c>
      <c r="V831" s="14" t="n">
        <v>1.51858887978401</v>
      </c>
      <c r="W831" s="13" t="n">
        <v>0.0801526717557253</v>
      </c>
      <c r="X831" s="15" t="n">
        <v>0.00353356890459367</v>
      </c>
      <c r="Y831" s="13" t="n">
        <v>0.0440134163025729</v>
      </c>
      <c r="Z831" s="13" t="n">
        <v>-0.0257426476543742</v>
      </c>
      <c r="AA831" s="30" t="s">
        <v>96</v>
      </c>
      <c r="AB831" s="28" t="s">
        <v>94</v>
      </c>
      <c r="AC831" s="28" t="s">
        <v>101</v>
      </c>
      <c r="AD831" s="28" t="s">
        <v>107</v>
      </c>
      <c r="AE831" s="28" t="s">
        <v>101</v>
      </c>
      <c r="AF831" s="28" t="s">
        <v>116</v>
      </c>
      <c r="AG831" s="30" t="s">
        <v>122</v>
      </c>
    </row>
    <row r="832" customFormat="false" ht="15" hidden="false" customHeight="false" outlineLevel="0" collapsed="false">
      <c r="A832" s="10" t="n">
        <v>2026</v>
      </c>
      <c r="B832" s="28" t="s">
        <v>81</v>
      </c>
      <c r="C832" s="29" t="n">
        <v>46226</v>
      </c>
      <c r="D832" s="30" t="s">
        <v>128</v>
      </c>
      <c r="E832" s="28" t="s">
        <v>615</v>
      </c>
      <c r="F832" s="30" t="s">
        <v>616</v>
      </c>
      <c r="G832" s="31" t="n">
        <v>43393</v>
      </c>
      <c r="H832" s="31" t="n">
        <v>2</v>
      </c>
      <c r="I832" s="31" t="n">
        <v>86787</v>
      </c>
      <c r="J832" s="29" t="n">
        <v>46227</v>
      </c>
      <c r="K832" s="31" t="n">
        <v>41309</v>
      </c>
      <c r="L832" s="30" t="s">
        <v>32</v>
      </c>
      <c r="M832" s="10" t="n">
        <v>1</v>
      </c>
      <c r="N832" s="12" t="n">
        <v>-4360</v>
      </c>
      <c r="O832" s="13" t="n">
        <v>-0.0502386333389793</v>
      </c>
      <c r="P832" s="15" t="n">
        <v>-0.00560800214779456</v>
      </c>
      <c r="Q832" s="13" t="n">
        <v>-0.0470890124869363</v>
      </c>
      <c r="R832" s="15" t="n">
        <v>0.0521844660194175</v>
      </c>
      <c r="S832" s="32" t="n">
        <v>25784580000</v>
      </c>
      <c r="T832" s="15" t="n">
        <v>0.0471014492753623</v>
      </c>
      <c r="U832" s="32" t="n">
        <v>8727433260</v>
      </c>
      <c r="V832" s="14" t="n">
        <v>2.71384411821739</v>
      </c>
      <c r="W832" s="13" t="n">
        <v>0.0586080586080586</v>
      </c>
      <c r="X832" s="15" t="n">
        <v>0.0657439446366781</v>
      </c>
      <c r="Y832" s="13" t="n">
        <v>0.0440134163025729</v>
      </c>
      <c r="Z832" s="13" t="n">
        <v>-0.0257426476543742</v>
      </c>
      <c r="AA832" s="30" t="s">
        <v>96</v>
      </c>
      <c r="AB832" s="28" t="s">
        <v>94</v>
      </c>
      <c r="AC832" s="28" t="s">
        <v>101</v>
      </c>
      <c r="AD832" s="28" t="s">
        <v>106</v>
      </c>
      <c r="AE832" s="28" t="s">
        <v>113</v>
      </c>
      <c r="AF832" s="28" t="s">
        <v>117</v>
      </c>
      <c r="AG832" s="30" t="s">
        <v>122</v>
      </c>
    </row>
    <row r="833" customFormat="false" ht="15" hidden="false" customHeight="false" outlineLevel="0" collapsed="false">
      <c r="A833" s="10" t="n">
        <v>2026</v>
      </c>
      <c r="B833" s="28" t="s">
        <v>81</v>
      </c>
      <c r="C833" s="29" t="n">
        <v>46226</v>
      </c>
      <c r="D833" s="30" t="s">
        <v>128</v>
      </c>
      <c r="E833" s="28" t="s">
        <v>285</v>
      </c>
      <c r="F833" s="30" t="s">
        <v>286</v>
      </c>
      <c r="G833" s="31" t="n">
        <v>14865</v>
      </c>
      <c r="H833" s="31" t="n">
        <v>6</v>
      </c>
      <c r="I833" s="31" t="n">
        <v>89189</v>
      </c>
      <c r="J833" s="29" t="n">
        <v>46227</v>
      </c>
      <c r="K833" s="31" t="n">
        <v>14146</v>
      </c>
      <c r="L833" s="30" t="s">
        <v>32</v>
      </c>
      <c r="M833" s="10" t="n">
        <v>1</v>
      </c>
      <c r="N833" s="12" t="n">
        <v>-4510</v>
      </c>
      <c r="O833" s="13" t="n">
        <v>-0.0505658169103623</v>
      </c>
      <c r="P833" s="15" t="n">
        <v>0.0306192124373943</v>
      </c>
      <c r="Q833" s="13" t="n">
        <v>-0.0548172366354184</v>
      </c>
      <c r="R833" s="15" t="n">
        <v>0.108208955223881</v>
      </c>
      <c r="S833" s="32" t="n">
        <v>21943785600</v>
      </c>
      <c r="T833" s="15" t="n">
        <v>0.0516997167138811</v>
      </c>
      <c r="U833" s="32" t="n">
        <v>8876799205.5</v>
      </c>
      <c r="V833" s="14" t="n">
        <v>2.18492609830095</v>
      </c>
      <c r="W833" s="13" t="n">
        <v>0.104089219330855</v>
      </c>
      <c r="X833" s="15" t="n">
        <v>0.0572390572390573</v>
      </c>
      <c r="Y833" s="13" t="n">
        <v>0.0440134163025729</v>
      </c>
      <c r="Z833" s="13" t="n">
        <v>-0.0257426476543742</v>
      </c>
      <c r="AA833" s="30" t="s">
        <v>96</v>
      </c>
      <c r="AB833" s="28" t="s">
        <v>94</v>
      </c>
      <c r="AC833" s="28" t="s">
        <v>102</v>
      </c>
      <c r="AD833" s="28" t="s">
        <v>106</v>
      </c>
      <c r="AE833" s="28" t="s">
        <v>101</v>
      </c>
      <c r="AF833" s="28" t="s">
        <v>117</v>
      </c>
      <c r="AG833" s="30" t="s">
        <v>122</v>
      </c>
    </row>
    <row r="834" customFormat="false" ht="15" hidden="false" customHeight="false" outlineLevel="0" collapsed="false">
      <c r="A834" s="10" t="n">
        <v>2026</v>
      </c>
      <c r="B834" s="28" t="s">
        <v>81</v>
      </c>
      <c r="C834" s="29" t="n">
        <v>46227</v>
      </c>
      <c r="D834" s="30" t="s">
        <v>129</v>
      </c>
      <c r="E834" s="28" t="s">
        <v>951</v>
      </c>
      <c r="F834" s="30" t="s">
        <v>952</v>
      </c>
      <c r="G834" s="31" t="n">
        <v>15966</v>
      </c>
      <c r="H834" s="31" t="n">
        <v>6</v>
      </c>
      <c r="I834" s="31" t="n">
        <v>95796</v>
      </c>
      <c r="J834" s="29" t="n">
        <v>46230</v>
      </c>
      <c r="K834" s="31" t="n">
        <v>15195</v>
      </c>
      <c r="L834" s="30" t="s">
        <v>32</v>
      </c>
      <c r="M834" s="10" t="n">
        <v>1</v>
      </c>
      <c r="N834" s="12" t="n">
        <v>-4837</v>
      </c>
      <c r="O834" s="13" t="n">
        <v>-0.0504964434311769</v>
      </c>
      <c r="P834" s="15" t="n">
        <v>0.00839599272201164</v>
      </c>
      <c r="Q834" s="13" t="n">
        <v>-0.13002358143424</v>
      </c>
      <c r="R834" s="15" t="n">
        <v>0.225038402457757</v>
      </c>
      <c r="S834" s="32" t="n">
        <v>116395715150</v>
      </c>
      <c r="T834" s="15" t="n">
        <v>0.159156976744186</v>
      </c>
      <c r="U834" s="32" t="n">
        <v>4575191072</v>
      </c>
      <c r="V834" s="14" t="n">
        <v>20.5195821477869</v>
      </c>
      <c r="W834" s="13" t="n">
        <v>0.0992419021364577</v>
      </c>
      <c r="X834" s="15" t="n">
        <v>0.0489028213166145</v>
      </c>
      <c r="Y834" s="13" t="n">
        <v>-0.0572462022097003</v>
      </c>
      <c r="Z834" s="13" t="n">
        <v>-0.019056974459725</v>
      </c>
      <c r="AA834" s="30" t="s">
        <v>96</v>
      </c>
      <c r="AB834" s="28" t="s">
        <v>94</v>
      </c>
      <c r="AC834" s="28" t="s">
        <v>104</v>
      </c>
      <c r="AD834" s="28" t="s">
        <v>109</v>
      </c>
      <c r="AE834" s="28" t="s">
        <v>114</v>
      </c>
      <c r="AF834" s="28" t="s">
        <v>120</v>
      </c>
      <c r="AG834" s="30" t="s">
        <v>122</v>
      </c>
    </row>
    <row r="835" customFormat="false" ht="15" hidden="false" customHeight="false" outlineLevel="0" collapsed="false">
      <c r="A835" s="10" t="n">
        <v>2026</v>
      </c>
      <c r="B835" s="28" t="s">
        <v>81</v>
      </c>
      <c r="C835" s="29" t="n">
        <v>46227</v>
      </c>
      <c r="D835" s="30" t="s">
        <v>129</v>
      </c>
      <c r="E835" s="28" t="s">
        <v>421</v>
      </c>
      <c r="F835" s="30" t="s">
        <v>422</v>
      </c>
      <c r="G835" s="31" t="n">
        <v>74975</v>
      </c>
      <c r="H835" s="31" t="n">
        <v>1</v>
      </c>
      <c r="I835" s="31" t="n">
        <v>74975</v>
      </c>
      <c r="J835" s="29" t="n">
        <v>46231</v>
      </c>
      <c r="K835" s="31" t="n">
        <v>70929</v>
      </c>
      <c r="L835" s="30" t="s">
        <v>32</v>
      </c>
      <c r="M835" s="10" t="n">
        <v>2</v>
      </c>
      <c r="N835" s="12" t="n">
        <v>-4210</v>
      </c>
      <c r="O835" s="13" t="n">
        <v>-0.0561473717870916</v>
      </c>
      <c r="P835" s="15" t="n">
        <v>-0.000999000999000965</v>
      </c>
      <c r="Q835" s="13" t="n">
        <v>-0.0730231050658287</v>
      </c>
      <c r="R835" s="15" t="n">
        <v>0.0490196078431373</v>
      </c>
      <c r="S835" s="32" t="n">
        <v>34051712100</v>
      </c>
      <c r="T835" s="15" t="n">
        <v>0.0149051490514904</v>
      </c>
      <c r="U835" s="32" t="n">
        <v>20001741880</v>
      </c>
      <c r="V835" s="14" t="n">
        <v>1.58461315389007</v>
      </c>
      <c r="W835" s="13" t="n">
        <v>-0.0272727272727272</v>
      </c>
      <c r="X835" s="15" t="n">
        <v>0.0293724966622162</v>
      </c>
      <c r="Y835" s="13" t="n">
        <v>-0.0572462022097003</v>
      </c>
      <c r="Z835" s="13" t="n">
        <v>-0.019056974459725</v>
      </c>
      <c r="AA835" s="30" t="s">
        <v>96</v>
      </c>
      <c r="AB835" s="28" t="s">
        <v>94</v>
      </c>
      <c r="AC835" s="28" t="s">
        <v>100</v>
      </c>
      <c r="AD835" s="28" t="s">
        <v>107</v>
      </c>
      <c r="AE835" s="28" t="s">
        <v>112</v>
      </c>
      <c r="AF835" s="28" t="s">
        <v>116</v>
      </c>
      <c r="AG835" s="30" t="s">
        <v>123</v>
      </c>
    </row>
    <row r="836" customFormat="false" ht="15" hidden="false" customHeight="false" outlineLevel="0" collapsed="false">
      <c r="A836" s="10" t="n">
        <v>2026</v>
      </c>
      <c r="B836" s="28" t="s">
        <v>81</v>
      </c>
      <c r="C836" s="29" t="n">
        <v>46230</v>
      </c>
      <c r="D836" s="30" t="s">
        <v>125</v>
      </c>
      <c r="E836" s="28" t="s">
        <v>573</v>
      </c>
      <c r="F836" s="30" t="s">
        <v>574</v>
      </c>
      <c r="G836" s="31" t="n">
        <v>33133</v>
      </c>
      <c r="H836" s="31" t="n">
        <v>3</v>
      </c>
      <c r="I836" s="31" t="n">
        <v>99399</v>
      </c>
      <c r="J836" s="29" t="n">
        <v>46231</v>
      </c>
      <c r="K836" s="31" t="n">
        <v>31518</v>
      </c>
      <c r="L836" s="30" t="s">
        <v>32</v>
      </c>
      <c r="M836" s="10" t="n">
        <v>1</v>
      </c>
      <c r="N836" s="12" t="n">
        <v>-5062</v>
      </c>
      <c r="O836" s="13" t="n">
        <v>-0.050927460228593</v>
      </c>
      <c r="P836" s="15" t="n">
        <v>0.0125825835795626</v>
      </c>
      <c r="Q836" s="13" t="n">
        <v>-0.053816274360081</v>
      </c>
      <c r="R836" s="15" t="n">
        <v>0.072933549432739</v>
      </c>
      <c r="S836" s="32" t="n">
        <v>151078661000</v>
      </c>
      <c r="T836" s="15" t="n">
        <v>0.0491283676703644</v>
      </c>
      <c r="U836" s="32" t="n">
        <v>65611896577.5</v>
      </c>
      <c r="V836" s="14" t="n">
        <v>2.11685684619399</v>
      </c>
      <c r="W836" s="13" t="n">
        <v>0.0524642289348172</v>
      </c>
      <c r="X836" s="15" t="n">
        <v>0.0181268882175227</v>
      </c>
      <c r="Y836" s="13" t="n">
        <v>0.00973452385578622</v>
      </c>
      <c r="Z836" s="13" t="n">
        <v>0.0367510861274931</v>
      </c>
      <c r="AA836" s="30" t="s">
        <v>96</v>
      </c>
      <c r="AB836" s="28" t="s">
        <v>93</v>
      </c>
      <c r="AC836" s="28" t="s">
        <v>101</v>
      </c>
      <c r="AD836" s="28" t="s">
        <v>109</v>
      </c>
      <c r="AE836" s="28" t="s">
        <v>113</v>
      </c>
      <c r="AF836" s="28" t="s">
        <v>117</v>
      </c>
      <c r="AG836" s="30" t="s">
        <v>122</v>
      </c>
    </row>
    <row r="837" customFormat="false" ht="15" hidden="false" customHeight="false" outlineLevel="0" collapsed="false">
      <c r="A837" s="10" t="n">
        <v>2026</v>
      </c>
      <c r="B837" s="28" t="s">
        <v>81</v>
      </c>
      <c r="C837" s="29" t="n">
        <v>46233</v>
      </c>
      <c r="D837" s="30" t="s">
        <v>128</v>
      </c>
      <c r="E837" s="28" t="s">
        <v>1123</v>
      </c>
      <c r="F837" s="28" t="s">
        <v>1124</v>
      </c>
      <c r="G837" s="31" t="n">
        <v>15375</v>
      </c>
      <c r="H837" s="31" t="n">
        <v>6</v>
      </c>
      <c r="I837" s="31" t="n">
        <v>92252</v>
      </c>
      <c r="J837" s="29" t="n">
        <v>46237</v>
      </c>
      <c r="K837" s="31" t="n">
        <v>14635</v>
      </c>
      <c r="L837" s="30" t="s">
        <v>32</v>
      </c>
      <c r="M837" s="10" t="n">
        <v>2</v>
      </c>
      <c r="N837" s="12" t="n">
        <v>-4643</v>
      </c>
      <c r="O837" s="13" t="n">
        <v>-0.0503261261199736</v>
      </c>
      <c r="P837" s="15" t="n">
        <v>0.00290334665334679</v>
      </c>
      <c r="Q837" s="13" t="n">
        <v>-0.0471767815517815</v>
      </c>
      <c r="R837" s="15" t="n">
        <v>0.0659264399722415</v>
      </c>
      <c r="S837" s="32" t="n">
        <v>29917578240</v>
      </c>
      <c r="T837" s="15" t="n">
        <v>0.0105263157894737</v>
      </c>
      <c r="U837" s="32" t="n">
        <v>14097512528.5</v>
      </c>
      <c r="V837" s="14" t="n">
        <v>2.01663870667353</v>
      </c>
      <c r="W837" s="13" t="n">
        <v>0.0413559322033898</v>
      </c>
      <c r="X837" s="15" t="n">
        <v>0.025390625</v>
      </c>
      <c r="Y837" s="13" t="n">
        <v>-0.0123039108354933</v>
      </c>
      <c r="Z837" s="13" t="n">
        <v>-0.211829406965586</v>
      </c>
      <c r="AA837" s="30" t="s">
        <v>96</v>
      </c>
      <c r="AB837" s="28" t="s">
        <v>94</v>
      </c>
      <c r="AC837" s="28" t="s">
        <v>101</v>
      </c>
      <c r="AD837" s="28" t="s">
        <v>106</v>
      </c>
      <c r="AE837" s="28" t="s">
        <v>112</v>
      </c>
      <c r="AF837" s="28" t="s">
        <v>117</v>
      </c>
      <c r="AG837" s="30" t="s">
        <v>122</v>
      </c>
    </row>
    <row r="838" customFormat="false" ht="15" hidden="false" customHeight="false" outlineLevel="0" collapsed="false">
      <c r="A838" s="10" t="n">
        <v>2026</v>
      </c>
      <c r="B838" s="28" t="s">
        <v>81</v>
      </c>
      <c r="C838" s="29" t="n">
        <v>46234</v>
      </c>
      <c r="D838" s="30" t="s">
        <v>129</v>
      </c>
      <c r="E838" s="28" t="s">
        <v>1125</v>
      </c>
      <c r="F838" s="30" t="s">
        <v>1126</v>
      </c>
      <c r="G838" s="31" t="n">
        <v>71271</v>
      </c>
      <c r="H838" s="31" t="n">
        <v>1</v>
      </c>
      <c r="I838" s="31" t="n">
        <v>71271</v>
      </c>
      <c r="J838" s="29" t="n">
        <v>46237</v>
      </c>
      <c r="K838" s="31" t="n">
        <v>67832</v>
      </c>
      <c r="L838" s="30" t="s">
        <v>32</v>
      </c>
      <c r="M838" s="10" t="n">
        <v>1</v>
      </c>
      <c r="N838" s="12" t="n">
        <v>-3596</v>
      </c>
      <c r="O838" s="13" t="n">
        <v>-0.0504499670975092</v>
      </c>
      <c r="P838" s="15" t="n">
        <v>-0.00801445745265961</v>
      </c>
      <c r="Q838" s="13" t="n">
        <v>-0.059928835209734</v>
      </c>
      <c r="R838" s="15" t="n">
        <v>0.18864774624374</v>
      </c>
      <c r="S838" s="32" t="n">
        <v>20261597600</v>
      </c>
      <c r="T838" s="15" t="n">
        <v>0.0348837209302326</v>
      </c>
      <c r="U838" s="32" t="n">
        <v>7199691410</v>
      </c>
      <c r="V838" s="14" t="n">
        <v>2.49687312864811</v>
      </c>
      <c r="W838" s="13" t="n">
        <v>0.163398692810458</v>
      </c>
      <c r="X838" s="15" t="n">
        <v>0.0126404494382022</v>
      </c>
      <c r="Y838" s="13" t="n">
        <v>0.179114910718755</v>
      </c>
      <c r="Z838" s="13" t="n">
        <v>-0.0142243917604049</v>
      </c>
      <c r="AA838" s="30" t="s">
        <v>96</v>
      </c>
      <c r="AB838" s="28" t="s">
        <v>94</v>
      </c>
      <c r="AC838" s="28" t="s">
        <v>103</v>
      </c>
      <c r="AD838" s="28" t="s">
        <v>106</v>
      </c>
      <c r="AE838" s="28" t="s">
        <v>113</v>
      </c>
      <c r="AF838" s="28" t="s">
        <v>117</v>
      </c>
      <c r="AG838" s="30" t="s">
        <v>122</v>
      </c>
    </row>
    <row r="839" customFormat="false" ht="15" hidden="false" customHeight="false" outlineLevel="0" collapsed="false">
      <c r="A839" s="10" t="n">
        <v>2026</v>
      </c>
      <c r="B839" s="28" t="s">
        <v>82</v>
      </c>
      <c r="C839" s="29" t="n">
        <v>46237</v>
      </c>
      <c r="D839" s="30" t="s">
        <v>125</v>
      </c>
      <c r="E839" s="28" t="s">
        <v>1127</v>
      </c>
      <c r="F839" s="30" t="s">
        <v>1128</v>
      </c>
      <c r="G839" s="31" t="n">
        <v>17898</v>
      </c>
      <c r="H839" s="31" t="n">
        <v>5</v>
      </c>
      <c r="I839" s="31" t="n">
        <v>89489</v>
      </c>
      <c r="J839" s="29" t="n">
        <v>46238</v>
      </c>
      <c r="K839" s="31" t="n">
        <v>16983</v>
      </c>
      <c r="L839" s="30" t="s">
        <v>32</v>
      </c>
      <c r="M839" s="10" t="n">
        <v>1</v>
      </c>
      <c r="N839" s="12" t="n">
        <v>-4770</v>
      </c>
      <c r="O839" s="13" t="n">
        <v>-0.0533067677289153</v>
      </c>
      <c r="P839" s="15" t="n">
        <v>0.0196738384657849</v>
      </c>
      <c r="Q839" s="13" t="n">
        <v>-0.0607826178295976</v>
      </c>
      <c r="R839" s="15" t="n">
        <v>0.213025780189959</v>
      </c>
      <c r="S839" s="32" t="n">
        <v>328583263200</v>
      </c>
      <c r="T839" s="15" t="n">
        <v>0.0176437108708025</v>
      </c>
      <c r="U839" s="32" t="n">
        <v>42285112671.5</v>
      </c>
      <c r="V839" s="14" t="n">
        <v>6.49760724086109</v>
      </c>
      <c r="W839" s="13" t="n">
        <v>0.12807570977918</v>
      </c>
      <c r="X839" s="15" t="n">
        <v>0.069910514541387</v>
      </c>
      <c r="Y839" s="13" t="n">
        <v>-0.051247450894177</v>
      </c>
      <c r="Z839" s="13" t="n">
        <v>-0.0737593901491322</v>
      </c>
      <c r="AA839" s="30" t="s">
        <v>96</v>
      </c>
      <c r="AB839" s="28" t="s">
        <v>94</v>
      </c>
      <c r="AC839" s="28" t="s">
        <v>104</v>
      </c>
      <c r="AD839" s="28" t="s">
        <v>110</v>
      </c>
      <c r="AE839" s="28" t="s">
        <v>112</v>
      </c>
      <c r="AF839" s="28" t="s">
        <v>119</v>
      </c>
      <c r="AG839" s="30" t="s">
        <v>122</v>
      </c>
    </row>
    <row r="840" customFormat="false" ht="15" hidden="false" customHeight="false" outlineLevel="0" collapsed="false">
      <c r="A840" s="10" t="n">
        <v>2026</v>
      </c>
      <c r="B840" s="28" t="s">
        <v>82</v>
      </c>
      <c r="C840" s="29" t="n">
        <v>46237</v>
      </c>
      <c r="D840" s="30" t="s">
        <v>125</v>
      </c>
      <c r="E840" s="28" t="s">
        <v>639</v>
      </c>
      <c r="F840" s="30" t="s">
        <v>640</v>
      </c>
      <c r="G840" s="31" t="n">
        <v>40591</v>
      </c>
      <c r="H840" s="31" t="n">
        <v>2</v>
      </c>
      <c r="I840" s="31" t="n">
        <v>81181</v>
      </c>
      <c r="J840" s="29" t="n">
        <v>46238</v>
      </c>
      <c r="K840" s="31" t="n">
        <v>37612</v>
      </c>
      <c r="L840" s="30" t="s">
        <v>32</v>
      </c>
      <c r="M840" s="10" t="n">
        <v>1</v>
      </c>
      <c r="N840" s="12" t="n">
        <v>-6130</v>
      </c>
      <c r="O840" s="13" t="n">
        <v>-0.0755140084329972</v>
      </c>
      <c r="P840" s="15" t="n">
        <v>-0.0428806705008924</v>
      </c>
      <c r="Q840" s="13" t="n">
        <v>-0.121716754269159</v>
      </c>
      <c r="R840" s="15" t="n">
        <v>0.0770252324037184</v>
      </c>
      <c r="S840" s="32" t="n">
        <v>25980263350</v>
      </c>
      <c r="T840" s="15" t="n">
        <v>0.0685111989459815</v>
      </c>
      <c r="U840" s="32" t="n">
        <v>8590325362.5</v>
      </c>
      <c r="V840" s="14" t="n">
        <v>2.57239331664435</v>
      </c>
      <c r="W840" s="13" t="n">
        <v>0.0318066157760815</v>
      </c>
      <c r="X840" s="15" t="n">
        <v>0.0591861898890258</v>
      </c>
      <c r="Y840" s="13" t="n">
        <v>-0.051247450894177</v>
      </c>
      <c r="Z840" s="13" t="n">
        <v>-0.0737593901491322</v>
      </c>
      <c r="AA840" s="30" t="s">
        <v>96</v>
      </c>
      <c r="AB840" s="28" t="s">
        <v>94</v>
      </c>
      <c r="AC840" s="28" t="s">
        <v>101</v>
      </c>
      <c r="AD840" s="28" t="s">
        <v>106</v>
      </c>
      <c r="AE840" s="28" t="s">
        <v>101</v>
      </c>
      <c r="AF840" s="28" t="s">
        <v>117</v>
      </c>
      <c r="AG840" s="30" t="s">
        <v>122</v>
      </c>
    </row>
    <row r="841" customFormat="false" ht="15" hidden="false" customHeight="false" outlineLevel="0" collapsed="false">
      <c r="A841" s="10" t="n">
        <v>2026</v>
      </c>
      <c r="B841" s="28" t="s">
        <v>82</v>
      </c>
      <c r="C841" s="29" t="n">
        <v>46238</v>
      </c>
      <c r="D841" s="30" t="s">
        <v>126</v>
      </c>
      <c r="E841" s="28" t="s">
        <v>961</v>
      </c>
      <c r="F841" s="30" t="s">
        <v>962</v>
      </c>
      <c r="G841" s="31" t="n">
        <v>23724</v>
      </c>
      <c r="H841" s="31" t="n">
        <v>4</v>
      </c>
      <c r="I841" s="31" t="n">
        <v>94895</v>
      </c>
      <c r="J841" s="29" t="n">
        <v>46248</v>
      </c>
      <c r="K841" s="31" t="n">
        <v>28500</v>
      </c>
      <c r="L841" s="30" t="s">
        <v>31</v>
      </c>
      <c r="M841" s="10" t="n">
        <v>8</v>
      </c>
      <c r="N841" s="12" t="n">
        <v>18846</v>
      </c>
      <c r="O841" s="13" t="n">
        <v>0.198597455076569</v>
      </c>
      <c r="P841" s="15" t="n">
        <v>0.270881017716461</v>
      </c>
      <c r="Q841" s="13" t="n">
        <v>-0.043150941885119</v>
      </c>
      <c r="R841" s="15" t="n">
        <v>0.0237580993520519</v>
      </c>
      <c r="S841" s="32" t="n">
        <v>61049801700</v>
      </c>
      <c r="T841" s="15" t="n">
        <v>0.0106609808102345</v>
      </c>
      <c r="U841" s="32" t="n">
        <v>45169066835.5</v>
      </c>
      <c r="V841" s="14" t="n">
        <v>1.23328669143064</v>
      </c>
      <c r="W841" s="13" t="n">
        <v>0.0509977827050998</v>
      </c>
      <c r="X841" s="15" t="n">
        <v>0.0358649789029535</v>
      </c>
      <c r="Y841" s="13" t="n">
        <v>0.0162206649673589</v>
      </c>
      <c r="Z841" s="13" t="n">
        <v>0.0556621721677519</v>
      </c>
      <c r="AA841" s="30" t="s">
        <v>96</v>
      </c>
      <c r="AB841" s="28" t="s">
        <v>93</v>
      </c>
      <c r="AC841" s="28" t="s">
        <v>99</v>
      </c>
      <c r="AD841" s="28" t="s">
        <v>108</v>
      </c>
      <c r="AE841" s="28" t="s">
        <v>112</v>
      </c>
      <c r="AF841" s="28" t="s">
        <v>116</v>
      </c>
      <c r="AG841" s="30" t="s">
        <v>122</v>
      </c>
    </row>
    <row r="842" customFormat="false" ht="15" hidden="false" customHeight="false" outlineLevel="0" collapsed="false">
      <c r="A842" s="10" t="n">
        <v>2026</v>
      </c>
      <c r="B842" s="28" t="s">
        <v>82</v>
      </c>
      <c r="C842" s="29" t="n">
        <v>46238</v>
      </c>
      <c r="D842" s="30" t="s">
        <v>126</v>
      </c>
      <c r="E842" s="28" t="s">
        <v>749</v>
      </c>
      <c r="F842" s="30" t="s">
        <v>750</v>
      </c>
      <c r="G842" s="31" t="n">
        <v>29930</v>
      </c>
      <c r="H842" s="31" t="n">
        <v>3</v>
      </c>
      <c r="I842" s="31" t="n">
        <v>89790</v>
      </c>
      <c r="J842" s="29" t="n">
        <v>46255</v>
      </c>
      <c r="K842" s="31" t="n">
        <v>28472</v>
      </c>
      <c r="L842" s="30" t="s">
        <v>32</v>
      </c>
      <c r="M842" s="10" t="n">
        <v>12</v>
      </c>
      <c r="N842" s="12" t="n">
        <v>-4572</v>
      </c>
      <c r="O842" s="13" t="n">
        <v>-0.0509224290759408</v>
      </c>
      <c r="P842" s="15" t="n">
        <v>0.10591749387736</v>
      </c>
      <c r="Q842" s="13" t="n">
        <v>-0.0628100995993972</v>
      </c>
      <c r="R842" s="15" t="n">
        <v>0.0833333333333333</v>
      </c>
      <c r="S842" s="32" t="n">
        <v>55938205700</v>
      </c>
      <c r="T842" s="15" t="n">
        <v>0.0381944444444444</v>
      </c>
      <c r="U842" s="32" t="n">
        <v>33882948042.5</v>
      </c>
      <c r="V842" s="14" t="n">
        <v>1.43159352830223</v>
      </c>
      <c r="W842" s="13" t="n">
        <v>0.0640569395017794</v>
      </c>
      <c r="X842" s="15" t="n">
        <v>0.0100334448160535</v>
      </c>
      <c r="Y842" s="13" t="n">
        <v>0.0162206649673589</v>
      </c>
      <c r="Z842" s="13" t="n">
        <v>0.0556621721677519</v>
      </c>
      <c r="AA842" s="30" t="s">
        <v>96</v>
      </c>
      <c r="AB842" s="28" t="s">
        <v>93</v>
      </c>
      <c r="AC842" s="28" t="s">
        <v>101</v>
      </c>
      <c r="AD842" s="28" t="s">
        <v>108</v>
      </c>
      <c r="AE842" s="28" t="s">
        <v>113</v>
      </c>
      <c r="AF842" s="28" t="s">
        <v>116</v>
      </c>
      <c r="AG842" s="30" t="s">
        <v>122</v>
      </c>
    </row>
    <row r="843" customFormat="false" ht="15" hidden="false" customHeight="false" outlineLevel="0" collapsed="false">
      <c r="A843" s="10" t="n">
        <v>2026</v>
      </c>
      <c r="B843" s="28" t="s">
        <v>82</v>
      </c>
      <c r="C843" s="29" t="n">
        <v>46239</v>
      </c>
      <c r="D843" s="30" t="s">
        <v>127</v>
      </c>
      <c r="E843" s="28" t="s">
        <v>379</v>
      </c>
      <c r="F843" s="30" t="s">
        <v>380</v>
      </c>
      <c r="G843" s="31" t="n">
        <v>49149</v>
      </c>
      <c r="H843" s="31" t="n">
        <v>2</v>
      </c>
      <c r="I843" s="31" t="n">
        <v>98298</v>
      </c>
      <c r="J843" s="29" t="n">
        <v>46253</v>
      </c>
      <c r="K843" s="31" t="n">
        <v>45854</v>
      </c>
      <c r="L843" s="30" t="s">
        <v>32</v>
      </c>
      <c r="M843" s="10" t="n">
        <v>9</v>
      </c>
      <c r="N843" s="12" t="n">
        <v>-6802</v>
      </c>
      <c r="O843" s="13" t="n">
        <v>-0.0691967641319983</v>
      </c>
      <c r="P843" s="15" t="n">
        <v>0.0457973798095999</v>
      </c>
      <c r="Q843" s="13" t="n">
        <v>-0.0783147605958195</v>
      </c>
      <c r="R843" s="15" t="n">
        <v>0.0282722513089004</v>
      </c>
      <c r="S843" s="32" t="n">
        <v>120375573100</v>
      </c>
      <c r="T843" s="15" t="n">
        <v>0.0282722513089004</v>
      </c>
      <c r="U843" s="32" t="n">
        <v>104105542152.5</v>
      </c>
      <c r="V843" s="14" t="n">
        <v>1.03789456220038</v>
      </c>
      <c r="W843" s="13" t="n">
        <v>0.0102880658436213</v>
      </c>
      <c r="X843" s="15" t="n">
        <v>0.0112016293279023</v>
      </c>
      <c r="Y843" s="13" t="n">
        <v>0.0376335715802139</v>
      </c>
      <c r="Z843" s="13" t="n">
        <v>0.165103368389826</v>
      </c>
      <c r="AA843" s="30" t="s">
        <v>96</v>
      </c>
      <c r="AB843" s="28" t="s">
        <v>93</v>
      </c>
      <c r="AC843" s="28" t="s">
        <v>99</v>
      </c>
      <c r="AD843" s="28" t="s">
        <v>109</v>
      </c>
      <c r="AE843" s="28" t="s">
        <v>113</v>
      </c>
      <c r="AF843" s="28" t="s">
        <v>116</v>
      </c>
      <c r="AG843" s="30" t="s">
        <v>122</v>
      </c>
    </row>
    <row r="844" customFormat="false" ht="15" hidden="false" customHeight="false" outlineLevel="0" collapsed="false">
      <c r="A844" s="10" t="n">
        <v>2026</v>
      </c>
      <c r="B844" s="28" t="s">
        <v>82</v>
      </c>
      <c r="C844" s="29" t="n">
        <v>46239</v>
      </c>
      <c r="D844" s="30" t="s">
        <v>127</v>
      </c>
      <c r="E844" s="28" t="s">
        <v>589</v>
      </c>
      <c r="F844" s="30" t="s">
        <v>590</v>
      </c>
      <c r="G844" s="31" t="n">
        <v>91992</v>
      </c>
      <c r="H844" s="31" t="n">
        <v>1</v>
      </c>
      <c r="I844" s="31" t="n">
        <v>91992</v>
      </c>
      <c r="J844" s="29" t="n">
        <v>46241</v>
      </c>
      <c r="K844" s="31" t="n">
        <v>87512</v>
      </c>
      <c r="L844" s="30" t="s">
        <v>32</v>
      </c>
      <c r="M844" s="10" t="n">
        <v>2</v>
      </c>
      <c r="N844" s="12" t="n">
        <v>-4681</v>
      </c>
      <c r="O844" s="13" t="n">
        <v>-0.0508898114399204</v>
      </c>
      <c r="P844" s="15" t="n">
        <v>0.0076974168377868</v>
      </c>
      <c r="Q844" s="13" t="n">
        <v>-0.0499163513309323</v>
      </c>
      <c r="R844" s="15" t="n">
        <v>0.0502857142857143</v>
      </c>
      <c r="S844" s="32" t="n">
        <v>103507889000</v>
      </c>
      <c r="T844" s="15" t="n">
        <v>0.0222469410456063</v>
      </c>
      <c r="U844" s="32" t="n">
        <v>183683020310</v>
      </c>
      <c r="V844" s="14" t="n">
        <v>0.510445920382292</v>
      </c>
      <c r="W844" s="13" t="n">
        <v>0.0302690582959642</v>
      </c>
      <c r="X844" s="15" t="n">
        <v>0.00108813928182805</v>
      </c>
      <c r="Y844" s="13" t="n">
        <v>0.0376335715802139</v>
      </c>
      <c r="Z844" s="13" t="n">
        <v>0.165103368389826</v>
      </c>
      <c r="AA844" s="30" t="s">
        <v>96</v>
      </c>
      <c r="AB844" s="28" t="s">
        <v>93</v>
      </c>
      <c r="AC844" s="28" t="s">
        <v>101</v>
      </c>
      <c r="AD844" s="28" t="s">
        <v>109</v>
      </c>
      <c r="AE844" s="28" t="s">
        <v>113</v>
      </c>
      <c r="AF844" s="28" t="s">
        <v>116</v>
      </c>
      <c r="AG844" s="30" t="s">
        <v>122</v>
      </c>
    </row>
    <row r="845" customFormat="false" ht="15" hidden="false" customHeight="false" outlineLevel="0" collapsed="false">
      <c r="A845" s="10" t="n">
        <v>2026</v>
      </c>
      <c r="B845" s="28" t="s">
        <v>82</v>
      </c>
      <c r="C845" s="29" t="n">
        <v>46239</v>
      </c>
      <c r="D845" s="30" t="s">
        <v>127</v>
      </c>
      <c r="E845" s="28" t="s">
        <v>1069</v>
      </c>
      <c r="F845" s="30" t="s">
        <v>1070</v>
      </c>
      <c r="G845" s="31" t="n">
        <v>7067</v>
      </c>
      <c r="H845" s="31" t="n">
        <v>14</v>
      </c>
      <c r="I845" s="31" t="n">
        <v>98939</v>
      </c>
      <c r="J845" s="29" t="n">
        <v>46240</v>
      </c>
      <c r="K845" s="31" t="n">
        <v>6723</v>
      </c>
      <c r="L845" s="30" t="s">
        <v>32</v>
      </c>
      <c r="M845" s="10" t="n">
        <v>1</v>
      </c>
      <c r="N845" s="12" t="n">
        <v>-5030</v>
      </c>
      <c r="O845" s="13" t="n">
        <v>-0.0508422299372018</v>
      </c>
      <c r="P845" s="15" t="n">
        <v>0.0230562638494651</v>
      </c>
      <c r="Q845" s="13" t="n">
        <v>-0.0802398734410065</v>
      </c>
      <c r="R845" s="15" t="n">
        <v>0.213058419243986</v>
      </c>
      <c r="S845" s="32" t="n">
        <v>102020854760</v>
      </c>
      <c r="T845" s="15" t="n">
        <v>0.0537313432835822</v>
      </c>
      <c r="U845" s="32" t="n">
        <v>9720737928.5</v>
      </c>
      <c r="V845" s="14" t="n">
        <v>8.88227356959002</v>
      </c>
      <c r="W845" s="13" t="n">
        <v>0.0537313432835822</v>
      </c>
      <c r="X845" s="15" t="n">
        <v>0.0609065155807365</v>
      </c>
      <c r="Y845" s="13" t="n">
        <v>0.0376335715802139</v>
      </c>
      <c r="Z845" s="13" t="n">
        <v>0.165103368389826</v>
      </c>
      <c r="AA845" s="30" t="s">
        <v>96</v>
      </c>
      <c r="AB845" s="28" t="s">
        <v>93</v>
      </c>
      <c r="AC845" s="28" t="s">
        <v>104</v>
      </c>
      <c r="AD845" s="28" t="s">
        <v>109</v>
      </c>
      <c r="AE845" s="28" t="s">
        <v>101</v>
      </c>
      <c r="AF845" s="28" t="s">
        <v>119</v>
      </c>
      <c r="AG845" s="30" t="s">
        <v>122</v>
      </c>
    </row>
    <row r="846" customFormat="false" ht="15" hidden="false" customHeight="false" outlineLevel="0" collapsed="false">
      <c r="A846" s="10" t="n">
        <v>2026</v>
      </c>
      <c r="B846" s="28" t="s">
        <v>82</v>
      </c>
      <c r="C846" s="29" t="n">
        <v>46239</v>
      </c>
      <c r="D846" s="30" t="s">
        <v>127</v>
      </c>
      <c r="E846" s="28" t="s">
        <v>607</v>
      </c>
      <c r="F846" s="30" t="s">
        <v>608</v>
      </c>
      <c r="G846" s="31" t="n">
        <v>11742</v>
      </c>
      <c r="H846" s="31" t="n">
        <v>8</v>
      </c>
      <c r="I846" s="31" t="n">
        <v>93934</v>
      </c>
      <c r="J846" s="29" t="n">
        <v>46240</v>
      </c>
      <c r="K846" s="31" t="n">
        <v>11169</v>
      </c>
      <c r="L846" s="30" t="s">
        <v>32</v>
      </c>
      <c r="M846" s="10" t="n">
        <v>1</v>
      </c>
      <c r="N846" s="12" t="n">
        <v>-4789</v>
      </c>
      <c r="O846" s="13" t="n">
        <v>-0.0509877354103697</v>
      </c>
      <c r="P846" s="15" t="n">
        <v>-0.000999000999000965</v>
      </c>
      <c r="Q846" s="13" t="n">
        <v>-0.0870169898302891</v>
      </c>
      <c r="R846" s="15" t="n">
        <v>0.0821033210332103</v>
      </c>
      <c r="S846" s="32" t="n">
        <v>55244710620</v>
      </c>
      <c r="T846" s="15" t="n">
        <v>0.0463871543264942</v>
      </c>
      <c r="U846" s="32" t="n">
        <v>31273939129.5</v>
      </c>
      <c r="V846" s="14" t="n">
        <v>1.49921648911681</v>
      </c>
      <c r="W846" s="13" t="n">
        <v>0.0289473684210526</v>
      </c>
      <c r="X846" s="15" t="n">
        <v>0.0161977834612106</v>
      </c>
      <c r="Y846" s="13" t="n">
        <v>0.0376335715802139</v>
      </c>
      <c r="Z846" s="13" t="n">
        <v>0.165103368389826</v>
      </c>
      <c r="AA846" s="30" t="s">
        <v>96</v>
      </c>
      <c r="AB846" s="28" t="s">
        <v>93</v>
      </c>
      <c r="AC846" s="28" t="s">
        <v>101</v>
      </c>
      <c r="AD846" s="28" t="s">
        <v>108</v>
      </c>
      <c r="AE846" s="28" t="s">
        <v>113</v>
      </c>
      <c r="AF846" s="28" t="s">
        <v>116</v>
      </c>
      <c r="AG846" s="30" t="s">
        <v>122</v>
      </c>
    </row>
    <row r="847" customFormat="false" ht="15" hidden="false" customHeight="false" outlineLevel="0" collapsed="false">
      <c r="A847" s="10" t="n">
        <v>2026</v>
      </c>
      <c r="B847" s="28" t="s">
        <v>82</v>
      </c>
      <c r="C847" s="29" t="n">
        <v>46239</v>
      </c>
      <c r="D847" s="30" t="s">
        <v>127</v>
      </c>
      <c r="E847" s="28" t="s">
        <v>1129</v>
      </c>
      <c r="F847" s="30" t="s">
        <v>1130</v>
      </c>
      <c r="G847" s="31" t="n">
        <v>13764</v>
      </c>
      <c r="H847" s="31" t="n">
        <v>7</v>
      </c>
      <c r="I847" s="31" t="n">
        <v>96346</v>
      </c>
      <c r="J847" s="29" t="n">
        <v>46240</v>
      </c>
      <c r="K847" s="31" t="n">
        <v>13097</v>
      </c>
      <c r="L847" s="30" t="s">
        <v>32</v>
      </c>
      <c r="M847" s="10" t="n">
        <v>1</v>
      </c>
      <c r="N847" s="12" t="n">
        <v>-4880</v>
      </c>
      <c r="O847" s="13" t="n">
        <v>-0.0506462901462175</v>
      </c>
      <c r="P847" s="15" t="n">
        <v>0.011352284079557</v>
      </c>
      <c r="Q847" s="13" t="n">
        <v>-0.0722005267459812</v>
      </c>
      <c r="R847" s="15" t="n">
        <v>0.107977437550363</v>
      </c>
      <c r="S847" s="32" t="n">
        <v>48955115000</v>
      </c>
      <c r="T847" s="15" t="n">
        <v>0.0245901639344262</v>
      </c>
      <c r="U847" s="32" t="n">
        <v>8791728827.5</v>
      </c>
      <c r="V847" s="14" t="n">
        <v>4.94859523573736</v>
      </c>
      <c r="W847" s="13" t="n">
        <v>-0.00362318840579712</v>
      </c>
      <c r="X847" s="15" t="n">
        <v>0.0887272727272728</v>
      </c>
      <c r="Y847" s="13" t="n">
        <v>0.0376335715802139</v>
      </c>
      <c r="Z847" s="13" t="n">
        <v>0.165103368389826</v>
      </c>
      <c r="AA847" s="30" t="s">
        <v>96</v>
      </c>
      <c r="AB847" s="28" t="s">
        <v>93</v>
      </c>
      <c r="AC847" s="28" t="s">
        <v>102</v>
      </c>
      <c r="AD847" s="28" t="s">
        <v>107</v>
      </c>
      <c r="AE847" s="28" t="s">
        <v>113</v>
      </c>
      <c r="AF847" s="28" t="s">
        <v>118</v>
      </c>
      <c r="AG847" s="30" t="s">
        <v>123</v>
      </c>
    </row>
    <row r="848" customFormat="false" ht="15" hidden="false" customHeight="false" outlineLevel="0" collapsed="false">
      <c r="A848" s="10" t="n">
        <v>2026</v>
      </c>
      <c r="B848" s="28" t="s">
        <v>82</v>
      </c>
      <c r="C848" s="29" t="n">
        <v>46239</v>
      </c>
      <c r="D848" s="30" t="s">
        <v>127</v>
      </c>
      <c r="E848" s="28" t="s">
        <v>405</v>
      </c>
      <c r="F848" s="28" t="s">
        <v>406</v>
      </c>
      <c r="G848" s="31" t="n">
        <v>50651</v>
      </c>
      <c r="H848" s="31" t="n">
        <v>1</v>
      </c>
      <c r="I848" s="31" t="n">
        <v>50651</v>
      </c>
      <c r="J848" s="29" t="n">
        <v>46265</v>
      </c>
      <c r="K848" s="31" t="n">
        <v>48202</v>
      </c>
      <c r="L848" s="30" t="s">
        <v>32</v>
      </c>
      <c r="M848" s="10" t="n">
        <v>17</v>
      </c>
      <c r="N848" s="12" t="n">
        <v>-2560</v>
      </c>
      <c r="O848" s="13" t="n">
        <v>-0.0505439491832278</v>
      </c>
      <c r="P848" s="15" t="n">
        <v>0.145099959329209</v>
      </c>
      <c r="Q848" s="13" t="n">
        <v>-0.0582539989654612</v>
      </c>
      <c r="R848" s="15" t="n">
        <v>0.0379487179487179</v>
      </c>
      <c r="S848" s="32" t="n">
        <v>41670263800</v>
      </c>
      <c r="T848" s="15" t="n">
        <v>0.0211907164480323</v>
      </c>
      <c r="U848" s="32" t="n">
        <v>32673600477.5</v>
      </c>
      <c r="V848" s="14" t="n">
        <v>1.14924805550846</v>
      </c>
      <c r="W848" s="13" t="n">
        <v>0.0284552845528456</v>
      </c>
      <c r="X848" s="15" t="n">
        <v>0.0256916996047432</v>
      </c>
      <c r="Y848" s="13" t="n">
        <v>0.0376335715802139</v>
      </c>
      <c r="Z848" s="13" t="n">
        <v>0.165103368389826</v>
      </c>
      <c r="AA848" s="30" t="s">
        <v>96</v>
      </c>
      <c r="AB848" s="28" t="s">
        <v>93</v>
      </c>
      <c r="AC848" s="28" t="s">
        <v>100</v>
      </c>
      <c r="AD848" s="28" t="s">
        <v>107</v>
      </c>
      <c r="AE848" s="28" t="s">
        <v>113</v>
      </c>
      <c r="AF848" s="28" t="s">
        <v>116</v>
      </c>
      <c r="AG848" s="30" t="s">
        <v>122</v>
      </c>
    </row>
    <row r="849" customFormat="false" ht="15" hidden="false" customHeight="false" outlineLevel="0" collapsed="false">
      <c r="A849" s="10" t="n">
        <v>2026</v>
      </c>
      <c r="B849" s="28" t="s">
        <v>82</v>
      </c>
      <c r="C849" s="29" t="n">
        <v>46239</v>
      </c>
      <c r="D849" s="30" t="s">
        <v>127</v>
      </c>
      <c r="E849" s="28" t="s">
        <v>673</v>
      </c>
      <c r="F849" s="28" t="s">
        <v>674</v>
      </c>
      <c r="G849" s="31" t="n">
        <v>70971</v>
      </c>
      <c r="H849" s="31" t="n">
        <v>1</v>
      </c>
      <c r="I849" s="31" t="n">
        <v>70971</v>
      </c>
      <c r="J849" s="29" t="n">
        <v>46253</v>
      </c>
      <c r="K849" s="31" t="n">
        <v>67333</v>
      </c>
      <c r="L849" s="30" t="s">
        <v>32</v>
      </c>
      <c r="M849" s="10" t="n">
        <v>9</v>
      </c>
      <c r="N849" s="12" t="n">
        <v>-3794</v>
      </c>
      <c r="O849" s="13" t="n">
        <v>-0.053454454219969</v>
      </c>
      <c r="P849" s="15" t="n">
        <v>0.0779065786117974</v>
      </c>
      <c r="Q849" s="13" t="n">
        <v>-0.0601781857070995</v>
      </c>
      <c r="R849" s="15" t="n">
        <v>0.0742424242424242</v>
      </c>
      <c r="S849" s="32" t="n">
        <v>32818546500</v>
      </c>
      <c r="T849" s="15" t="n">
        <v>0.0742424242424242</v>
      </c>
      <c r="U849" s="32" t="n">
        <v>20604982215</v>
      </c>
      <c r="V849" s="14" t="n">
        <v>1.36017391043718</v>
      </c>
      <c r="W849" s="13" t="n">
        <v>0.0472673559822747</v>
      </c>
      <c r="X849" s="15" t="n">
        <v>0.00141043723554302</v>
      </c>
      <c r="Y849" s="13" t="n">
        <v>0.0376335715802139</v>
      </c>
      <c r="Z849" s="13" t="n">
        <v>0.165103368389826</v>
      </c>
      <c r="AA849" s="30" t="s">
        <v>96</v>
      </c>
      <c r="AB849" s="28" t="s">
        <v>93</v>
      </c>
      <c r="AC849" s="28" t="s">
        <v>101</v>
      </c>
      <c r="AD849" s="28" t="s">
        <v>107</v>
      </c>
      <c r="AE849" s="28" t="s">
        <v>101</v>
      </c>
      <c r="AF849" s="28" t="s">
        <v>116</v>
      </c>
      <c r="AG849" s="30" t="s">
        <v>122</v>
      </c>
    </row>
    <row r="850" customFormat="false" ht="15" hidden="false" customHeight="false" outlineLevel="0" collapsed="false">
      <c r="A850" s="10" t="n">
        <v>2026</v>
      </c>
      <c r="B850" s="28" t="s">
        <v>82</v>
      </c>
      <c r="C850" s="29" t="n">
        <v>46240</v>
      </c>
      <c r="D850" s="30" t="s">
        <v>128</v>
      </c>
      <c r="E850" s="28" t="s">
        <v>1131</v>
      </c>
      <c r="F850" s="30" t="s">
        <v>1132</v>
      </c>
      <c r="G850" s="31" t="n">
        <v>31932</v>
      </c>
      <c r="H850" s="31" t="n">
        <v>3</v>
      </c>
      <c r="I850" s="31" t="n">
        <v>95796</v>
      </c>
      <c r="J850" s="29" t="n">
        <v>46241</v>
      </c>
      <c r="K850" s="31" t="n">
        <v>30370</v>
      </c>
      <c r="L850" s="30" t="s">
        <v>32</v>
      </c>
      <c r="M850" s="10" t="n">
        <v>1</v>
      </c>
      <c r="N850" s="12" t="n">
        <v>-4897</v>
      </c>
      <c r="O850" s="13" t="n">
        <v>-0.0511208047438455</v>
      </c>
      <c r="P850" s="15" t="n">
        <v>0.0130934895825179</v>
      </c>
      <c r="Q850" s="13" t="n">
        <v>-0.120002254798493</v>
      </c>
      <c r="R850" s="15" t="n">
        <v>0.0704697986577181</v>
      </c>
      <c r="S850" s="32" t="n">
        <v>289777335100</v>
      </c>
      <c r="T850" s="15" t="n">
        <v>0.0580431177446104</v>
      </c>
      <c r="U850" s="32" t="n">
        <v>76646986845.5</v>
      </c>
      <c r="V850" s="14" t="n">
        <v>3.05779498169306</v>
      </c>
      <c r="W850" s="13" t="n">
        <v>0.0357142857142858</v>
      </c>
      <c r="X850" s="15" t="n">
        <v>0.0485893416927901</v>
      </c>
      <c r="Y850" s="13" t="n">
        <v>-0.0457514556868023</v>
      </c>
      <c r="Z850" s="13" t="n">
        <v>0.125648066705282</v>
      </c>
      <c r="AA850" s="30" t="s">
        <v>96</v>
      </c>
      <c r="AB850" s="28" t="s">
        <v>93</v>
      </c>
      <c r="AC850" s="28" t="s">
        <v>101</v>
      </c>
      <c r="AD850" s="28" t="s">
        <v>110</v>
      </c>
      <c r="AE850" s="28" t="s">
        <v>101</v>
      </c>
      <c r="AF850" s="28" t="s">
        <v>118</v>
      </c>
      <c r="AG850" s="30" t="s">
        <v>122</v>
      </c>
    </row>
    <row r="851" customFormat="false" ht="15" hidden="false" customHeight="false" outlineLevel="0" collapsed="false">
      <c r="A851" s="10" t="n">
        <v>2026</v>
      </c>
      <c r="B851" s="28" t="s">
        <v>82</v>
      </c>
      <c r="C851" s="29" t="n">
        <v>46240</v>
      </c>
      <c r="D851" s="30" t="s">
        <v>128</v>
      </c>
      <c r="E851" s="28" t="s">
        <v>1133</v>
      </c>
      <c r="F851" s="28" t="s">
        <v>1134</v>
      </c>
      <c r="G851" s="31" t="n">
        <v>2332</v>
      </c>
      <c r="H851" s="31" t="n">
        <v>42</v>
      </c>
      <c r="I851" s="31" t="n">
        <v>97958</v>
      </c>
      <c r="J851" s="29" t="n">
        <v>46241</v>
      </c>
      <c r="K851" s="31" t="n">
        <v>2218</v>
      </c>
      <c r="L851" s="30" t="s">
        <v>32</v>
      </c>
      <c r="M851" s="10" t="n">
        <v>1</v>
      </c>
      <c r="N851" s="12" t="n">
        <v>-5026</v>
      </c>
      <c r="O851" s="13" t="n">
        <v>-0.0513083811038747</v>
      </c>
      <c r="P851" s="15" t="n">
        <v>0.0440203573250784</v>
      </c>
      <c r="Q851" s="13" t="n">
        <v>-0.10390039145404</v>
      </c>
      <c r="R851" s="15" t="n">
        <v>0.162094763092269</v>
      </c>
      <c r="S851" s="32" t="n">
        <v>74750503130</v>
      </c>
      <c r="T851" s="15" t="n">
        <v>0.0862470862470863</v>
      </c>
      <c r="U851" s="32" t="n">
        <v>27107975183.4</v>
      </c>
      <c r="V851" s="14" t="n">
        <v>2.23147383677943</v>
      </c>
      <c r="W851" s="13" t="n">
        <v>0.153465346534653</v>
      </c>
      <c r="X851" s="15" t="n">
        <v>0.0879828326180256</v>
      </c>
      <c r="Y851" s="13" t="n">
        <v>-0.0457514556868023</v>
      </c>
      <c r="Z851" s="13" t="n">
        <v>0.125648066705282</v>
      </c>
      <c r="AA851" s="30" t="s">
        <v>96</v>
      </c>
      <c r="AB851" s="28" t="s">
        <v>93</v>
      </c>
      <c r="AC851" s="28" t="s">
        <v>103</v>
      </c>
      <c r="AD851" s="28" t="s">
        <v>108</v>
      </c>
      <c r="AE851" s="28" t="s">
        <v>101</v>
      </c>
      <c r="AF851" s="28" t="s">
        <v>117</v>
      </c>
      <c r="AG851" s="30" t="s">
        <v>122</v>
      </c>
    </row>
    <row r="852" customFormat="false" ht="15" hidden="false" customHeight="false" outlineLevel="0" collapsed="false">
      <c r="A852" s="10" t="n">
        <v>2026</v>
      </c>
      <c r="B852" s="28" t="s">
        <v>82</v>
      </c>
      <c r="C852" s="29" t="n">
        <v>46240</v>
      </c>
      <c r="D852" s="30" t="s">
        <v>128</v>
      </c>
      <c r="E852" s="28" t="s">
        <v>893</v>
      </c>
      <c r="F852" s="30" t="s">
        <v>894</v>
      </c>
      <c r="G852" s="31" t="n">
        <v>15956</v>
      </c>
      <c r="H852" s="31" t="n">
        <v>6</v>
      </c>
      <c r="I852" s="31" t="n">
        <v>95736</v>
      </c>
      <c r="J852" s="29" t="n">
        <v>46241</v>
      </c>
      <c r="K852" s="31" t="n">
        <v>14885</v>
      </c>
      <c r="L852" s="30" t="s">
        <v>32</v>
      </c>
      <c r="M852" s="10" t="n">
        <v>1</v>
      </c>
      <c r="N852" s="12" t="n">
        <v>-6631</v>
      </c>
      <c r="O852" s="13" t="n">
        <v>-0.0692680190574795</v>
      </c>
      <c r="P852" s="15" t="n">
        <v>-0.0636715856289256</v>
      </c>
      <c r="Q852" s="13" t="n">
        <v>-0.143892493955229</v>
      </c>
      <c r="R852" s="15" t="n">
        <v>0.223330775134305</v>
      </c>
      <c r="S852" s="32" t="n">
        <v>73503978540</v>
      </c>
      <c r="T852" s="15" t="n">
        <v>0.0993103448275863</v>
      </c>
      <c r="U852" s="32" t="n">
        <v>7373968533</v>
      </c>
      <c r="V852" s="14" t="n">
        <v>7.81934303010859</v>
      </c>
      <c r="W852" s="13" t="n">
        <v>0.154236060825489</v>
      </c>
      <c r="X852" s="15" t="n">
        <v>0.0614805520702635</v>
      </c>
      <c r="Y852" s="13" t="n">
        <v>-0.0457514556868023</v>
      </c>
      <c r="Z852" s="13" t="n">
        <v>0.125648066705282</v>
      </c>
      <c r="AA852" s="30" t="s">
        <v>96</v>
      </c>
      <c r="AB852" s="28" t="s">
        <v>93</v>
      </c>
      <c r="AC852" s="28" t="s">
        <v>104</v>
      </c>
      <c r="AD852" s="28" t="s">
        <v>108</v>
      </c>
      <c r="AE852" s="28" t="s">
        <v>101</v>
      </c>
      <c r="AF852" s="28" t="s">
        <v>119</v>
      </c>
      <c r="AG852" s="30" t="s">
        <v>122</v>
      </c>
    </row>
    <row r="853" customFormat="false" ht="15" hidden="false" customHeight="false" outlineLevel="0" collapsed="false">
      <c r="A853" s="10" t="n">
        <v>2026</v>
      </c>
      <c r="B853" s="28" t="s">
        <v>82</v>
      </c>
      <c r="C853" s="29" t="n">
        <v>46241</v>
      </c>
      <c r="D853" s="30" t="s">
        <v>129</v>
      </c>
      <c r="E853" s="28" t="s">
        <v>653</v>
      </c>
      <c r="F853" s="30" t="s">
        <v>654</v>
      </c>
      <c r="G853" s="31" t="n">
        <v>33934</v>
      </c>
      <c r="H853" s="31" t="n">
        <v>2</v>
      </c>
      <c r="I853" s="31" t="n">
        <v>67868</v>
      </c>
      <c r="J853" s="29" t="n">
        <v>46253</v>
      </c>
      <c r="K853" s="31" t="n">
        <v>32268</v>
      </c>
      <c r="L853" s="30" t="s">
        <v>32</v>
      </c>
      <c r="M853" s="10" t="n">
        <v>7</v>
      </c>
      <c r="N853" s="12" t="n">
        <v>-3481</v>
      </c>
      <c r="O853" s="13" t="n">
        <v>-0.0512957732532953</v>
      </c>
      <c r="P853" s="15" t="n">
        <v>0.127191392678119</v>
      </c>
      <c r="Q853" s="13" t="n">
        <v>-0.0481494906273666</v>
      </c>
      <c r="R853" s="15" t="n">
        <v>0.115131578947368</v>
      </c>
      <c r="S853" s="32" t="n">
        <v>679696491600</v>
      </c>
      <c r="T853" s="15" t="n">
        <v>0.059375</v>
      </c>
      <c r="U853" s="32" t="n">
        <v>102998410480</v>
      </c>
      <c r="V853" s="14" t="n">
        <v>5.42542988928521</v>
      </c>
      <c r="W853" s="13" t="n">
        <v>0.0272727272727273</v>
      </c>
      <c r="X853" s="15" t="n">
        <v>0.137168141592921</v>
      </c>
      <c r="Y853" s="13" t="n">
        <v>-0.00597327353177535</v>
      </c>
      <c r="Z853" s="13" t="n">
        <v>-0.0510473129202707</v>
      </c>
      <c r="AA853" s="30" t="s">
        <v>96</v>
      </c>
      <c r="AB853" s="28" t="s">
        <v>94</v>
      </c>
      <c r="AC853" s="28" t="s">
        <v>102</v>
      </c>
      <c r="AD853" s="28" t="s">
        <v>110</v>
      </c>
      <c r="AE853" s="28" t="s">
        <v>101</v>
      </c>
      <c r="AF853" s="28" t="s">
        <v>119</v>
      </c>
      <c r="AG853" s="30" t="s">
        <v>122</v>
      </c>
    </row>
    <row r="854" customFormat="false" ht="15" hidden="false" customHeight="false" outlineLevel="0" collapsed="false">
      <c r="A854" s="10" t="n">
        <v>2026</v>
      </c>
      <c r="B854" s="28" t="s">
        <v>82</v>
      </c>
      <c r="C854" s="29" t="n">
        <v>46241</v>
      </c>
      <c r="D854" s="30" t="s">
        <v>129</v>
      </c>
      <c r="E854" s="28" t="s">
        <v>1067</v>
      </c>
      <c r="F854" s="30" t="s">
        <v>1068</v>
      </c>
      <c r="G854" s="31" t="n">
        <v>23073</v>
      </c>
      <c r="H854" s="31" t="n">
        <v>4</v>
      </c>
      <c r="I854" s="31" t="n">
        <v>92292</v>
      </c>
      <c r="J854" s="29" t="n">
        <v>46247</v>
      </c>
      <c r="K854" s="31" t="n">
        <v>28000</v>
      </c>
      <c r="L854" s="30" t="s">
        <v>31</v>
      </c>
      <c r="M854" s="10" t="n">
        <v>4</v>
      </c>
      <c r="N854" s="12" t="n">
        <v>19453</v>
      </c>
      <c r="O854" s="13" t="n">
        <v>0.210777900732673</v>
      </c>
      <c r="P854" s="15" t="n">
        <v>0.224372157127038</v>
      </c>
      <c r="Q854" s="13" t="n">
        <v>0.03584051523314</v>
      </c>
      <c r="R854" s="15" t="n">
        <v>0.149625935162095</v>
      </c>
      <c r="S854" s="32" t="n">
        <v>71980632200</v>
      </c>
      <c r="T854" s="15" t="n">
        <v>0.0573394495412845</v>
      </c>
      <c r="U854" s="32" t="n">
        <v>19178109772.5</v>
      </c>
      <c r="V854" s="14" t="n">
        <v>2.97602893152331</v>
      </c>
      <c r="W854" s="13" t="n">
        <v>0.100238663484487</v>
      </c>
      <c r="X854" s="15" t="n">
        <v>0.0563991323210413</v>
      </c>
      <c r="Y854" s="13" t="n">
        <v>-0.00597327353177535</v>
      </c>
      <c r="Z854" s="13" t="n">
        <v>-0.0510473129202707</v>
      </c>
      <c r="AA854" s="30" t="s">
        <v>96</v>
      </c>
      <c r="AB854" s="28" t="s">
        <v>94</v>
      </c>
      <c r="AC854" s="28" t="s">
        <v>102</v>
      </c>
      <c r="AD854" s="28" t="s">
        <v>108</v>
      </c>
      <c r="AE854" s="28" t="s">
        <v>101</v>
      </c>
      <c r="AF854" s="28" t="s">
        <v>117</v>
      </c>
      <c r="AG854" s="30" t="s">
        <v>122</v>
      </c>
    </row>
    <row r="855" customFormat="false" ht="15" hidden="false" customHeight="false" outlineLevel="0" collapsed="false">
      <c r="A855" s="10" t="n">
        <v>2026</v>
      </c>
      <c r="B855" s="28" t="s">
        <v>82</v>
      </c>
      <c r="C855" s="29" t="n">
        <v>46241</v>
      </c>
      <c r="D855" s="30" t="s">
        <v>129</v>
      </c>
      <c r="E855" s="28" t="s">
        <v>645</v>
      </c>
      <c r="F855" s="30" t="s">
        <v>646</v>
      </c>
      <c r="G855" s="31" t="n">
        <v>50250</v>
      </c>
      <c r="H855" s="31" t="n">
        <v>1</v>
      </c>
      <c r="I855" s="31" t="n">
        <v>50250</v>
      </c>
      <c r="J855" s="29" t="n">
        <v>46253</v>
      </c>
      <c r="K855" s="31" t="n">
        <v>46953</v>
      </c>
      <c r="L855" s="30" t="s">
        <v>32</v>
      </c>
      <c r="M855" s="10" t="n">
        <v>7</v>
      </c>
      <c r="N855" s="12" t="n">
        <v>-3406</v>
      </c>
      <c r="O855" s="13" t="n">
        <v>-0.0677745855737887</v>
      </c>
      <c r="P855" s="15" t="n">
        <v>0.152234219963304</v>
      </c>
      <c r="Q855" s="13" t="n">
        <v>-0.0716454859881154</v>
      </c>
      <c r="R855" s="15" t="n">
        <v>0.144811858608894</v>
      </c>
      <c r="S855" s="32" t="n">
        <v>22495875000</v>
      </c>
      <c r="T855" s="15" t="n">
        <v>0.0590717299578059</v>
      </c>
      <c r="U855" s="32" t="n">
        <v>5172667797.5</v>
      </c>
      <c r="V855" s="14" t="n">
        <v>3.58698288413835</v>
      </c>
      <c r="W855" s="13" t="n">
        <v>0.111849390919159</v>
      </c>
      <c r="X855" s="15" t="n">
        <v>0.0358565737051793</v>
      </c>
      <c r="Y855" s="13" t="n">
        <v>-0.00597327353177535</v>
      </c>
      <c r="Z855" s="13" t="n">
        <v>-0.0510473129202707</v>
      </c>
      <c r="AA855" s="30" t="s">
        <v>96</v>
      </c>
      <c r="AB855" s="28" t="s">
        <v>94</v>
      </c>
      <c r="AC855" s="28" t="s">
        <v>102</v>
      </c>
      <c r="AD855" s="28" t="s">
        <v>106</v>
      </c>
      <c r="AE855" s="28" t="s">
        <v>101</v>
      </c>
      <c r="AF855" s="28" t="s">
        <v>118</v>
      </c>
      <c r="AG855" s="30" t="s">
        <v>122</v>
      </c>
    </row>
    <row r="856" customFormat="false" ht="15" hidden="false" customHeight="false" outlineLevel="0" collapsed="false">
      <c r="A856" s="10" t="n">
        <v>2026</v>
      </c>
      <c r="B856" s="28" t="s">
        <v>82</v>
      </c>
      <c r="C856" s="29" t="n">
        <v>46244</v>
      </c>
      <c r="D856" s="30" t="s">
        <v>125</v>
      </c>
      <c r="E856" s="28" t="s">
        <v>911</v>
      </c>
      <c r="F856" s="30" t="s">
        <v>912</v>
      </c>
      <c r="G856" s="31" t="n">
        <v>14054</v>
      </c>
      <c r="H856" s="31" t="n">
        <v>7</v>
      </c>
      <c r="I856" s="31" t="n">
        <v>98378</v>
      </c>
      <c r="J856" s="29" t="n">
        <v>46245</v>
      </c>
      <c r="K856" s="31" t="n">
        <v>13007</v>
      </c>
      <c r="L856" s="30" t="s">
        <v>32</v>
      </c>
      <c r="M856" s="10" t="n">
        <v>1</v>
      </c>
      <c r="N856" s="12" t="n">
        <v>-7540</v>
      </c>
      <c r="O856" s="13" t="n">
        <v>-0.0766422404518559</v>
      </c>
      <c r="P856" s="15" t="n">
        <v>-0.00740285355669967</v>
      </c>
      <c r="Q856" s="13" t="n">
        <v>-0.107018337787569</v>
      </c>
      <c r="R856" s="15" t="n">
        <v>0.225130890052356</v>
      </c>
      <c r="S856" s="32" t="n">
        <v>619140609360</v>
      </c>
      <c r="T856" s="15" t="n">
        <v>0.114285714285714</v>
      </c>
      <c r="U856" s="32" t="n">
        <v>121510910012</v>
      </c>
      <c r="V856" s="14" t="n">
        <v>3.89721379295157</v>
      </c>
      <c r="W856" s="13" t="n">
        <v>0.194893617021277</v>
      </c>
      <c r="X856" s="15" t="n">
        <v>0.0128205128205128</v>
      </c>
      <c r="Y856" s="13" t="n">
        <v>0.00653323256806049</v>
      </c>
      <c r="Z856" s="13" t="n">
        <v>0.00674555929332232</v>
      </c>
      <c r="AA856" s="30" t="s">
        <v>96</v>
      </c>
      <c r="AB856" s="28" t="s">
        <v>93</v>
      </c>
      <c r="AC856" s="28" t="s">
        <v>104</v>
      </c>
      <c r="AD856" s="28" t="s">
        <v>110</v>
      </c>
      <c r="AE856" s="28" t="s">
        <v>114</v>
      </c>
      <c r="AF856" s="28" t="s">
        <v>118</v>
      </c>
      <c r="AG856" s="30" t="s">
        <v>122</v>
      </c>
    </row>
    <row r="857" customFormat="false" ht="15" hidden="false" customHeight="false" outlineLevel="0" collapsed="false">
      <c r="A857" s="10" t="n">
        <v>2026</v>
      </c>
      <c r="B857" s="28" t="s">
        <v>82</v>
      </c>
      <c r="C857" s="29" t="n">
        <v>46245</v>
      </c>
      <c r="D857" s="30" t="s">
        <v>126</v>
      </c>
      <c r="E857" s="28" t="s">
        <v>353</v>
      </c>
      <c r="F857" s="30" t="s">
        <v>354</v>
      </c>
      <c r="G857" s="31" t="n">
        <v>90490</v>
      </c>
      <c r="H857" s="31" t="n">
        <v>1</v>
      </c>
      <c r="I857" s="31" t="n">
        <v>90490</v>
      </c>
      <c r="J857" s="29" t="n">
        <v>46246</v>
      </c>
      <c r="K857" s="31" t="n">
        <v>86114</v>
      </c>
      <c r="L857" s="30" t="s">
        <v>32</v>
      </c>
      <c r="M857" s="10" t="n">
        <v>1</v>
      </c>
      <c r="N857" s="12" t="n">
        <v>-4575</v>
      </c>
      <c r="O857" s="13" t="n">
        <v>-0.0505613659570517</v>
      </c>
      <c r="P857" s="15" t="n">
        <v>0.00563153660498794</v>
      </c>
      <c r="Q857" s="13" t="n">
        <v>-0.0584636602335716</v>
      </c>
      <c r="R857" s="15" t="n">
        <v>0.0307867730900797</v>
      </c>
      <c r="S857" s="32" t="n">
        <v>282971255200</v>
      </c>
      <c r="T857" s="15" t="n">
        <v>0.0145903479236813</v>
      </c>
      <c r="U857" s="32" t="n">
        <v>152924497885</v>
      </c>
      <c r="V857" s="14" t="n">
        <v>1.50936311645784</v>
      </c>
      <c r="W857" s="13" t="n">
        <v>0.0511627906976744</v>
      </c>
      <c r="X857" s="15" t="n">
        <v>0.0486725663716814</v>
      </c>
      <c r="Y857" s="13" t="n">
        <v>0.00728134534244695</v>
      </c>
      <c r="Z857" s="13" t="n">
        <v>-0.0021104113100433</v>
      </c>
      <c r="AA857" s="30" t="s">
        <v>96</v>
      </c>
      <c r="AB857" s="28" t="s">
        <v>94</v>
      </c>
      <c r="AC857" s="28" t="s">
        <v>100</v>
      </c>
      <c r="AD857" s="28" t="s">
        <v>110</v>
      </c>
      <c r="AE857" s="28" t="s">
        <v>112</v>
      </c>
      <c r="AF857" s="28" t="s">
        <v>116</v>
      </c>
      <c r="AG857" s="30" t="s">
        <v>122</v>
      </c>
    </row>
    <row r="858" customFormat="false" ht="15" hidden="false" customHeight="false" outlineLevel="0" collapsed="false">
      <c r="A858" s="10" t="n">
        <v>2026</v>
      </c>
      <c r="B858" s="28" t="s">
        <v>82</v>
      </c>
      <c r="C858" s="29" t="n">
        <v>46246</v>
      </c>
      <c r="D858" s="30" t="s">
        <v>127</v>
      </c>
      <c r="E858" s="28" t="s">
        <v>209</v>
      </c>
      <c r="F858" s="30" t="s">
        <v>210</v>
      </c>
      <c r="G858" s="31" t="n">
        <v>72572</v>
      </c>
      <c r="H858" s="31" t="n">
        <v>1</v>
      </c>
      <c r="I858" s="31" t="n">
        <v>72572</v>
      </c>
      <c r="J858" s="29" t="n">
        <v>46253</v>
      </c>
      <c r="K858" s="31" t="n">
        <v>67932</v>
      </c>
      <c r="L858" s="30" t="s">
        <v>32</v>
      </c>
      <c r="M858" s="10" t="n">
        <v>4</v>
      </c>
      <c r="N858" s="12" t="n">
        <v>-4797</v>
      </c>
      <c r="O858" s="13" t="n">
        <v>-0.0661054762478899</v>
      </c>
      <c r="P858" s="15" t="n">
        <v>0.0513624306727758</v>
      </c>
      <c r="Q858" s="13" t="n">
        <v>-0.0809190809190807</v>
      </c>
      <c r="R858" s="15" t="n">
        <v>0.173139158576052</v>
      </c>
      <c r="S858" s="32" t="n">
        <v>102588007500</v>
      </c>
      <c r="T858" s="15" t="n">
        <v>0.0885885885885887</v>
      </c>
      <c r="U858" s="32" t="n">
        <v>17566751000</v>
      </c>
      <c r="V858" s="14" t="n">
        <v>4.6052063960305</v>
      </c>
      <c r="W858" s="13" t="n">
        <v>0.0111576011157601</v>
      </c>
      <c r="X858" s="15" t="n">
        <v>0.0262068965517242</v>
      </c>
      <c r="Y858" s="13" t="n">
        <v>0.0367991326177641</v>
      </c>
      <c r="Z858" s="13" t="n">
        <v>-0.00291288915562593</v>
      </c>
      <c r="AA858" s="30" t="s">
        <v>97</v>
      </c>
      <c r="AB858" s="28" t="s">
        <v>94</v>
      </c>
      <c r="AC858" s="28" t="s">
        <v>103</v>
      </c>
      <c r="AD858" s="28" t="s">
        <v>109</v>
      </c>
      <c r="AE858" s="28" t="s">
        <v>101</v>
      </c>
      <c r="AF858" s="28" t="s">
        <v>118</v>
      </c>
      <c r="AG858" s="30" t="s">
        <v>122</v>
      </c>
    </row>
    <row r="859" customFormat="false" ht="15" hidden="false" customHeight="false" outlineLevel="0" collapsed="false">
      <c r="A859" s="10" t="n">
        <v>2026</v>
      </c>
      <c r="B859" s="28" t="s">
        <v>82</v>
      </c>
      <c r="C859" s="29" t="n">
        <v>46247</v>
      </c>
      <c r="D859" s="30" t="s">
        <v>128</v>
      </c>
      <c r="E859" s="28" t="s">
        <v>1085</v>
      </c>
      <c r="F859" s="30" t="s">
        <v>1086</v>
      </c>
      <c r="G859" s="31" t="n">
        <v>21021</v>
      </c>
      <c r="H859" s="31" t="n">
        <v>4</v>
      </c>
      <c r="I859" s="31" t="n">
        <v>84084</v>
      </c>
      <c r="J859" s="29" t="n">
        <v>46248</v>
      </c>
      <c r="K859" s="31" t="n">
        <v>19980</v>
      </c>
      <c r="L859" s="30" t="s">
        <v>32</v>
      </c>
      <c r="M859" s="10" t="n">
        <v>1</v>
      </c>
      <c r="N859" s="12" t="n">
        <v>-4348</v>
      </c>
      <c r="O859" s="13" t="n">
        <v>-0.0517154345654344</v>
      </c>
      <c r="P859" s="15" t="n">
        <v>0.0227867370724515</v>
      </c>
      <c r="Q859" s="13" t="n">
        <v>-0.0652204937919222</v>
      </c>
      <c r="R859" s="15" t="n">
        <v>0.053687907676869</v>
      </c>
      <c r="S859" s="32" t="n">
        <v>83367585000</v>
      </c>
      <c r="T859" s="15" t="n">
        <v>0.0169491525423728</v>
      </c>
      <c r="U859" s="32" t="n">
        <v>34031299124</v>
      </c>
      <c r="V859" s="14" t="n">
        <v>2.09901354873185</v>
      </c>
      <c r="W859" s="13" t="n">
        <v>0.0243902439024391</v>
      </c>
      <c r="X859" s="15" t="n">
        <v>0.0571428571428572</v>
      </c>
      <c r="Y859" s="13" t="n">
        <v>0.0356130985675722</v>
      </c>
      <c r="Z859" s="13" t="n">
        <v>0.082104320260213</v>
      </c>
      <c r="AA859" s="30" t="s">
        <v>97</v>
      </c>
      <c r="AB859" s="28" t="s">
        <v>93</v>
      </c>
      <c r="AC859" s="28" t="s">
        <v>101</v>
      </c>
      <c r="AD859" s="28" t="s">
        <v>108</v>
      </c>
      <c r="AE859" s="28" t="s">
        <v>112</v>
      </c>
      <c r="AF859" s="28" t="s">
        <v>117</v>
      </c>
      <c r="AG859" s="30" t="s">
        <v>122</v>
      </c>
    </row>
    <row r="860" customFormat="false" ht="15" hidden="false" customHeight="false" outlineLevel="0" collapsed="false">
      <c r="A860" s="10" t="n">
        <v>2026</v>
      </c>
      <c r="B860" s="28" t="s">
        <v>82</v>
      </c>
      <c r="C860" s="29" t="n">
        <v>46248</v>
      </c>
      <c r="D860" s="30" t="s">
        <v>129</v>
      </c>
      <c r="E860" s="28" t="s">
        <v>1093</v>
      </c>
      <c r="F860" s="30" t="s">
        <v>1094</v>
      </c>
      <c r="G860" s="31" t="n">
        <v>12412</v>
      </c>
      <c r="H860" s="31" t="n">
        <v>8</v>
      </c>
      <c r="I860" s="31" t="n">
        <v>99299</v>
      </c>
      <c r="J860" s="29" t="n">
        <v>46255</v>
      </c>
      <c r="K860" s="31" t="n">
        <v>11808</v>
      </c>
      <c r="L860" s="30" t="s">
        <v>32</v>
      </c>
      <c r="M860" s="10" t="n">
        <v>4</v>
      </c>
      <c r="N860" s="12" t="n">
        <v>-5052</v>
      </c>
      <c r="O860" s="13" t="n">
        <v>-0.0508740813219037</v>
      </c>
      <c r="P860" s="15" t="n">
        <v>0.187522155264091</v>
      </c>
      <c r="Q860" s="13" t="n">
        <v>-0.0614224485192225</v>
      </c>
      <c r="R860" s="15" t="n">
        <v>0.0367892976588629</v>
      </c>
      <c r="S860" s="32" t="n">
        <v>43142600800</v>
      </c>
      <c r="T860" s="15" t="n">
        <v>0.0367892976588629</v>
      </c>
      <c r="U860" s="32" t="n">
        <v>33461123919</v>
      </c>
      <c r="V860" s="14" t="n">
        <v>1.015272085082</v>
      </c>
      <c r="W860" s="13" t="n">
        <v>0.0281923714759536</v>
      </c>
      <c r="X860" s="15" t="n">
        <v>0.0201612903225807</v>
      </c>
      <c r="Y860" s="13" t="n">
        <v>0.0241584890817133</v>
      </c>
      <c r="Z860" s="13" t="n">
        <v>0.114905963951383</v>
      </c>
      <c r="AA860" s="30" t="s">
        <v>97</v>
      </c>
      <c r="AB860" s="28" t="s">
        <v>93</v>
      </c>
      <c r="AC860" s="28" t="s">
        <v>100</v>
      </c>
      <c r="AD860" s="28" t="s">
        <v>107</v>
      </c>
      <c r="AE860" s="28" t="s">
        <v>113</v>
      </c>
      <c r="AF860" s="28" t="s">
        <v>116</v>
      </c>
      <c r="AG860" s="30" t="s">
        <v>122</v>
      </c>
    </row>
    <row r="861" customFormat="false" ht="15" hidden="false" customHeight="false" outlineLevel="0" collapsed="false">
      <c r="A861" s="10" t="n">
        <v>2026</v>
      </c>
      <c r="B861" s="28" t="s">
        <v>82</v>
      </c>
      <c r="C861" s="29" t="n">
        <v>46248</v>
      </c>
      <c r="D861" s="30" t="s">
        <v>129</v>
      </c>
      <c r="E861" s="28" t="s">
        <v>1135</v>
      </c>
      <c r="F861" s="30" t="s">
        <v>1136</v>
      </c>
      <c r="G861" s="31" t="n">
        <v>2497</v>
      </c>
      <c r="H861" s="31" t="n">
        <v>39</v>
      </c>
      <c r="I861" s="31" t="n">
        <v>97402</v>
      </c>
      <c r="J861" s="29" t="n">
        <v>46252</v>
      </c>
      <c r="K861" s="31" t="n">
        <v>2378</v>
      </c>
      <c r="L861" s="30" t="s">
        <v>32</v>
      </c>
      <c r="M861" s="10" t="n">
        <v>1</v>
      </c>
      <c r="N861" s="12" t="n">
        <v>-4889</v>
      </c>
      <c r="O861" s="13" t="n">
        <v>-0.0501948981879844</v>
      </c>
      <c r="P861" s="15" t="n">
        <v>0.0390411192014399</v>
      </c>
      <c r="Q861" s="13" t="n">
        <v>-0.0670651993297283</v>
      </c>
      <c r="R861" s="15" t="n">
        <v>0.139269406392694</v>
      </c>
      <c r="S861" s="32" t="n">
        <v>42876460230</v>
      </c>
      <c r="T861" s="15" t="n">
        <v>0.0288659793814432</v>
      </c>
      <c r="U861" s="32" t="n">
        <v>5587343774.1</v>
      </c>
      <c r="V861" s="14" t="n">
        <v>6.38108952651725</v>
      </c>
      <c r="W861" s="13" t="n">
        <v>0.111358574610245</v>
      </c>
      <c r="X861" s="15" t="n">
        <v>0.140280561122244</v>
      </c>
      <c r="Y861" s="13" t="n">
        <v>0.0241584890817133</v>
      </c>
      <c r="Z861" s="13" t="n">
        <v>0.114905963951383</v>
      </c>
      <c r="AA861" s="30" t="s">
        <v>97</v>
      </c>
      <c r="AB861" s="28" t="s">
        <v>93</v>
      </c>
      <c r="AC861" s="28" t="s">
        <v>102</v>
      </c>
      <c r="AD861" s="28" t="s">
        <v>107</v>
      </c>
      <c r="AE861" s="28" t="s">
        <v>113</v>
      </c>
      <c r="AF861" s="28" t="s">
        <v>119</v>
      </c>
      <c r="AG861" s="30" t="s">
        <v>122</v>
      </c>
    </row>
    <row r="862" customFormat="false" ht="15" hidden="false" customHeight="false" outlineLevel="0" collapsed="false">
      <c r="A862" s="10" t="n">
        <v>2026</v>
      </c>
      <c r="B862" s="28" t="s">
        <v>82</v>
      </c>
      <c r="C862" s="29" t="n">
        <v>46252</v>
      </c>
      <c r="D862" s="30" t="s">
        <v>126</v>
      </c>
      <c r="E862" s="28" t="s">
        <v>431</v>
      </c>
      <c r="F862" s="28" t="s">
        <v>432</v>
      </c>
      <c r="G862" s="31" t="n">
        <v>42693</v>
      </c>
      <c r="H862" s="31" t="n">
        <v>2</v>
      </c>
      <c r="I862" s="31" t="n">
        <v>85385</v>
      </c>
      <c r="J862" s="29" t="n">
        <v>46253</v>
      </c>
      <c r="K862" s="31" t="n">
        <v>40460</v>
      </c>
      <c r="L862" s="30" t="s">
        <v>32</v>
      </c>
      <c r="M862" s="10" t="n">
        <v>1</v>
      </c>
      <c r="N862" s="12" t="n">
        <v>-4653</v>
      </c>
      <c r="O862" s="13" t="n">
        <v>-0.0544951372777282</v>
      </c>
      <c r="P862" s="15" t="n">
        <v>0.0985497503668666</v>
      </c>
      <c r="Q862" s="13" t="n">
        <v>-0.0677552225031708</v>
      </c>
      <c r="R862" s="15" t="n">
        <v>0.0556930693069306</v>
      </c>
      <c r="S862" s="32" t="n">
        <v>283316443600</v>
      </c>
      <c r="T862" s="15" t="n">
        <v>0.0351941747572815</v>
      </c>
      <c r="U862" s="32" t="n">
        <v>81568170842.5</v>
      </c>
      <c r="V862" s="14" t="n">
        <v>2.95476779182191</v>
      </c>
      <c r="W862" s="13" t="n">
        <v>0.045343137254902</v>
      </c>
      <c r="X862" s="15" t="n">
        <v>0.0679953106682298</v>
      </c>
      <c r="Y862" s="13" t="n">
        <v>-0.0154931111474159</v>
      </c>
      <c r="Z862" s="13" t="n">
        <v>0.0905080591650977</v>
      </c>
      <c r="AA862" s="30" t="s">
        <v>97</v>
      </c>
      <c r="AB862" s="28" t="s">
        <v>93</v>
      </c>
      <c r="AC862" s="28" t="s">
        <v>101</v>
      </c>
      <c r="AD862" s="28" t="s">
        <v>110</v>
      </c>
      <c r="AE862" s="28" t="s">
        <v>113</v>
      </c>
      <c r="AF862" s="28" t="s">
        <v>117</v>
      </c>
      <c r="AG862" s="30" t="s">
        <v>122</v>
      </c>
    </row>
    <row r="863" customFormat="false" ht="15" hidden="false" customHeight="false" outlineLevel="0" collapsed="false">
      <c r="A863" s="10" t="n">
        <v>2026</v>
      </c>
      <c r="B863" s="28" t="s">
        <v>82</v>
      </c>
      <c r="C863" s="29" t="n">
        <v>46253</v>
      </c>
      <c r="D863" s="30" t="s">
        <v>127</v>
      </c>
      <c r="E863" s="28" t="s">
        <v>993</v>
      </c>
      <c r="F863" s="30" t="s">
        <v>994</v>
      </c>
      <c r="G863" s="31" t="n">
        <v>1560</v>
      </c>
      <c r="H863" s="31" t="n">
        <v>63</v>
      </c>
      <c r="I863" s="31" t="n">
        <v>98252</v>
      </c>
      <c r="J863" s="29" t="n">
        <v>46254</v>
      </c>
      <c r="K863" s="31" t="n">
        <v>1485</v>
      </c>
      <c r="L863" s="30" t="s">
        <v>32</v>
      </c>
      <c r="M863" s="10" t="n">
        <v>1</v>
      </c>
      <c r="N863" s="12" t="n">
        <v>-4944</v>
      </c>
      <c r="O863" s="13" t="n">
        <v>-0.0503153065163333</v>
      </c>
      <c r="P863" s="15" t="n">
        <v>0.0259317062911417</v>
      </c>
      <c r="Q863" s="13" t="n">
        <v>-0.0830735375022922</v>
      </c>
      <c r="R863" s="15" t="n">
        <v>0.1875</v>
      </c>
      <c r="S863" s="32" t="n">
        <v>30160786048</v>
      </c>
      <c r="T863" s="15" t="n">
        <v>0.0103761348897535</v>
      </c>
      <c r="U863" s="32" t="n">
        <v>3364995960.65</v>
      </c>
      <c r="V863" s="14" t="n">
        <v>7.86312740440392</v>
      </c>
      <c r="W863" s="13" t="n">
        <v>0.186595582635187</v>
      </c>
      <c r="X863" s="15" t="n">
        <v>0.0667522464698331</v>
      </c>
      <c r="Y863" s="13" t="n">
        <v>-0.0580305480630525</v>
      </c>
      <c r="Z863" s="13" t="n">
        <v>0.0197997645586736</v>
      </c>
      <c r="AA863" s="30" t="s">
        <v>97</v>
      </c>
      <c r="AB863" s="28" t="s">
        <v>93</v>
      </c>
      <c r="AC863" s="28" t="s">
        <v>103</v>
      </c>
      <c r="AD863" s="28" t="s">
        <v>107</v>
      </c>
      <c r="AE863" s="28" t="s">
        <v>112</v>
      </c>
      <c r="AF863" s="28" t="s">
        <v>119</v>
      </c>
      <c r="AG863" s="30" t="s">
        <v>122</v>
      </c>
    </row>
    <row r="864" customFormat="false" ht="15" hidden="false" customHeight="false" outlineLevel="0" collapsed="false">
      <c r="A864" s="10" t="n">
        <v>2026</v>
      </c>
      <c r="B864" s="28" t="s">
        <v>82</v>
      </c>
      <c r="C864" s="29" t="n">
        <v>46254</v>
      </c>
      <c r="D864" s="30" t="s">
        <v>128</v>
      </c>
      <c r="E864" s="28" t="s">
        <v>655</v>
      </c>
      <c r="F864" s="30" t="s">
        <v>656</v>
      </c>
      <c r="G864" s="31" t="n">
        <v>51151</v>
      </c>
      <c r="H864" s="31" t="n">
        <v>1</v>
      </c>
      <c r="I864" s="31" t="n">
        <v>51151</v>
      </c>
      <c r="J864" s="29" t="n">
        <v>46255</v>
      </c>
      <c r="K864" s="31" t="n">
        <v>48651</v>
      </c>
      <c r="L864" s="30" t="s">
        <v>32</v>
      </c>
      <c r="M864" s="10" t="n">
        <v>1</v>
      </c>
      <c r="N864" s="12" t="n">
        <v>-2612</v>
      </c>
      <c r="O864" s="13" t="n">
        <v>-0.0510658218493833</v>
      </c>
      <c r="P864" s="15" t="n">
        <v>-0.00686397750976986</v>
      </c>
      <c r="Q864" s="13" t="n">
        <v>-0.0606262621918198</v>
      </c>
      <c r="R864" s="15" t="n">
        <v>0.0460593654042989</v>
      </c>
      <c r="S864" s="32" t="n">
        <v>28129170300</v>
      </c>
      <c r="T864" s="15" t="n">
        <v>0.00590551181102361</v>
      </c>
      <c r="U864" s="32" t="n">
        <v>35743755970</v>
      </c>
      <c r="V864" s="14" t="n">
        <v>0.68911596544061</v>
      </c>
      <c r="W864" s="13" t="n">
        <v>0.0240480961923848</v>
      </c>
      <c r="X864" s="15" t="n">
        <v>0.0058708414872799</v>
      </c>
      <c r="Y864" s="13" t="n">
        <v>0.0589398825869201</v>
      </c>
      <c r="Z864" s="13" t="n">
        <v>0.0415774945888763</v>
      </c>
      <c r="AA864" s="30" t="s">
        <v>97</v>
      </c>
      <c r="AB864" s="28" t="s">
        <v>93</v>
      </c>
      <c r="AC864" s="28" t="s">
        <v>100</v>
      </c>
      <c r="AD864" s="28" t="s">
        <v>106</v>
      </c>
      <c r="AE864" s="28" t="s">
        <v>112</v>
      </c>
      <c r="AF864" s="28" t="s">
        <v>116</v>
      </c>
      <c r="AG864" s="30" t="s">
        <v>122</v>
      </c>
    </row>
    <row r="865" customFormat="false" ht="15" hidden="false" customHeight="false" outlineLevel="0" collapsed="false">
      <c r="A865" s="10" t="n">
        <v>2026</v>
      </c>
      <c r="B865" s="28" t="s">
        <v>82</v>
      </c>
      <c r="C865" s="29" t="n">
        <v>46259</v>
      </c>
      <c r="D865" s="30" t="s">
        <v>126</v>
      </c>
      <c r="E865" s="28" t="s">
        <v>177</v>
      </c>
      <c r="F865" s="30" t="s">
        <v>178</v>
      </c>
      <c r="G865" s="31" t="n">
        <v>42392</v>
      </c>
      <c r="H865" s="31" t="n">
        <v>2</v>
      </c>
      <c r="I865" s="31" t="n">
        <v>84785</v>
      </c>
      <c r="J865" s="29" t="n">
        <v>46267</v>
      </c>
      <c r="K865" s="31" t="n">
        <v>40310</v>
      </c>
      <c r="L865" s="30" t="s">
        <v>32</v>
      </c>
      <c r="M865" s="10" t="n">
        <v>6</v>
      </c>
      <c r="N865" s="12" t="n">
        <v>-4351</v>
      </c>
      <c r="O865" s="13" t="n">
        <v>-0.0513235194557509</v>
      </c>
      <c r="P865" s="15" t="n">
        <v>0.119305723792146</v>
      </c>
      <c r="Q865" s="13" t="n">
        <v>-0.10479131258352</v>
      </c>
      <c r="R865" s="15" t="n">
        <v>0.0817369093231162</v>
      </c>
      <c r="S865" s="32" t="n">
        <v>35107091250</v>
      </c>
      <c r="T865" s="15" t="n">
        <v>0.0418204182041821</v>
      </c>
      <c r="U865" s="32" t="n">
        <v>39128532335</v>
      </c>
      <c r="V865" s="14" t="n">
        <v>0.661092613295372</v>
      </c>
      <c r="W865" s="13" t="n">
        <v>0.0914948453608246</v>
      </c>
      <c r="X865" s="15" t="n">
        <v>0.00472255017709555</v>
      </c>
      <c r="Y865" s="13" t="n">
        <v>0.0068359375</v>
      </c>
      <c r="Z865" s="13" t="n">
        <v>-0.0184997299787623</v>
      </c>
      <c r="AA865" s="30" t="s">
        <v>97</v>
      </c>
      <c r="AB865" s="28" t="s">
        <v>94</v>
      </c>
      <c r="AC865" s="28" t="s">
        <v>101</v>
      </c>
      <c r="AD865" s="28" t="s">
        <v>107</v>
      </c>
      <c r="AE865" s="28" t="s">
        <v>113</v>
      </c>
      <c r="AF865" s="28" t="s">
        <v>116</v>
      </c>
      <c r="AG865" s="30" t="s">
        <v>122</v>
      </c>
    </row>
    <row r="866" customFormat="false" ht="15" hidden="false" customHeight="false" outlineLevel="0" collapsed="false">
      <c r="A866" s="10" t="n">
        <v>2026</v>
      </c>
      <c r="B866" s="28" t="s">
        <v>82</v>
      </c>
      <c r="C866" s="29" t="n">
        <v>46259</v>
      </c>
      <c r="D866" s="30" t="s">
        <v>126</v>
      </c>
      <c r="E866" s="28" t="s">
        <v>305</v>
      </c>
      <c r="F866" s="30" t="s">
        <v>306</v>
      </c>
      <c r="G866" s="31" t="n">
        <v>43694</v>
      </c>
      <c r="H866" s="31" t="n">
        <v>2</v>
      </c>
      <c r="I866" s="31" t="n">
        <v>87387</v>
      </c>
      <c r="J866" s="29" t="n">
        <v>46260</v>
      </c>
      <c r="K866" s="31" t="n">
        <v>41558</v>
      </c>
      <c r="L866" s="30" t="s">
        <v>32</v>
      </c>
      <c r="M866" s="10" t="n">
        <v>1</v>
      </c>
      <c r="N866" s="12" t="n">
        <v>-4462</v>
      </c>
      <c r="O866" s="13" t="n">
        <v>-0.0510635895032801</v>
      </c>
      <c r="P866" s="15" t="n">
        <v>-0.00672065620519213</v>
      </c>
      <c r="Q866" s="13" t="n">
        <v>-0.050205235772246</v>
      </c>
      <c r="R866" s="15" t="n">
        <v>0.0392857142857144</v>
      </c>
      <c r="S866" s="32" t="n">
        <v>22159970100</v>
      </c>
      <c r="T866" s="15" t="n">
        <v>0.0046029919447641</v>
      </c>
      <c r="U866" s="32" t="n">
        <v>18871163760</v>
      </c>
      <c r="V866" s="14" t="n">
        <v>1.07845555216375</v>
      </c>
      <c r="W866" s="13" t="n">
        <v>0.0607533414337789</v>
      </c>
      <c r="X866" s="15" t="n">
        <v>0.0160366552119129</v>
      </c>
      <c r="Y866" s="13" t="n">
        <v>0.0068359375</v>
      </c>
      <c r="Z866" s="13" t="n">
        <v>-0.0184997299787623</v>
      </c>
      <c r="AA866" s="30" t="s">
        <v>97</v>
      </c>
      <c r="AB866" s="28" t="s">
        <v>94</v>
      </c>
      <c r="AC866" s="28" t="s">
        <v>100</v>
      </c>
      <c r="AD866" s="28" t="s">
        <v>106</v>
      </c>
      <c r="AE866" s="28" t="s">
        <v>112</v>
      </c>
      <c r="AF866" s="28" t="s">
        <v>116</v>
      </c>
      <c r="AG866" s="30" t="s">
        <v>122</v>
      </c>
    </row>
    <row r="867" customFormat="false" ht="15" hidden="false" customHeight="false" outlineLevel="0" collapsed="false">
      <c r="A867" s="10" t="n">
        <v>2026</v>
      </c>
      <c r="B867" s="28" t="s">
        <v>82</v>
      </c>
      <c r="C867" s="29" t="n">
        <v>46260</v>
      </c>
      <c r="D867" s="30" t="s">
        <v>127</v>
      </c>
      <c r="E867" s="28" t="s">
        <v>751</v>
      </c>
      <c r="F867" s="30" t="s">
        <v>752</v>
      </c>
      <c r="G867" s="31" t="n">
        <v>28178</v>
      </c>
      <c r="H867" s="31" t="n">
        <v>3</v>
      </c>
      <c r="I867" s="31" t="n">
        <v>84534</v>
      </c>
      <c r="J867" s="29"/>
      <c r="K867" s="31"/>
      <c r="L867" s="30" t="s">
        <v>33</v>
      </c>
      <c r="M867" s="10" t="n">
        <v>20</v>
      </c>
      <c r="N867" s="12" t="n">
        <v>9745</v>
      </c>
      <c r="O867" s="13" t="n">
        <v>0.117887441155647</v>
      </c>
      <c r="P867" s="15" t="n">
        <v>0.139180535272898</v>
      </c>
      <c r="Q867" s="13" t="n">
        <v>-0.0222920951162513</v>
      </c>
      <c r="R867" s="15" t="n">
        <v>0.0703422053231939</v>
      </c>
      <c r="S867" s="32" t="n">
        <v>174935894850</v>
      </c>
      <c r="T867" s="15" t="n">
        <v>0.0236363636363637</v>
      </c>
      <c r="U867" s="32" t="n">
        <v>62038315925</v>
      </c>
      <c r="V867" s="14" t="n">
        <v>2.60378629693774</v>
      </c>
      <c r="W867" s="13" t="n">
        <v>0.048417132216015</v>
      </c>
      <c r="X867" s="15" t="n">
        <v>0.0017761989342806</v>
      </c>
      <c r="Y867" s="13" t="n">
        <v>0.0097097025838162</v>
      </c>
      <c r="Z867" s="13" t="n">
        <v>0.0520833172362958</v>
      </c>
      <c r="AA867" s="30" t="s">
        <v>97</v>
      </c>
      <c r="AB867" s="28" t="s">
        <v>93</v>
      </c>
      <c r="AC867" s="28" t="s">
        <v>101</v>
      </c>
      <c r="AD867" s="28" t="s">
        <v>109</v>
      </c>
      <c r="AE867" s="28" t="s">
        <v>113</v>
      </c>
      <c r="AF867" s="28" t="s">
        <v>117</v>
      </c>
      <c r="AG867" s="30" t="s">
        <v>122</v>
      </c>
    </row>
    <row r="868" customFormat="false" ht="15" hidden="false" customHeight="false" outlineLevel="0" collapsed="false">
      <c r="A868" s="10" t="n">
        <v>2026</v>
      </c>
      <c r="B868" s="28" t="s">
        <v>82</v>
      </c>
      <c r="C868" s="29" t="n">
        <v>46261</v>
      </c>
      <c r="D868" s="30" t="s">
        <v>128</v>
      </c>
      <c r="E868" s="28" t="s">
        <v>597</v>
      </c>
      <c r="F868" s="30" t="s">
        <v>598</v>
      </c>
      <c r="G868" s="31" t="n">
        <v>41391</v>
      </c>
      <c r="H868" s="31" t="n">
        <v>2</v>
      </c>
      <c r="I868" s="31" t="n">
        <v>82783</v>
      </c>
      <c r="J868" s="29" t="n">
        <v>46262</v>
      </c>
      <c r="K868" s="31" t="n">
        <v>39361</v>
      </c>
      <c r="L868" s="30" t="s">
        <v>32</v>
      </c>
      <c r="M868" s="10" t="n">
        <v>1</v>
      </c>
      <c r="N868" s="12" t="n">
        <v>-4243</v>
      </c>
      <c r="O868" s="13" t="n">
        <v>-0.0512566995881991</v>
      </c>
      <c r="P868" s="15" t="n">
        <v>0.00745687202760959</v>
      </c>
      <c r="Q868" s="13" t="n">
        <v>-0.0626060759071642</v>
      </c>
      <c r="R868" s="15" t="n">
        <v>0.111559139784946</v>
      </c>
      <c r="S868" s="32" t="n">
        <v>116595422000</v>
      </c>
      <c r="T868" s="15" t="n">
        <v>0.0657216494845361</v>
      </c>
      <c r="U868" s="32" t="n">
        <v>34253525932.5</v>
      </c>
      <c r="V868" s="14" t="n">
        <v>2.95331822278264</v>
      </c>
      <c r="W868" s="13" t="n">
        <v>0.0953642384105959</v>
      </c>
      <c r="X868" s="15" t="n">
        <v>0.00241837968561054</v>
      </c>
      <c r="Y868" s="13" t="n">
        <v>0.0152991755542205</v>
      </c>
      <c r="Z868" s="13" t="n">
        <v>0.00872518088077778</v>
      </c>
      <c r="AA868" s="30" t="s">
        <v>97</v>
      </c>
      <c r="AB868" s="28" t="s">
        <v>93</v>
      </c>
      <c r="AC868" s="28" t="s">
        <v>102</v>
      </c>
      <c r="AD868" s="28" t="s">
        <v>109</v>
      </c>
      <c r="AE868" s="28" t="s">
        <v>101</v>
      </c>
      <c r="AF868" s="28" t="s">
        <v>117</v>
      </c>
      <c r="AG868" s="30" t="s">
        <v>122</v>
      </c>
    </row>
    <row r="869" customFormat="false" ht="15" hidden="false" customHeight="false" outlineLevel="0" collapsed="false">
      <c r="A869" s="10" t="n">
        <v>2026</v>
      </c>
      <c r="B869" s="28" t="s">
        <v>83</v>
      </c>
      <c r="C869" s="29" t="n">
        <v>46267</v>
      </c>
      <c r="D869" s="30" t="s">
        <v>127</v>
      </c>
      <c r="E869" s="28" t="s">
        <v>547</v>
      </c>
      <c r="F869" s="30" t="s">
        <v>548</v>
      </c>
      <c r="G869" s="31" t="n">
        <v>11582</v>
      </c>
      <c r="H869" s="31" t="n">
        <v>8</v>
      </c>
      <c r="I869" s="31" t="n">
        <v>92653</v>
      </c>
      <c r="J869" s="29" t="n">
        <v>46268</v>
      </c>
      <c r="K869" s="31" t="n">
        <v>11019</v>
      </c>
      <c r="L869" s="30" t="s">
        <v>32</v>
      </c>
      <c r="M869" s="10" t="n">
        <v>1</v>
      </c>
      <c r="N869" s="12" t="n">
        <v>-4704</v>
      </c>
      <c r="O869" s="13" t="n">
        <v>-0.0507727381520811</v>
      </c>
      <c r="P869" s="15" t="n">
        <v>0.0646224993675297</v>
      </c>
      <c r="Q869" s="13" t="n">
        <v>-0.0838893172514605</v>
      </c>
      <c r="R869" s="15" t="n">
        <v>0.133202742409402</v>
      </c>
      <c r="S869" s="32" t="n">
        <v>105992203070</v>
      </c>
      <c r="T869" s="15" t="n">
        <v>0.0149122807017543</v>
      </c>
      <c r="U869" s="32" t="n">
        <v>11114905704</v>
      </c>
      <c r="V869" s="14" t="n">
        <v>8.72608814262968</v>
      </c>
      <c r="W869" s="13" t="n">
        <v>0.0518181818181818</v>
      </c>
      <c r="X869" s="15" t="n">
        <v>0.0501296456352636</v>
      </c>
      <c r="Y869" s="13" t="n">
        <v>-0.0399485063928143</v>
      </c>
      <c r="Z869" s="13" t="n">
        <v>-0.0360579359332335</v>
      </c>
      <c r="AA869" s="30" t="s">
        <v>96</v>
      </c>
      <c r="AB869" s="28" t="s">
        <v>94</v>
      </c>
      <c r="AC869" s="28" t="s">
        <v>102</v>
      </c>
      <c r="AD869" s="28" t="s">
        <v>109</v>
      </c>
      <c r="AE869" s="28" t="s">
        <v>112</v>
      </c>
      <c r="AF869" s="28" t="s">
        <v>119</v>
      </c>
      <c r="AG869" s="30" t="s">
        <v>122</v>
      </c>
    </row>
    <row r="870" customFormat="false" ht="15" hidden="false" customHeight="false" outlineLevel="0" collapsed="false">
      <c r="A870" s="10" t="n">
        <v>2026</v>
      </c>
      <c r="B870" s="28" t="s">
        <v>83</v>
      </c>
      <c r="C870" s="29" t="n">
        <v>46267</v>
      </c>
      <c r="D870" s="30" t="s">
        <v>127</v>
      </c>
      <c r="E870" s="28" t="s">
        <v>1137</v>
      </c>
      <c r="F870" s="30" t="s">
        <v>1138</v>
      </c>
      <c r="G870" s="31" t="n">
        <v>3944</v>
      </c>
      <c r="H870" s="31" t="n">
        <v>25</v>
      </c>
      <c r="I870" s="31" t="n">
        <v>98598</v>
      </c>
      <c r="J870" s="29" t="n">
        <v>46268</v>
      </c>
      <c r="K870" s="31" t="n">
        <v>3751</v>
      </c>
      <c r="L870" s="30" t="s">
        <v>32</v>
      </c>
      <c r="M870" s="10" t="n">
        <v>1</v>
      </c>
      <c r="N870" s="12" t="n">
        <v>-5034</v>
      </c>
      <c r="O870" s="13" t="n">
        <v>-0.0510534561250932</v>
      </c>
      <c r="P870" s="15" t="n">
        <v>0.0167497477142149</v>
      </c>
      <c r="Q870" s="13" t="n">
        <v>-0.0859394412693905</v>
      </c>
      <c r="R870" s="15" t="n">
        <v>0.105189340813464</v>
      </c>
      <c r="S870" s="32" t="n">
        <v>57447682200</v>
      </c>
      <c r="T870" s="15" t="n">
        <v>0.0395778364116095</v>
      </c>
      <c r="U870" s="32" t="n">
        <v>9862103561</v>
      </c>
      <c r="V870" s="14" t="n">
        <v>5.22168179235615</v>
      </c>
      <c r="W870" s="13" t="n">
        <v>0.0974930362116993</v>
      </c>
      <c r="X870" s="15" t="n">
        <v>0.101522842639594</v>
      </c>
      <c r="Y870" s="13" t="n">
        <v>-0.0399485063928143</v>
      </c>
      <c r="Z870" s="13" t="n">
        <v>-0.0360579359332335</v>
      </c>
      <c r="AA870" s="30" t="s">
        <v>96</v>
      </c>
      <c r="AB870" s="28" t="s">
        <v>94</v>
      </c>
      <c r="AC870" s="28" t="s">
        <v>102</v>
      </c>
      <c r="AD870" s="28" t="s">
        <v>108</v>
      </c>
      <c r="AE870" s="28" t="s">
        <v>113</v>
      </c>
      <c r="AF870" s="28" t="s">
        <v>119</v>
      </c>
      <c r="AG870" s="30" t="s">
        <v>122</v>
      </c>
    </row>
    <row r="871" customFormat="false" ht="15" hidden="false" customHeight="false" outlineLevel="0" collapsed="false">
      <c r="A871" s="10" t="n">
        <v>2026</v>
      </c>
      <c r="B871" s="28" t="s">
        <v>83</v>
      </c>
      <c r="C871" s="29" t="n">
        <v>46268</v>
      </c>
      <c r="D871" s="30" t="s">
        <v>128</v>
      </c>
      <c r="E871" s="28" t="s">
        <v>1139</v>
      </c>
      <c r="F871" s="30" t="s">
        <v>1140</v>
      </c>
      <c r="G871" s="31" t="n">
        <v>8498</v>
      </c>
      <c r="H871" s="31" t="n">
        <v>11</v>
      </c>
      <c r="I871" s="31" t="n">
        <v>93483</v>
      </c>
      <c r="J871" s="29" t="n">
        <v>46287</v>
      </c>
      <c r="K871" s="31" t="n">
        <v>10200</v>
      </c>
      <c r="L871" s="30" t="s">
        <v>31</v>
      </c>
      <c r="M871" s="10" t="n">
        <v>13</v>
      </c>
      <c r="N871" s="12" t="n">
        <v>18461</v>
      </c>
      <c r="O871" s="13" t="n">
        <v>0.197482755936643</v>
      </c>
      <c r="P871" s="15" t="n">
        <v>0.221393447541858</v>
      </c>
      <c r="Q871" s="13" t="n">
        <v>-0.0315926711686428</v>
      </c>
      <c r="R871" s="15" t="n">
        <v>0.120052770448549</v>
      </c>
      <c r="S871" s="32" t="n">
        <v>35228338080</v>
      </c>
      <c r="T871" s="15" t="n">
        <v>0.0404411764705883</v>
      </c>
      <c r="U871" s="32" t="n">
        <v>4921977841.5</v>
      </c>
      <c r="V871" s="14" t="n">
        <v>6.28913161420876</v>
      </c>
      <c r="W871" s="13" t="n">
        <v>0.109803921568628</v>
      </c>
      <c r="X871" s="15" t="n">
        <v>0.0424028268551238</v>
      </c>
      <c r="Y871" s="13" t="n">
        <v>0.002553819148158</v>
      </c>
      <c r="Z871" s="13" t="n">
        <v>-0.0481585910476436</v>
      </c>
      <c r="AA871" s="30" t="s">
        <v>96</v>
      </c>
      <c r="AB871" s="28" t="s">
        <v>94</v>
      </c>
      <c r="AC871" s="28" t="s">
        <v>102</v>
      </c>
      <c r="AD871" s="28" t="s">
        <v>107</v>
      </c>
      <c r="AE871" s="28" t="s">
        <v>113</v>
      </c>
      <c r="AF871" s="28" t="s">
        <v>119</v>
      </c>
      <c r="AG871" s="30" t="s">
        <v>122</v>
      </c>
    </row>
    <row r="872" customFormat="false" ht="15" hidden="false" customHeight="false" outlineLevel="0" collapsed="false">
      <c r="A872" s="10" t="n">
        <v>2026</v>
      </c>
      <c r="B872" s="28" t="s">
        <v>83</v>
      </c>
      <c r="C872" s="29" t="n">
        <v>46269</v>
      </c>
      <c r="D872" s="30" t="s">
        <v>129</v>
      </c>
      <c r="E872" s="28" t="s">
        <v>1141</v>
      </c>
      <c r="F872" s="30" t="s">
        <v>1142</v>
      </c>
      <c r="G872" s="31" t="n">
        <v>40190</v>
      </c>
      <c r="H872" s="31" t="n">
        <v>2</v>
      </c>
      <c r="I872" s="31" t="n">
        <v>80380</v>
      </c>
      <c r="J872" s="29" t="n">
        <v>46275</v>
      </c>
      <c r="K872" s="31" t="n">
        <v>48250</v>
      </c>
      <c r="L872" s="30" t="s">
        <v>31</v>
      </c>
      <c r="M872" s="10" t="n">
        <v>4</v>
      </c>
      <c r="N872" s="12" t="n">
        <v>15900</v>
      </c>
      <c r="O872" s="13" t="n">
        <v>0.197811751822275</v>
      </c>
      <c r="P872" s="15" t="n">
        <v>0.226668723555399</v>
      </c>
      <c r="Q872" s="13" t="n">
        <v>-0.00846351655816147</v>
      </c>
      <c r="R872" s="15" t="n">
        <v>0.167151162790698</v>
      </c>
      <c r="S872" s="32" t="n">
        <v>27597584300</v>
      </c>
      <c r="T872" s="15" t="n">
        <v>0.107586206896552</v>
      </c>
      <c r="U872" s="32" t="n">
        <v>10021541077.5</v>
      </c>
      <c r="V872" s="14" t="n">
        <v>2.27976415043494</v>
      </c>
      <c r="W872" s="13" t="n">
        <v>0.165457184325109</v>
      </c>
      <c r="X872" s="15" t="n">
        <v>0.0149439601494397</v>
      </c>
      <c r="Y872" s="13" t="n">
        <v>0.0163736343905598</v>
      </c>
      <c r="Z872" s="13" t="n">
        <v>-0.0149759606886556</v>
      </c>
      <c r="AA872" s="30" t="s">
        <v>96</v>
      </c>
      <c r="AB872" s="28" t="s">
        <v>94</v>
      </c>
      <c r="AC872" s="28" t="s">
        <v>103</v>
      </c>
      <c r="AD872" s="28" t="s">
        <v>106</v>
      </c>
      <c r="AE872" s="28" t="s">
        <v>114</v>
      </c>
      <c r="AF872" s="28" t="s">
        <v>117</v>
      </c>
      <c r="AG872" s="30" t="s">
        <v>122</v>
      </c>
    </row>
    <row r="873" customFormat="false" ht="15" hidden="false" customHeight="false" outlineLevel="0" collapsed="false">
      <c r="A873" s="10" t="n">
        <v>2026</v>
      </c>
      <c r="B873" s="28" t="s">
        <v>83</v>
      </c>
      <c r="C873" s="29" t="n">
        <v>46272</v>
      </c>
      <c r="D873" s="30" t="s">
        <v>125</v>
      </c>
      <c r="E873" s="28" t="s">
        <v>381</v>
      </c>
      <c r="F873" s="30" t="s">
        <v>382</v>
      </c>
      <c r="G873" s="31" t="n">
        <v>69970</v>
      </c>
      <c r="H873" s="31" t="n">
        <v>1</v>
      </c>
      <c r="I873" s="31" t="n">
        <v>69970</v>
      </c>
      <c r="J873" s="29" t="n">
        <v>46279</v>
      </c>
      <c r="K873" s="31" t="n">
        <v>65934</v>
      </c>
      <c r="L873" s="30" t="s">
        <v>32</v>
      </c>
      <c r="M873" s="10" t="n">
        <v>5</v>
      </c>
      <c r="N873" s="12" t="n">
        <v>-4188</v>
      </c>
      <c r="O873" s="13" t="n">
        <v>-0.0598565037966325</v>
      </c>
      <c r="P873" s="15" t="n">
        <v>0.154782270662099</v>
      </c>
      <c r="Q873" s="13" t="n">
        <v>-0.138200854939052</v>
      </c>
      <c r="R873" s="15" t="n">
        <v>0.0386329866270432</v>
      </c>
      <c r="S873" s="32" t="n">
        <v>40783224900</v>
      </c>
      <c r="T873" s="15" t="n">
        <v>0.0234260614934114</v>
      </c>
      <c r="U873" s="32" t="n">
        <v>28350215265</v>
      </c>
      <c r="V873" s="14" t="n">
        <v>1.32229597508934</v>
      </c>
      <c r="W873" s="13" t="n">
        <v>0</v>
      </c>
      <c r="X873" s="15" t="n">
        <v>0.0472103004291846</v>
      </c>
      <c r="Y873" s="13" t="n">
        <v>0.0460849891060697</v>
      </c>
      <c r="Z873" s="13" t="n">
        <v>0.0257140008387071</v>
      </c>
      <c r="AA873" s="30" t="s">
        <v>97</v>
      </c>
      <c r="AB873" s="28" t="s">
        <v>93</v>
      </c>
      <c r="AC873" s="28" t="s">
        <v>100</v>
      </c>
      <c r="AD873" s="28" t="s">
        <v>107</v>
      </c>
      <c r="AE873" s="28" t="s">
        <v>113</v>
      </c>
      <c r="AF873" s="28" t="s">
        <v>116</v>
      </c>
      <c r="AG873" s="30" t="s">
        <v>123</v>
      </c>
    </row>
    <row r="874" customFormat="false" ht="15" hidden="false" customHeight="false" outlineLevel="0" collapsed="false">
      <c r="A874" s="10" t="n">
        <v>2026</v>
      </c>
      <c r="B874" s="28" t="s">
        <v>83</v>
      </c>
      <c r="C874" s="29" t="n">
        <v>46274</v>
      </c>
      <c r="D874" s="30" t="s">
        <v>127</v>
      </c>
      <c r="E874" s="28" t="s">
        <v>1143</v>
      </c>
      <c r="F874" s="28" t="s">
        <v>1144</v>
      </c>
      <c r="G874" s="31" t="n">
        <v>42342</v>
      </c>
      <c r="H874" s="31" t="n">
        <v>2</v>
      </c>
      <c r="I874" s="31" t="n">
        <v>84685</v>
      </c>
      <c r="J874" s="29" t="n">
        <v>46286</v>
      </c>
      <c r="K874" s="31" t="n">
        <v>50900</v>
      </c>
      <c r="L874" s="30" t="s">
        <v>31</v>
      </c>
      <c r="M874" s="10" t="n">
        <v>8</v>
      </c>
      <c r="N874" s="12" t="n">
        <v>16884</v>
      </c>
      <c r="O874" s="13" t="n">
        <v>0.199373053778373</v>
      </c>
      <c r="P874" s="15" t="n">
        <v>0.211554403043765</v>
      </c>
      <c r="Q874" s="13" t="n">
        <v>-0.04114797731819</v>
      </c>
      <c r="R874" s="15" t="n">
        <v>0.226086956521739</v>
      </c>
      <c r="S874" s="32" t="n">
        <v>146050817400</v>
      </c>
      <c r="T874" s="15" t="n">
        <v>0.0681818181818181</v>
      </c>
      <c r="U874" s="32" t="n">
        <v>18605443897.5</v>
      </c>
      <c r="V874" s="14" t="n">
        <v>6.59971894112061</v>
      </c>
      <c r="W874" s="13" t="n">
        <v>0.146341463414634</v>
      </c>
      <c r="X874" s="15" t="n">
        <v>0.0319148936170213</v>
      </c>
      <c r="Y874" s="13" t="n">
        <v>0.0139650184340543</v>
      </c>
      <c r="Z874" s="13" t="n">
        <v>0.0744995977277714</v>
      </c>
      <c r="AA874" s="30" t="s">
        <v>97</v>
      </c>
      <c r="AB874" s="28" t="s">
        <v>93</v>
      </c>
      <c r="AC874" s="28" t="s">
        <v>104</v>
      </c>
      <c r="AD874" s="28" t="s">
        <v>109</v>
      </c>
      <c r="AE874" s="28" t="s">
        <v>101</v>
      </c>
      <c r="AF874" s="28" t="s">
        <v>119</v>
      </c>
      <c r="AG874" s="30" t="s">
        <v>122</v>
      </c>
    </row>
    <row r="875" customFormat="false" ht="15" hidden="false" customHeight="false" outlineLevel="0" collapsed="false">
      <c r="A875" s="10" t="n">
        <v>2026</v>
      </c>
      <c r="B875" s="28" t="s">
        <v>83</v>
      </c>
      <c r="C875" s="29" t="n">
        <v>46274</v>
      </c>
      <c r="D875" s="30" t="s">
        <v>127</v>
      </c>
      <c r="E875" s="28" t="s">
        <v>227</v>
      </c>
      <c r="F875" s="30" t="s">
        <v>228</v>
      </c>
      <c r="G875" s="31" t="n">
        <v>31131</v>
      </c>
      <c r="H875" s="31" t="n">
        <v>3</v>
      </c>
      <c r="I875" s="31" t="n">
        <v>93393</v>
      </c>
      <c r="J875" s="29" t="n">
        <v>46275</v>
      </c>
      <c r="K875" s="31" t="n">
        <v>29620</v>
      </c>
      <c r="L875" s="30" t="s">
        <v>32</v>
      </c>
      <c r="M875" s="10" t="n">
        <v>1</v>
      </c>
      <c r="N875" s="12" t="n">
        <v>-4737</v>
      </c>
      <c r="O875" s="13" t="n">
        <v>-0.0507243051964115</v>
      </c>
      <c r="P875" s="15" t="n">
        <v>-0.0170601103076986</v>
      </c>
      <c r="Q875" s="13" t="n">
        <v>-0.0748801038190105</v>
      </c>
      <c r="R875" s="15" t="n">
        <v>0.0817391304347825</v>
      </c>
      <c r="S875" s="32" t="n">
        <v>127739642400</v>
      </c>
      <c r="T875" s="15" t="n">
        <v>0.0332225913621262</v>
      </c>
      <c r="U875" s="32" t="n">
        <v>40421183502.5</v>
      </c>
      <c r="V875" s="14" t="n">
        <v>2.92137291263522</v>
      </c>
      <c r="W875" s="13" t="n">
        <v>0.0650684931506849</v>
      </c>
      <c r="X875" s="15" t="n">
        <v>0.00964630225080376</v>
      </c>
      <c r="Y875" s="13" t="n">
        <v>0.0139650184340543</v>
      </c>
      <c r="Z875" s="13" t="n">
        <v>0.0744995977277714</v>
      </c>
      <c r="AA875" s="30" t="s">
        <v>97</v>
      </c>
      <c r="AB875" s="28" t="s">
        <v>93</v>
      </c>
      <c r="AC875" s="28" t="s">
        <v>101</v>
      </c>
      <c r="AD875" s="28" t="s">
        <v>109</v>
      </c>
      <c r="AE875" s="28" t="s">
        <v>113</v>
      </c>
      <c r="AF875" s="28" t="s">
        <v>117</v>
      </c>
      <c r="AG875" s="30" t="s">
        <v>122</v>
      </c>
    </row>
    <row r="876" customFormat="false" ht="15" hidden="false" customHeight="false" outlineLevel="0" collapsed="false">
      <c r="A876" s="10" t="n">
        <v>2026</v>
      </c>
      <c r="B876" s="28" t="s">
        <v>83</v>
      </c>
      <c r="C876" s="29" t="n">
        <v>46274</v>
      </c>
      <c r="D876" s="30" t="s">
        <v>127</v>
      </c>
      <c r="E876" s="28" t="s">
        <v>489</v>
      </c>
      <c r="F876" s="30" t="s">
        <v>490</v>
      </c>
      <c r="G876" s="31" t="n">
        <v>49199</v>
      </c>
      <c r="H876" s="31" t="n">
        <v>2</v>
      </c>
      <c r="I876" s="31" t="n">
        <v>98398</v>
      </c>
      <c r="J876" s="29" t="n">
        <v>46275</v>
      </c>
      <c r="K876" s="31" t="n">
        <v>46803</v>
      </c>
      <c r="L876" s="30" t="s">
        <v>32</v>
      </c>
      <c r="M876" s="10" t="n">
        <v>1</v>
      </c>
      <c r="N876" s="12" t="n">
        <v>-5008</v>
      </c>
      <c r="O876" s="13" t="n">
        <v>-0.0508953232931869</v>
      </c>
      <c r="P876" s="15" t="n">
        <v>0.0122126093641863</v>
      </c>
      <c r="Q876" s="13" t="n">
        <v>-0.050796609291014</v>
      </c>
      <c r="R876" s="15" t="n">
        <v>0.076670317634173</v>
      </c>
      <c r="S876" s="32" t="n">
        <v>73028593650</v>
      </c>
      <c r="T876" s="15" t="n">
        <v>0.0020387359836902</v>
      </c>
      <c r="U876" s="32" t="n">
        <v>25747870727.5</v>
      </c>
      <c r="V876" s="14" t="n">
        <v>2.69999572058335</v>
      </c>
      <c r="W876" s="13" t="n">
        <v>0.0260960334029228</v>
      </c>
      <c r="X876" s="15" t="n">
        <v>0.051881993896236</v>
      </c>
      <c r="Y876" s="13" t="n">
        <v>0.0139650184340543</v>
      </c>
      <c r="Z876" s="13" t="n">
        <v>0.0744995977277714</v>
      </c>
      <c r="AA876" s="30" t="s">
        <v>97</v>
      </c>
      <c r="AB876" s="28" t="s">
        <v>93</v>
      </c>
      <c r="AC876" s="28" t="s">
        <v>101</v>
      </c>
      <c r="AD876" s="28" t="s">
        <v>108</v>
      </c>
      <c r="AE876" s="28" t="s">
        <v>112</v>
      </c>
      <c r="AF876" s="28" t="s">
        <v>117</v>
      </c>
      <c r="AG876" s="30" t="s">
        <v>122</v>
      </c>
    </row>
    <row r="877" customFormat="false" ht="15" hidden="false" customHeight="false" outlineLevel="0" collapsed="false">
      <c r="A877" s="10" t="n">
        <v>2026</v>
      </c>
      <c r="B877" s="28" t="s">
        <v>83</v>
      </c>
      <c r="C877" s="29" t="n">
        <v>46274</v>
      </c>
      <c r="D877" s="30" t="s">
        <v>127</v>
      </c>
      <c r="E877" s="28" t="s">
        <v>681</v>
      </c>
      <c r="F877" s="30" t="s">
        <v>682</v>
      </c>
      <c r="G877" s="31" t="n">
        <v>58058</v>
      </c>
      <c r="H877" s="31" t="n">
        <v>1</v>
      </c>
      <c r="I877" s="31" t="n">
        <v>58058</v>
      </c>
      <c r="J877" s="29" t="n">
        <v>46280</v>
      </c>
      <c r="K877" s="31" t="n">
        <v>55245</v>
      </c>
      <c r="L877" s="30" t="s">
        <v>32</v>
      </c>
      <c r="M877" s="10" t="n">
        <v>4</v>
      </c>
      <c r="N877" s="12" t="n">
        <v>-2941</v>
      </c>
      <c r="O877" s="13" t="n">
        <v>-0.050652533759344</v>
      </c>
      <c r="P877" s="15" t="n">
        <v>0.0179475696717077</v>
      </c>
      <c r="Q877" s="13" t="n">
        <v>-0.0630059595576836</v>
      </c>
      <c r="R877" s="15" t="n">
        <v>0.0681399631675874</v>
      </c>
      <c r="S877" s="32" t="n">
        <v>56435740000</v>
      </c>
      <c r="T877" s="15" t="n">
        <v>0.0338680926916222</v>
      </c>
      <c r="U877" s="32" t="n">
        <v>145355171950</v>
      </c>
      <c r="V877" s="14" t="n">
        <v>0.367519784220792</v>
      </c>
      <c r="W877" s="13" t="n">
        <v>0.0564663023679417</v>
      </c>
      <c r="X877" s="15" t="n">
        <v>0.00517241379310351</v>
      </c>
      <c r="Y877" s="13" t="n">
        <v>0.0139650184340543</v>
      </c>
      <c r="Z877" s="13" t="n">
        <v>0.0744995977277714</v>
      </c>
      <c r="AA877" s="30" t="s">
        <v>97</v>
      </c>
      <c r="AB877" s="28" t="s">
        <v>93</v>
      </c>
      <c r="AC877" s="28" t="s">
        <v>101</v>
      </c>
      <c r="AD877" s="28" t="s">
        <v>108</v>
      </c>
      <c r="AE877" s="28" t="s">
        <v>113</v>
      </c>
      <c r="AF877" s="28" t="s">
        <v>116</v>
      </c>
      <c r="AG877" s="30" t="s">
        <v>122</v>
      </c>
    </row>
    <row r="878" customFormat="false" ht="15" hidden="false" customHeight="false" outlineLevel="0" collapsed="false">
      <c r="A878" s="10" t="n">
        <v>2026</v>
      </c>
      <c r="B878" s="28" t="s">
        <v>83</v>
      </c>
      <c r="C878" s="29" t="n">
        <v>46274</v>
      </c>
      <c r="D878" s="30" t="s">
        <v>127</v>
      </c>
      <c r="E878" s="28" t="s">
        <v>1035</v>
      </c>
      <c r="F878" s="30" t="s">
        <v>1036</v>
      </c>
      <c r="G878" s="31" t="n">
        <v>67868</v>
      </c>
      <c r="H878" s="31" t="n">
        <v>1</v>
      </c>
      <c r="I878" s="31" t="n">
        <v>67868</v>
      </c>
      <c r="J878" s="29" t="n">
        <v>46276</v>
      </c>
      <c r="K878" s="31" t="n">
        <v>64535</v>
      </c>
      <c r="L878" s="30" t="s">
        <v>32</v>
      </c>
      <c r="M878" s="10" t="n">
        <v>2</v>
      </c>
      <c r="N878" s="12" t="n">
        <v>-3481</v>
      </c>
      <c r="O878" s="13" t="n">
        <v>-0.0512957732532953</v>
      </c>
      <c r="P878" s="15" t="n">
        <v>0.0520452998329106</v>
      </c>
      <c r="Q878" s="13" t="n">
        <v>-0.0628840186362308</v>
      </c>
      <c r="R878" s="15" t="n">
        <v>0.181184668989547</v>
      </c>
      <c r="S878" s="32" t="n">
        <v>45708251400</v>
      </c>
      <c r="T878" s="15" t="n">
        <v>0.111475409836066</v>
      </c>
      <c r="U878" s="32" t="n">
        <v>8322075080</v>
      </c>
      <c r="V878" s="14" t="n">
        <v>4.67216957676844</v>
      </c>
      <c r="W878" s="13" t="n">
        <v>0.175043327556326</v>
      </c>
      <c r="X878" s="15" t="n">
        <v>0.0103244837758112</v>
      </c>
      <c r="Y878" s="13" t="n">
        <v>0.0139650184340543</v>
      </c>
      <c r="Z878" s="13" t="n">
        <v>0.0744995977277714</v>
      </c>
      <c r="AA878" s="30" t="s">
        <v>97</v>
      </c>
      <c r="AB878" s="28" t="s">
        <v>93</v>
      </c>
      <c r="AC878" s="28" t="s">
        <v>103</v>
      </c>
      <c r="AD878" s="28" t="s">
        <v>107</v>
      </c>
      <c r="AE878" s="28" t="s">
        <v>114</v>
      </c>
      <c r="AF878" s="28" t="s">
        <v>118</v>
      </c>
      <c r="AG878" s="30" t="s">
        <v>122</v>
      </c>
    </row>
    <row r="879" customFormat="false" ht="15" hidden="false" customHeight="false" outlineLevel="0" collapsed="false">
      <c r="A879" s="10" t="n">
        <v>2026</v>
      </c>
      <c r="B879" s="28" t="s">
        <v>83</v>
      </c>
      <c r="C879" s="29" t="n">
        <v>46275</v>
      </c>
      <c r="D879" s="30" t="s">
        <v>128</v>
      </c>
      <c r="E879" s="28" t="s">
        <v>1145</v>
      </c>
      <c r="F879" s="30" t="s">
        <v>1146</v>
      </c>
      <c r="G879" s="31" t="n">
        <v>9680</v>
      </c>
      <c r="H879" s="31" t="n">
        <v>10</v>
      </c>
      <c r="I879" s="31" t="n">
        <v>96797</v>
      </c>
      <c r="J879" s="29" t="n">
        <v>46276</v>
      </c>
      <c r="K879" s="31" t="n">
        <v>9211</v>
      </c>
      <c r="L879" s="30" t="s">
        <v>32</v>
      </c>
      <c r="M879" s="10" t="n">
        <v>1</v>
      </c>
      <c r="N879" s="12" t="n">
        <v>-4901</v>
      </c>
      <c r="O879" s="13" t="n">
        <v>-0.0506365534672152</v>
      </c>
      <c r="P879" s="15" t="n">
        <v>0.0671851416422256</v>
      </c>
      <c r="Q879" s="13" t="n">
        <v>-0.0598853060073328</v>
      </c>
      <c r="R879" s="15" t="n">
        <v>0.100113765642776</v>
      </c>
      <c r="S879" s="32" t="n">
        <v>102052132260</v>
      </c>
      <c r="T879" s="15" t="n">
        <v>0.0353319057815846</v>
      </c>
      <c r="U879" s="32" t="n">
        <v>22377070337.5</v>
      </c>
      <c r="V879" s="14" t="n">
        <v>4.07276752317813</v>
      </c>
      <c r="W879" s="13" t="n">
        <v>0.111494252873563</v>
      </c>
      <c r="X879" s="15" t="n">
        <v>0.0579110651499484</v>
      </c>
      <c r="Y879" s="13" t="n">
        <v>-0.00251289061835269</v>
      </c>
      <c r="Z879" s="13" t="n">
        <v>0.0690692881504313</v>
      </c>
      <c r="AA879" s="30" t="s">
        <v>97</v>
      </c>
      <c r="AB879" s="28" t="s">
        <v>93</v>
      </c>
      <c r="AC879" s="28" t="s">
        <v>102</v>
      </c>
      <c r="AD879" s="28" t="s">
        <v>109</v>
      </c>
      <c r="AE879" s="28" t="s">
        <v>113</v>
      </c>
      <c r="AF879" s="28" t="s">
        <v>118</v>
      </c>
      <c r="AG879" s="30" t="s">
        <v>122</v>
      </c>
    </row>
    <row r="880" customFormat="false" ht="15" hidden="false" customHeight="false" outlineLevel="0" collapsed="false">
      <c r="A880" s="10" t="n">
        <v>2026</v>
      </c>
      <c r="B880" s="28" t="s">
        <v>83</v>
      </c>
      <c r="C880" s="29" t="n">
        <v>46275</v>
      </c>
      <c r="D880" s="30" t="s">
        <v>128</v>
      </c>
      <c r="E880" s="28" t="s">
        <v>1147</v>
      </c>
      <c r="F880" s="30" t="s">
        <v>1148</v>
      </c>
      <c r="G880" s="31" t="n">
        <v>89189</v>
      </c>
      <c r="H880" s="31" t="n">
        <v>1</v>
      </c>
      <c r="I880" s="31" t="n">
        <v>89189</v>
      </c>
      <c r="J880" s="29" t="n">
        <v>46276</v>
      </c>
      <c r="K880" s="31" t="n">
        <v>84815</v>
      </c>
      <c r="L880" s="30" t="s">
        <v>32</v>
      </c>
      <c r="M880" s="10" t="n">
        <v>1</v>
      </c>
      <c r="N880" s="12" t="n">
        <v>-4570</v>
      </c>
      <c r="O880" s="13" t="n">
        <v>-0.0512364272091545</v>
      </c>
      <c r="P880" s="15" t="n">
        <v>0.00460706521312582</v>
      </c>
      <c r="Q880" s="13" t="n">
        <v>-0.0660293690596721</v>
      </c>
      <c r="R880" s="15" t="n">
        <v>0.0632458233890214</v>
      </c>
      <c r="S880" s="32" t="n">
        <v>89345737800</v>
      </c>
      <c r="T880" s="15" t="n">
        <v>0.0556872037914693</v>
      </c>
      <c r="U880" s="32" t="n">
        <v>21364428665</v>
      </c>
      <c r="V880" s="14" t="n">
        <v>3.79100008071524</v>
      </c>
      <c r="W880" s="13" t="n">
        <v>0.064516129032258</v>
      </c>
      <c r="X880" s="15" t="n">
        <v>0.0437710437710437</v>
      </c>
      <c r="Y880" s="13" t="n">
        <v>-0.00251289061835269</v>
      </c>
      <c r="Z880" s="13" t="n">
        <v>0.0690692881504313</v>
      </c>
      <c r="AA880" s="30" t="s">
        <v>97</v>
      </c>
      <c r="AB880" s="28" t="s">
        <v>93</v>
      </c>
      <c r="AC880" s="28" t="s">
        <v>101</v>
      </c>
      <c r="AD880" s="28" t="s">
        <v>108</v>
      </c>
      <c r="AE880" s="28" t="s">
        <v>101</v>
      </c>
      <c r="AF880" s="28" t="s">
        <v>118</v>
      </c>
      <c r="AG880" s="30" t="s">
        <v>122</v>
      </c>
    </row>
    <row r="881" customFormat="false" ht="15" hidden="false" customHeight="false" outlineLevel="0" collapsed="false">
      <c r="A881" s="10" t="n">
        <v>2026</v>
      </c>
      <c r="B881" s="28" t="s">
        <v>83</v>
      </c>
      <c r="C881" s="29" t="n">
        <v>46275</v>
      </c>
      <c r="D881" s="30" t="s">
        <v>128</v>
      </c>
      <c r="E881" s="28" t="s">
        <v>1149</v>
      </c>
      <c r="F881" s="30" t="s">
        <v>1150</v>
      </c>
      <c r="G881" s="31" t="n">
        <v>3814</v>
      </c>
      <c r="H881" s="31" t="n">
        <v>26</v>
      </c>
      <c r="I881" s="31" t="n">
        <v>99159</v>
      </c>
      <c r="J881" s="29" t="n">
        <v>46279</v>
      </c>
      <c r="K881" s="31" t="n">
        <v>3626</v>
      </c>
      <c r="L881" s="30" t="s">
        <v>32</v>
      </c>
      <c r="M881" s="10" t="n">
        <v>2</v>
      </c>
      <c r="N881" s="12" t="n">
        <v>-5091</v>
      </c>
      <c r="O881" s="13" t="n">
        <v>-0.0513420351302241</v>
      </c>
      <c r="P881" s="15" t="n">
        <v>0.0527530212569585</v>
      </c>
      <c r="Q881" s="13" t="n">
        <v>-0.0731053723179707</v>
      </c>
      <c r="R881" s="15" t="n">
        <v>0.145864661654135</v>
      </c>
      <c r="S881" s="32" t="n">
        <v>49767237270</v>
      </c>
      <c r="T881" s="15" t="n">
        <v>0.137313432835821</v>
      </c>
      <c r="U881" s="32" t="n">
        <v>3830620250.5</v>
      </c>
      <c r="V881" s="14" t="n">
        <v>11.0552602331959</v>
      </c>
      <c r="W881" s="13" t="n">
        <v>0.144144144144144</v>
      </c>
      <c r="X881" s="15" t="n">
        <v>0.0328083989501313</v>
      </c>
      <c r="Y881" s="13" t="n">
        <v>-0.00251289061835269</v>
      </c>
      <c r="Z881" s="13" t="n">
        <v>0.0690692881504313</v>
      </c>
      <c r="AA881" s="30" t="s">
        <v>97</v>
      </c>
      <c r="AB881" s="28" t="s">
        <v>93</v>
      </c>
      <c r="AC881" s="28" t="s">
        <v>102</v>
      </c>
      <c r="AD881" s="28" t="s">
        <v>107</v>
      </c>
      <c r="AE881" s="28" t="s">
        <v>114</v>
      </c>
      <c r="AF881" s="28" t="s">
        <v>120</v>
      </c>
      <c r="AG881" s="30" t="s">
        <v>122</v>
      </c>
    </row>
    <row r="882" customFormat="false" ht="15" hidden="false" customHeight="false" outlineLevel="0" collapsed="false">
      <c r="A882" s="10" t="n">
        <v>2026</v>
      </c>
      <c r="B882" s="28" t="s">
        <v>83</v>
      </c>
      <c r="C882" s="29" t="n">
        <v>46276</v>
      </c>
      <c r="D882" s="30" t="s">
        <v>129</v>
      </c>
      <c r="E882" s="28" t="s">
        <v>573</v>
      </c>
      <c r="F882" s="30" t="s">
        <v>574</v>
      </c>
      <c r="G882" s="31" t="n">
        <v>35135</v>
      </c>
      <c r="H882" s="31" t="n">
        <v>2</v>
      </c>
      <c r="I882" s="31" t="n">
        <v>70270</v>
      </c>
      <c r="J882" s="29"/>
      <c r="K882" s="31"/>
      <c r="L882" s="30" t="s">
        <v>33</v>
      </c>
      <c r="M882" s="10" t="n">
        <v>8</v>
      </c>
      <c r="N882" s="12" t="n">
        <v>264</v>
      </c>
      <c r="O882" s="13" t="n">
        <v>0.00611639073177539</v>
      </c>
      <c r="P882" s="15" t="n">
        <v>0.0545010545010545</v>
      </c>
      <c r="Q882" s="13" t="n">
        <v>-0.0123836277682431</v>
      </c>
      <c r="R882" s="15" t="n">
        <v>0.0323529411764707</v>
      </c>
      <c r="S882" s="32" t="n">
        <v>97518505500</v>
      </c>
      <c r="T882" s="15" t="n">
        <v>0.0129870129870129</v>
      </c>
      <c r="U882" s="32" t="n">
        <v>96100047507.5</v>
      </c>
      <c r="V882" s="14" t="n">
        <v>0.977972772009958</v>
      </c>
      <c r="W882" s="13" t="n">
        <v>0.04</v>
      </c>
      <c r="X882" s="15" t="n">
        <v>0.00284900284900291</v>
      </c>
      <c r="Y882" s="13" t="n">
        <v>-0.0176302829716574</v>
      </c>
      <c r="Z882" s="13" t="n">
        <v>0.0333023787199744</v>
      </c>
      <c r="AA882" s="30" t="s">
        <v>97</v>
      </c>
      <c r="AB882" s="28" t="s">
        <v>93</v>
      </c>
      <c r="AC882" s="28" t="s">
        <v>100</v>
      </c>
      <c r="AD882" s="28" t="s">
        <v>108</v>
      </c>
      <c r="AE882" s="28" t="s">
        <v>112</v>
      </c>
      <c r="AF882" s="28" t="s">
        <v>116</v>
      </c>
      <c r="AG882" s="30" t="s">
        <v>122</v>
      </c>
    </row>
    <row r="883" customFormat="false" ht="15" hidden="false" customHeight="false" outlineLevel="0" collapsed="false">
      <c r="A883" s="10" t="n">
        <v>2026</v>
      </c>
      <c r="B883" s="28" t="s">
        <v>83</v>
      </c>
      <c r="C883" s="29" t="n">
        <v>46276</v>
      </c>
      <c r="D883" s="30" t="s">
        <v>129</v>
      </c>
      <c r="E883" s="28" t="s">
        <v>639</v>
      </c>
      <c r="F883" s="30" t="s">
        <v>640</v>
      </c>
      <c r="G883" s="31" t="n">
        <v>42342</v>
      </c>
      <c r="H883" s="31" t="n">
        <v>2</v>
      </c>
      <c r="I883" s="31" t="n">
        <v>84685</v>
      </c>
      <c r="J883" s="29" t="n">
        <v>46279</v>
      </c>
      <c r="K883" s="31" t="n">
        <v>39860</v>
      </c>
      <c r="L883" s="30" t="s">
        <v>32</v>
      </c>
      <c r="M883" s="10" t="n">
        <v>1</v>
      </c>
      <c r="N883" s="12" t="n">
        <v>-5149</v>
      </c>
      <c r="O883" s="13" t="n">
        <v>-0.0607961910429996</v>
      </c>
      <c r="P883" s="15" t="n">
        <v>-0.0187117846692314</v>
      </c>
      <c r="Q883" s="13" t="n">
        <v>-0.0836586581267431</v>
      </c>
      <c r="R883" s="15" t="n">
        <v>0.094437257438551</v>
      </c>
      <c r="S883" s="32" t="n">
        <v>28687775400</v>
      </c>
      <c r="T883" s="15" t="n">
        <v>0.054862842892768</v>
      </c>
      <c r="U883" s="32" t="n">
        <v>6203272335</v>
      </c>
      <c r="V883" s="14" t="n">
        <v>3.85572101826129</v>
      </c>
      <c r="W883" s="13" t="n">
        <v>0.081841432225064</v>
      </c>
      <c r="X883" s="15" t="n">
        <v>0.0153664302600474</v>
      </c>
      <c r="Y883" s="13" t="n">
        <v>-0.0176302829716574</v>
      </c>
      <c r="Z883" s="13" t="n">
        <v>0.0333023787199744</v>
      </c>
      <c r="AA883" s="30" t="s">
        <v>97</v>
      </c>
      <c r="AB883" s="28" t="s">
        <v>93</v>
      </c>
      <c r="AC883" s="28" t="s">
        <v>101</v>
      </c>
      <c r="AD883" s="28" t="s">
        <v>106</v>
      </c>
      <c r="AE883" s="28" t="s">
        <v>101</v>
      </c>
      <c r="AF883" s="28" t="s">
        <v>118</v>
      </c>
      <c r="AG883" s="30" t="s">
        <v>122</v>
      </c>
    </row>
    <row r="884" customFormat="false" ht="15" hidden="false" customHeight="false" outlineLevel="0" collapsed="false">
      <c r="A884" s="10" t="n">
        <v>2026</v>
      </c>
      <c r="B884" s="28" t="s">
        <v>83</v>
      </c>
      <c r="C884" s="29" t="n">
        <v>46280</v>
      </c>
      <c r="D884" s="30" t="s">
        <v>126</v>
      </c>
      <c r="E884" s="28" t="s">
        <v>1071</v>
      </c>
      <c r="F884" s="30" t="s">
        <v>1072</v>
      </c>
      <c r="G884" s="31" t="n">
        <v>18478</v>
      </c>
      <c r="H884" s="31" t="n">
        <v>5</v>
      </c>
      <c r="I884" s="31" t="n">
        <v>92392</v>
      </c>
      <c r="J884" s="29" t="n">
        <v>46283</v>
      </c>
      <c r="K884" s="31" t="n">
        <v>22600</v>
      </c>
      <c r="L884" s="30" t="s">
        <v>31</v>
      </c>
      <c r="M884" s="10" t="n">
        <v>3</v>
      </c>
      <c r="N884" s="12" t="n">
        <v>20351</v>
      </c>
      <c r="O884" s="13" t="n">
        <v>0.220266095280667</v>
      </c>
      <c r="P884" s="15" t="n">
        <v>0.342103183923336</v>
      </c>
      <c r="Q884" s="13" t="n">
        <v>-0.0356339218744419</v>
      </c>
      <c r="R884" s="15" t="n">
        <v>0.0142857142857142</v>
      </c>
      <c r="S884" s="32" t="n">
        <v>37090699620</v>
      </c>
      <c r="T884" s="15" t="n">
        <v>0.0142857142857142</v>
      </c>
      <c r="U884" s="32" t="n">
        <v>6437483927.5</v>
      </c>
      <c r="V884" s="14" t="n">
        <v>5.32125335732061</v>
      </c>
      <c r="W884" s="13" t="n">
        <v>-0.0117773019271948</v>
      </c>
      <c r="X884" s="15" t="n">
        <v>0.0742145178764897</v>
      </c>
      <c r="Y884" s="13" t="n">
        <v>-0.00854381190747966</v>
      </c>
      <c r="Z884" s="13" t="n">
        <v>-0.0470571656994301</v>
      </c>
      <c r="AA884" s="30" t="s">
        <v>96</v>
      </c>
      <c r="AB884" s="28" t="s">
        <v>94</v>
      </c>
      <c r="AC884" s="28" t="s">
        <v>99</v>
      </c>
      <c r="AD884" s="28" t="s">
        <v>107</v>
      </c>
      <c r="AE884" s="28" t="s">
        <v>112</v>
      </c>
      <c r="AF884" s="28" t="s">
        <v>119</v>
      </c>
      <c r="AG884" s="30" t="s">
        <v>123</v>
      </c>
    </row>
    <row r="885" customFormat="false" ht="15" hidden="false" customHeight="false" outlineLevel="0" collapsed="false">
      <c r="A885" s="10" t="n">
        <v>2026</v>
      </c>
      <c r="B885" s="28" t="s">
        <v>83</v>
      </c>
      <c r="C885" s="29" t="n">
        <v>46280</v>
      </c>
      <c r="D885" s="30" t="s">
        <v>126</v>
      </c>
      <c r="E885" s="28" t="s">
        <v>1049</v>
      </c>
      <c r="F885" s="28" t="s">
        <v>1050</v>
      </c>
      <c r="G885" s="31" t="n">
        <v>12212</v>
      </c>
      <c r="H885" s="31" t="n">
        <v>8</v>
      </c>
      <c r="I885" s="31" t="n">
        <v>97698</v>
      </c>
      <c r="J885" s="29"/>
      <c r="K885" s="31"/>
      <c r="L885" s="30" t="s">
        <v>33</v>
      </c>
      <c r="M885" s="10" t="n">
        <v>6</v>
      </c>
      <c r="N885" s="12" t="n">
        <v>9092</v>
      </c>
      <c r="O885" s="13" t="n">
        <v>0.0956256857896203</v>
      </c>
      <c r="P885" s="15" t="n">
        <v>0.168503627520021</v>
      </c>
      <c r="Q885" s="13" t="n">
        <v>-0.0165572132785247</v>
      </c>
      <c r="R885" s="15" t="n">
        <v>0.0863757791629565</v>
      </c>
      <c r="S885" s="32" t="n">
        <v>28836993600</v>
      </c>
      <c r="T885" s="15" t="n">
        <v>0.039182282793867</v>
      </c>
      <c r="U885" s="32" t="n">
        <v>4441353320</v>
      </c>
      <c r="V885" s="14" t="n">
        <v>6.01962902577628</v>
      </c>
      <c r="W885" s="13" t="n">
        <v>0.0971223021582734</v>
      </c>
      <c r="X885" s="15" t="n">
        <v>0.0573770491803278</v>
      </c>
      <c r="Y885" s="13" t="n">
        <v>-0.00854381190747966</v>
      </c>
      <c r="Z885" s="13" t="n">
        <v>-0.0470571656994301</v>
      </c>
      <c r="AA885" s="30" t="s">
        <v>96</v>
      </c>
      <c r="AB885" s="28" t="s">
        <v>94</v>
      </c>
      <c r="AC885" s="28" t="s">
        <v>101</v>
      </c>
      <c r="AD885" s="28" t="s">
        <v>106</v>
      </c>
      <c r="AE885" s="28" t="s">
        <v>113</v>
      </c>
      <c r="AF885" s="28" t="s">
        <v>119</v>
      </c>
      <c r="AG885" s="30" t="s">
        <v>122</v>
      </c>
    </row>
    <row r="886" customFormat="false" ht="15" hidden="false" customHeight="false" outlineLevel="0" collapsed="false">
      <c r="A886" s="10" t="n">
        <v>2026</v>
      </c>
      <c r="B886" s="28" t="s">
        <v>83</v>
      </c>
      <c r="C886" s="29" t="n">
        <v>46281</v>
      </c>
      <c r="D886" s="30" t="s">
        <v>127</v>
      </c>
      <c r="E886" s="28" t="s">
        <v>697</v>
      </c>
      <c r="F886" s="30" t="s">
        <v>698</v>
      </c>
      <c r="G886" s="31" t="n">
        <v>13013</v>
      </c>
      <c r="H886" s="31" t="n">
        <v>7</v>
      </c>
      <c r="I886" s="31" t="n">
        <v>91091</v>
      </c>
      <c r="J886" s="29"/>
      <c r="K886" s="31"/>
      <c r="L886" s="30" t="s">
        <v>33</v>
      </c>
      <c r="M886" s="10" t="n">
        <v>5</v>
      </c>
      <c r="N886" s="12" t="n">
        <v>2210</v>
      </c>
      <c r="O886" s="13" t="n">
        <v>0.0266656420502576</v>
      </c>
      <c r="P886" s="15" t="n">
        <v>0.0965957119803276</v>
      </c>
      <c r="Q886" s="13" t="n">
        <v>0.00130638592177057</v>
      </c>
      <c r="R886" s="15" t="n">
        <v>0.216089803554724</v>
      </c>
      <c r="S886" s="32" t="n">
        <v>98854314000</v>
      </c>
      <c r="T886" s="15" t="n">
        <v>0.199261992619926</v>
      </c>
      <c r="U886" s="32" t="n">
        <v>3228955434.5</v>
      </c>
      <c r="V886" s="14" t="n">
        <v>24.5506447702685</v>
      </c>
      <c r="W886" s="13" t="n">
        <v>0.178603807796917</v>
      </c>
      <c r="X886" s="15" t="n">
        <v>0.033076923076923</v>
      </c>
      <c r="Y886" s="13" t="n">
        <v>0.0136874062583934</v>
      </c>
      <c r="Z886" s="13" t="n">
        <v>-0.0473180706899388</v>
      </c>
      <c r="AA886" s="30" t="s">
        <v>96</v>
      </c>
      <c r="AB886" s="28" t="s">
        <v>94</v>
      </c>
      <c r="AC886" s="28" t="s">
        <v>104</v>
      </c>
      <c r="AD886" s="28" t="s">
        <v>108</v>
      </c>
      <c r="AE886" s="28" t="s">
        <v>114</v>
      </c>
      <c r="AF886" s="28" t="s">
        <v>120</v>
      </c>
      <c r="AG886" s="30" t="s">
        <v>122</v>
      </c>
    </row>
    <row r="887" customFormat="false" ht="15" hidden="false" customHeight="false" outlineLevel="0" collapsed="false">
      <c r="A887" s="10" t="n">
        <v>2026</v>
      </c>
      <c r="B887" s="28" t="s">
        <v>83</v>
      </c>
      <c r="C887" s="29" t="n">
        <v>46281</v>
      </c>
      <c r="D887" s="30" t="s">
        <v>127</v>
      </c>
      <c r="E887" s="28" t="s">
        <v>1129</v>
      </c>
      <c r="F887" s="30" t="s">
        <v>1130</v>
      </c>
      <c r="G887" s="31" t="n">
        <v>13173</v>
      </c>
      <c r="H887" s="31" t="n">
        <v>7</v>
      </c>
      <c r="I887" s="31" t="n">
        <v>92212</v>
      </c>
      <c r="J887" s="29" t="n">
        <v>46286</v>
      </c>
      <c r="K887" s="31" t="n">
        <v>15810</v>
      </c>
      <c r="L887" s="30" t="s">
        <v>31</v>
      </c>
      <c r="M887" s="10" t="n">
        <v>3</v>
      </c>
      <c r="N887" s="12" t="n">
        <v>18206</v>
      </c>
      <c r="O887" s="13" t="n">
        <v>0.19743725317236</v>
      </c>
      <c r="P887" s="15" t="n">
        <v>0.227495908346972</v>
      </c>
      <c r="Q887" s="13" t="n">
        <v>0.0103877885032901</v>
      </c>
      <c r="R887" s="15" t="n">
        <v>0.0154320987654322</v>
      </c>
      <c r="S887" s="32" t="n">
        <v>72203405960</v>
      </c>
      <c r="T887" s="15" t="n">
        <v>0.0154320987654322</v>
      </c>
      <c r="U887" s="32" t="n">
        <v>12269400661.5</v>
      </c>
      <c r="V887" s="14" t="n">
        <v>5.45545490205632</v>
      </c>
      <c r="W887" s="13" t="n">
        <v>-0.0251851851851852</v>
      </c>
      <c r="X887" s="15" t="n">
        <v>0.0721884498480243</v>
      </c>
      <c r="Y887" s="13" t="n">
        <v>0.0136874062583934</v>
      </c>
      <c r="Z887" s="13" t="n">
        <v>-0.0473180706899388</v>
      </c>
      <c r="AA887" s="30" t="s">
        <v>96</v>
      </c>
      <c r="AB887" s="28" t="s">
        <v>94</v>
      </c>
      <c r="AC887" s="28" t="s">
        <v>99</v>
      </c>
      <c r="AD887" s="28" t="s">
        <v>108</v>
      </c>
      <c r="AE887" s="28" t="s">
        <v>112</v>
      </c>
      <c r="AF887" s="28" t="s">
        <v>119</v>
      </c>
      <c r="AG887" s="30" t="s">
        <v>123</v>
      </c>
    </row>
    <row r="888" customFormat="false" ht="15" hidden="false" customHeight="false" outlineLevel="0" collapsed="false">
      <c r="A888" s="10" t="n">
        <v>2026</v>
      </c>
      <c r="B888" s="28" t="s">
        <v>83</v>
      </c>
      <c r="C888" s="29" t="n">
        <v>46281</v>
      </c>
      <c r="D888" s="30" t="s">
        <v>127</v>
      </c>
      <c r="E888" s="28" t="s">
        <v>859</v>
      </c>
      <c r="F888" s="28" t="s">
        <v>860</v>
      </c>
      <c r="G888" s="31" t="n">
        <v>52753</v>
      </c>
      <c r="H888" s="31" t="n">
        <v>1</v>
      </c>
      <c r="I888" s="31" t="n">
        <v>52753</v>
      </c>
      <c r="J888" s="29" t="n">
        <v>46286</v>
      </c>
      <c r="K888" s="31" t="n">
        <v>63800</v>
      </c>
      <c r="L888" s="30" t="s">
        <v>31</v>
      </c>
      <c r="M888" s="10" t="n">
        <v>3</v>
      </c>
      <c r="N888" s="12" t="n">
        <v>10902</v>
      </c>
      <c r="O888" s="13" t="n">
        <v>0.206666523135309</v>
      </c>
      <c r="P888" s="15" t="n">
        <v>0.22458186974316</v>
      </c>
      <c r="Q888" s="13" t="n">
        <v>-0.0237466518301432</v>
      </c>
      <c r="R888" s="15" t="n">
        <v>0.0678824721377913</v>
      </c>
      <c r="S888" s="32" t="n">
        <v>54848262800</v>
      </c>
      <c r="T888" s="15" t="n">
        <v>0.0252918287937742</v>
      </c>
      <c r="U888" s="32" t="n">
        <v>18389866862.5</v>
      </c>
      <c r="V888" s="14" t="n">
        <v>2.75501441614863</v>
      </c>
      <c r="W888" s="13" t="n">
        <v>0.0134615384615384</v>
      </c>
      <c r="X888" s="15" t="n">
        <v>0.0265654648956357</v>
      </c>
      <c r="Y888" s="13" t="n">
        <v>0.0136874062583934</v>
      </c>
      <c r="Z888" s="13" t="n">
        <v>-0.0473180706899388</v>
      </c>
      <c r="AA888" s="30" t="s">
        <v>96</v>
      </c>
      <c r="AB888" s="28" t="s">
        <v>94</v>
      </c>
      <c r="AC888" s="28" t="s">
        <v>101</v>
      </c>
      <c r="AD888" s="28" t="s">
        <v>108</v>
      </c>
      <c r="AE888" s="28" t="s">
        <v>113</v>
      </c>
      <c r="AF888" s="28" t="s">
        <v>117</v>
      </c>
      <c r="AG888" s="30" t="s">
        <v>122</v>
      </c>
    </row>
    <row r="889" customFormat="false" ht="15" hidden="false" customHeight="false" outlineLevel="0" collapsed="false">
      <c r="A889" s="10" t="n">
        <v>2026</v>
      </c>
      <c r="B889" s="28" t="s">
        <v>83</v>
      </c>
      <c r="C889" s="29" t="n">
        <v>46283</v>
      </c>
      <c r="D889" s="30" t="s">
        <v>129</v>
      </c>
      <c r="E889" s="28" t="s">
        <v>855</v>
      </c>
      <c r="F889" s="30" t="s">
        <v>856</v>
      </c>
      <c r="G889" s="31" t="n">
        <v>12543</v>
      </c>
      <c r="H889" s="31" t="n">
        <v>7</v>
      </c>
      <c r="I889" s="31" t="n">
        <v>87798</v>
      </c>
      <c r="J889" s="29"/>
      <c r="K889" s="31"/>
      <c r="L889" s="30" t="s">
        <v>33</v>
      </c>
      <c r="M889" s="10" t="n">
        <v>3</v>
      </c>
      <c r="N889" s="12" t="n">
        <v>-224</v>
      </c>
      <c r="O889" s="13" t="n">
        <v>-0.000201713689343297</v>
      </c>
      <c r="P889" s="15" t="n">
        <v>0.0420545137225106</v>
      </c>
      <c r="Q889" s="13" t="n">
        <v>-0.0209311837404415</v>
      </c>
      <c r="R889" s="15" t="n">
        <v>0.0820379965457685</v>
      </c>
      <c r="S889" s="32" t="n">
        <v>129490959220</v>
      </c>
      <c r="T889" s="15" t="n">
        <v>0.0773860705073086</v>
      </c>
      <c r="U889" s="32" t="n">
        <v>10237456814</v>
      </c>
      <c r="V889" s="14" t="n">
        <v>11.1942797622684</v>
      </c>
      <c r="W889" s="13" t="n">
        <v>0.027049180327869</v>
      </c>
      <c r="X889" s="15" t="n">
        <v>0.102952913008779</v>
      </c>
      <c r="Y889" s="13" t="n">
        <v>0.0266283071324014</v>
      </c>
      <c r="Z889" s="13" t="n">
        <v>-0.00226920466402603</v>
      </c>
      <c r="AA889" s="30" t="s">
        <v>97</v>
      </c>
      <c r="AB889" s="28" t="s">
        <v>94</v>
      </c>
      <c r="AC889" s="28" t="s">
        <v>101</v>
      </c>
      <c r="AD889" s="28" t="s">
        <v>109</v>
      </c>
      <c r="AE889" s="28" t="s">
        <v>101</v>
      </c>
      <c r="AF889" s="28" t="s">
        <v>120</v>
      </c>
      <c r="AG889" s="30" t="s">
        <v>122</v>
      </c>
    </row>
    <row r="890" customFormat="false" ht="15" hidden="false" customHeight="false" outlineLevel="0" collapsed="false">
      <c r="A890" s="10" t="n">
        <v>2026</v>
      </c>
      <c r="B890" s="28" t="s">
        <v>83</v>
      </c>
      <c r="C890" s="29" t="n">
        <v>46286</v>
      </c>
      <c r="D890" s="30" t="s">
        <v>125</v>
      </c>
      <c r="E890" s="28" t="s">
        <v>713</v>
      </c>
      <c r="F890" s="30" t="s">
        <v>714</v>
      </c>
      <c r="G890" s="31" t="n">
        <v>44845</v>
      </c>
      <c r="H890" s="31" t="n">
        <v>2</v>
      </c>
      <c r="I890" s="31" t="n">
        <v>89690</v>
      </c>
      <c r="J890" s="29"/>
      <c r="K890" s="31"/>
      <c r="L890" s="30" t="s">
        <v>33</v>
      </c>
      <c r="M890" s="10" t="n">
        <v>2</v>
      </c>
      <c r="N890" s="12" t="n">
        <v>2494</v>
      </c>
      <c r="O890" s="13" t="n">
        <v>0.0302197802197803</v>
      </c>
      <c r="P890" s="15" t="n">
        <v>0.0670133437990581</v>
      </c>
      <c r="Q890" s="13" t="n">
        <v>-0.0166083916083916</v>
      </c>
      <c r="R890" s="15" t="n">
        <v>0.159120310478655</v>
      </c>
      <c r="S890" s="32" t="n">
        <v>291820256000</v>
      </c>
      <c r="T890" s="15" t="n">
        <v>0.156129032258065</v>
      </c>
      <c r="U890" s="32" t="n">
        <v>49312922610</v>
      </c>
      <c r="V890" s="14" t="n">
        <v>4.77388880128897</v>
      </c>
      <c r="W890" s="13" t="n">
        <v>0.148717948717949</v>
      </c>
      <c r="X890" s="15" t="n">
        <v>0.0133928571428572</v>
      </c>
      <c r="Y890" s="13" t="n">
        <v>0.0164615917948778</v>
      </c>
      <c r="Z890" s="13" t="n">
        <v>0.0483740427295318</v>
      </c>
      <c r="AA890" s="30" t="s">
        <v>97</v>
      </c>
      <c r="AB890" s="28" t="s">
        <v>93</v>
      </c>
      <c r="AC890" s="28" t="s">
        <v>103</v>
      </c>
      <c r="AD890" s="28" t="s">
        <v>110</v>
      </c>
      <c r="AE890" s="28" t="s">
        <v>114</v>
      </c>
      <c r="AF890" s="28" t="s">
        <v>118</v>
      </c>
      <c r="AG890" s="30" t="s">
        <v>122</v>
      </c>
    </row>
    <row r="891" customFormat="false" ht="15" hidden="false" customHeight="false" outlineLevel="0" collapsed="false">
      <c r="A891" s="10" t="n">
        <v>2026</v>
      </c>
      <c r="B891" s="28" t="s">
        <v>83</v>
      </c>
      <c r="C891" s="29" t="n">
        <v>46286</v>
      </c>
      <c r="D891" s="30" t="s">
        <v>125</v>
      </c>
      <c r="E891" s="28" t="s">
        <v>603</v>
      </c>
      <c r="F891" s="30" t="s">
        <v>604</v>
      </c>
      <c r="G891" s="31" t="n">
        <v>10460</v>
      </c>
      <c r="H891" s="31" t="n">
        <v>9</v>
      </c>
      <c r="I891" s="31" t="n">
        <v>94144</v>
      </c>
      <c r="J891" s="29" t="n">
        <v>46287</v>
      </c>
      <c r="K891" s="31" t="n">
        <v>9950</v>
      </c>
      <c r="L891" s="30" t="s">
        <v>32</v>
      </c>
      <c r="M891" s="10" t="n">
        <v>1</v>
      </c>
      <c r="N891" s="12" t="n">
        <v>-4800</v>
      </c>
      <c r="O891" s="13" t="n">
        <v>-0.0509893602569678</v>
      </c>
      <c r="P891" s="15" t="n">
        <v>-0.0401942555052602</v>
      </c>
      <c r="Q891" s="13" t="n">
        <v>-0.0918172736354553</v>
      </c>
      <c r="R891" s="15" t="n">
        <v>0.182126696832579</v>
      </c>
      <c r="S891" s="32" t="n">
        <v>24040507150</v>
      </c>
      <c r="T891" s="15" t="n">
        <v>0.128509719222462</v>
      </c>
      <c r="U891" s="32" t="n">
        <v>3705169704.5</v>
      </c>
      <c r="V891" s="14" t="n">
        <v>5.49571784568</v>
      </c>
      <c r="W891" s="13" t="n">
        <v>0.0598377281947262</v>
      </c>
      <c r="X891" s="15" t="n">
        <v>0.00478468899521523</v>
      </c>
      <c r="Y891" s="13" t="n">
        <v>0.0164615917948778</v>
      </c>
      <c r="Z891" s="13" t="n">
        <v>0.0483740427295318</v>
      </c>
      <c r="AA891" s="30" t="s">
        <v>97</v>
      </c>
      <c r="AB891" s="28" t="s">
        <v>93</v>
      </c>
      <c r="AC891" s="28" t="s">
        <v>103</v>
      </c>
      <c r="AD891" s="28" t="s">
        <v>106</v>
      </c>
      <c r="AE891" s="28" t="s">
        <v>114</v>
      </c>
      <c r="AF891" s="28" t="s">
        <v>119</v>
      </c>
      <c r="AG891" s="30" t="s">
        <v>122</v>
      </c>
    </row>
    <row r="892" customFormat="false" ht="15" hidden="false" customHeight="false" outlineLevel="0" collapsed="false">
      <c r="A892" s="10" t="n">
        <v>2026</v>
      </c>
      <c r="B892" s="28" t="s">
        <v>83</v>
      </c>
      <c r="C892" s="29" t="n">
        <v>46287</v>
      </c>
      <c r="D892" s="30" t="s">
        <v>126</v>
      </c>
      <c r="E892" s="28" t="s">
        <v>1009</v>
      </c>
      <c r="F892" s="30" t="s">
        <v>1010</v>
      </c>
      <c r="G892" s="31" t="n">
        <v>65666</v>
      </c>
      <c r="H892" s="31" t="n">
        <v>1</v>
      </c>
      <c r="I892" s="31" t="n">
        <v>65666</v>
      </c>
      <c r="J892" s="29" t="n">
        <v>46288</v>
      </c>
      <c r="K892" s="31" t="n">
        <v>62438</v>
      </c>
      <c r="L892" s="30" t="s">
        <v>32</v>
      </c>
      <c r="M892" s="10" t="n">
        <v>1</v>
      </c>
      <c r="N892" s="12" t="n">
        <v>-3372</v>
      </c>
      <c r="O892" s="13" t="n">
        <v>-0.0513539884658025</v>
      </c>
      <c r="P892" s="15" t="n">
        <v>0.00813820326015469</v>
      </c>
      <c r="Q892" s="13" t="n">
        <v>-0.052776491800882</v>
      </c>
      <c r="R892" s="15" t="n">
        <v>0.254302103250478</v>
      </c>
      <c r="S892" s="32" t="n">
        <v>195153768000</v>
      </c>
      <c r="T892" s="15" t="n">
        <v>0.0701468189233279</v>
      </c>
      <c r="U892" s="32" t="n">
        <v>12569469735</v>
      </c>
      <c r="V892" s="14" t="n">
        <v>12.9959477559322</v>
      </c>
      <c r="W892" s="13" t="n">
        <v>0.0789473684210527</v>
      </c>
      <c r="X892" s="15" t="n">
        <v>0.0350609756097562</v>
      </c>
      <c r="Y892" s="13" t="n">
        <v>0.00145411060944212</v>
      </c>
      <c r="Z892" s="13" t="n">
        <v>0.0589459293886161</v>
      </c>
      <c r="AA892" s="30" t="s">
        <v>97</v>
      </c>
      <c r="AB892" s="28" t="s">
        <v>93</v>
      </c>
      <c r="AC892" s="28" t="s">
        <v>104</v>
      </c>
      <c r="AD892" s="28" t="s">
        <v>109</v>
      </c>
      <c r="AE892" s="28" t="s">
        <v>101</v>
      </c>
      <c r="AF892" s="28" t="s">
        <v>120</v>
      </c>
      <c r="AG892" s="30" t="s">
        <v>122</v>
      </c>
    </row>
    <row r="893" customFormat="false" ht="15" hidden="false" customHeight="false" outlineLevel="0" collapsed="false">
      <c r="A893" s="10" t="n">
        <v>2026</v>
      </c>
      <c r="B893" s="28" t="s">
        <v>83</v>
      </c>
      <c r="C893" s="29" t="n">
        <v>46287</v>
      </c>
      <c r="D893" s="30" t="s">
        <v>126</v>
      </c>
      <c r="E893" s="28" t="s">
        <v>313</v>
      </c>
      <c r="F893" s="30" t="s">
        <v>314</v>
      </c>
      <c r="G893" s="31" t="n">
        <v>75075</v>
      </c>
      <c r="H893" s="31" t="n">
        <v>1</v>
      </c>
      <c r="I893" s="31" t="n">
        <v>75075</v>
      </c>
      <c r="J893" s="29" t="n">
        <v>46288</v>
      </c>
      <c r="K893" s="31" t="n">
        <v>71428</v>
      </c>
      <c r="L893" s="30" t="s">
        <v>32</v>
      </c>
      <c r="M893" s="10" t="n">
        <v>1</v>
      </c>
      <c r="N893" s="12" t="n">
        <v>-3811</v>
      </c>
      <c r="O893" s="13" t="n">
        <v>-0.0507669999999999</v>
      </c>
      <c r="P893" s="15" t="n">
        <v>0.0323010323010324</v>
      </c>
      <c r="Q893" s="13" t="n">
        <v>-0.0476190476190475</v>
      </c>
      <c r="R893" s="15" t="n">
        <v>0.0744985673352436</v>
      </c>
      <c r="S893" s="32" t="n">
        <v>134639400000</v>
      </c>
      <c r="T893" s="15" t="n">
        <v>0.0699001426533523</v>
      </c>
      <c r="U893" s="32" t="n">
        <v>38946017775</v>
      </c>
      <c r="V893" s="14" t="n">
        <v>3.11532308649164</v>
      </c>
      <c r="W893" s="13" t="n">
        <v>0.0518934081346423</v>
      </c>
      <c r="X893" s="15" t="n">
        <v>0.0253333333333334</v>
      </c>
      <c r="Y893" s="13" t="n">
        <v>0.00145411060944212</v>
      </c>
      <c r="Z893" s="13" t="n">
        <v>0.0589459293886161</v>
      </c>
      <c r="AA893" s="30" t="s">
        <v>97</v>
      </c>
      <c r="AB893" s="28" t="s">
        <v>93</v>
      </c>
      <c r="AC893" s="28" t="s">
        <v>101</v>
      </c>
      <c r="AD893" s="28" t="s">
        <v>109</v>
      </c>
      <c r="AE893" s="28" t="s">
        <v>101</v>
      </c>
      <c r="AF893" s="28" t="s">
        <v>118</v>
      </c>
      <c r="AG893" s="30" t="s">
        <v>122</v>
      </c>
    </row>
    <row r="894" customFormat="false" ht="15" hidden="false" customHeight="false" outlineLevel="0" collapsed="false">
      <c r="A894" s="10" t="n">
        <v>2026</v>
      </c>
      <c r="B894" s="28" t="s">
        <v>83</v>
      </c>
      <c r="C894" s="29" t="n">
        <v>46287</v>
      </c>
      <c r="D894" s="30" t="s">
        <v>126</v>
      </c>
      <c r="E894" s="28" t="s">
        <v>471</v>
      </c>
      <c r="F894" s="30" t="s">
        <v>472</v>
      </c>
      <c r="G894" s="31" t="n">
        <v>90791</v>
      </c>
      <c r="H894" s="31" t="n">
        <v>1</v>
      </c>
      <c r="I894" s="31" t="n">
        <v>90791</v>
      </c>
      <c r="J894" s="29"/>
      <c r="K894" s="31"/>
      <c r="L894" s="30" t="s">
        <v>33</v>
      </c>
      <c r="M894" s="10" t="n">
        <v>1</v>
      </c>
      <c r="N894" s="12" t="n">
        <v>95</v>
      </c>
      <c r="O894" s="13" t="n">
        <v>0.00340673659306523</v>
      </c>
      <c r="P894" s="15" t="n">
        <v>0.0243339901553794</v>
      </c>
      <c r="Q894" s="13" t="n">
        <v>-0.00430330419305058</v>
      </c>
      <c r="R894" s="15" t="n">
        <v>0.0283446712018141</v>
      </c>
      <c r="S894" s="32" t="n">
        <v>39420759600</v>
      </c>
      <c r="T894" s="15" t="n">
        <v>0.0248587570621468</v>
      </c>
      <c r="U894" s="32" t="n">
        <v>23210050645</v>
      </c>
      <c r="V894" s="14" t="n">
        <v>1.63406209712682</v>
      </c>
      <c r="W894" s="13" t="n">
        <v>0.0145413870246085</v>
      </c>
      <c r="X894" s="15" t="n">
        <v>0.0165380374862183</v>
      </c>
      <c r="Y894" s="13" t="n">
        <v>0.00145411060944212</v>
      </c>
      <c r="Z894" s="13" t="n">
        <v>0.0589459293886161</v>
      </c>
      <c r="AA894" s="30" t="s">
        <v>97</v>
      </c>
      <c r="AB894" s="28" t="s">
        <v>93</v>
      </c>
      <c r="AC894" s="28" t="s">
        <v>99</v>
      </c>
      <c r="AD894" s="28" t="s">
        <v>107</v>
      </c>
      <c r="AE894" s="28" t="s">
        <v>113</v>
      </c>
      <c r="AF894" s="28" t="s">
        <v>116</v>
      </c>
      <c r="AG894" s="30" t="s">
        <v>122</v>
      </c>
    </row>
    <row r="895" customFormat="false" ht="15" hidden="false" customHeight="false" outlineLevel="0" collapsed="false">
      <c r="A895" s="10" t="n">
        <v>2026</v>
      </c>
      <c r="B895" s="28" t="s">
        <v>83</v>
      </c>
      <c r="C895" s="29" t="n">
        <v>46288</v>
      </c>
      <c r="D895" s="30" t="s">
        <v>127</v>
      </c>
      <c r="E895" s="28" t="s">
        <v>943</v>
      </c>
      <c r="F895" s="30" t="s">
        <v>944</v>
      </c>
      <c r="G895" s="31" t="n">
        <v>62462</v>
      </c>
      <c r="H895" s="31" t="n">
        <v>1</v>
      </c>
      <c r="I895" s="31" t="n">
        <v>62462</v>
      </c>
      <c r="J895" s="29"/>
      <c r="K895" s="31"/>
      <c r="L895" s="30" t="s">
        <v>33</v>
      </c>
      <c r="M895" s="10" t="n">
        <v>0</v>
      </c>
      <c r="N895" s="12" t="n">
        <v>-209</v>
      </c>
      <c r="O895" s="13" t="n">
        <v>-0.000999000999000854</v>
      </c>
      <c r="P895" s="15" t="n">
        <v>0</v>
      </c>
      <c r="Q895" s="13" t="n">
        <v>0</v>
      </c>
      <c r="R895" s="15" t="n">
        <v>0.102473498233216</v>
      </c>
      <c r="S895" s="32" t="n">
        <v>65747822400</v>
      </c>
      <c r="T895" s="15" t="n">
        <v>0.0314049586776859</v>
      </c>
      <c r="U895" s="32" t="n">
        <v>31871165072.5</v>
      </c>
      <c r="V895" s="14" t="n">
        <v>1.75584708272029</v>
      </c>
      <c r="W895" s="13" t="n">
        <v>0.0179445350734095</v>
      </c>
      <c r="X895" s="15" t="n">
        <v>0.0176282051282051</v>
      </c>
      <c r="Y895" s="13" t="n">
        <v>0.00897845654902962</v>
      </c>
      <c r="Z895" s="13" t="n">
        <v>0.0540267372435423</v>
      </c>
      <c r="AA895" s="30" t="s">
        <v>97</v>
      </c>
      <c r="AB895" s="28" t="s">
        <v>93</v>
      </c>
      <c r="AC895" s="28" t="s">
        <v>102</v>
      </c>
      <c r="AD895" s="28" t="s">
        <v>108</v>
      </c>
      <c r="AE895" s="28" t="s">
        <v>113</v>
      </c>
      <c r="AF895" s="28" t="s">
        <v>116</v>
      </c>
      <c r="AG895" s="30" t="s">
        <v>122</v>
      </c>
    </row>
    <row r="896" customFormat="false" ht="15" hidden="false" customHeight="false" outlineLevel="0" collapsed="false">
      <c r="A896" s="10" t="n">
        <v>2026</v>
      </c>
      <c r="B896" s="28" t="s">
        <v>83</v>
      </c>
      <c r="C896" s="29" t="n">
        <v>46288</v>
      </c>
      <c r="D896" s="30" t="s">
        <v>127</v>
      </c>
      <c r="E896" s="28" t="s">
        <v>305</v>
      </c>
      <c r="F896" s="30" t="s">
        <v>306</v>
      </c>
      <c r="G896" s="31" t="n">
        <v>46847</v>
      </c>
      <c r="H896" s="31" t="n">
        <v>2</v>
      </c>
      <c r="I896" s="31" t="n">
        <v>93694</v>
      </c>
      <c r="J896" s="29"/>
      <c r="K896" s="31"/>
      <c r="L896" s="30" t="s">
        <v>33</v>
      </c>
      <c r="M896" s="10" t="n">
        <v>0</v>
      </c>
      <c r="N896" s="12" t="n">
        <v>-314</v>
      </c>
      <c r="O896" s="13" t="n">
        <v>-0.000999000999000854</v>
      </c>
      <c r="P896" s="15" t="n">
        <v>0</v>
      </c>
      <c r="Q896" s="13" t="n">
        <v>0</v>
      </c>
      <c r="R896" s="15" t="n">
        <v>0.0896391152502911</v>
      </c>
      <c r="S896" s="32" t="n">
        <v>46048860000</v>
      </c>
      <c r="T896" s="15" t="n">
        <v>0.0896391152502911</v>
      </c>
      <c r="U896" s="32" t="n">
        <v>10042271042.5</v>
      </c>
      <c r="V896" s="14" t="n">
        <v>4.07049260013859</v>
      </c>
      <c r="W896" s="13" t="n">
        <v>0.0636363636363637</v>
      </c>
      <c r="X896" s="15" t="n">
        <v>0.00641025641025639</v>
      </c>
      <c r="Y896" s="13" t="n">
        <v>0.00897845654902962</v>
      </c>
      <c r="Z896" s="13" t="n">
        <v>0.0540267372435423</v>
      </c>
      <c r="AA896" s="30" t="s">
        <v>97</v>
      </c>
      <c r="AB896" s="28" t="s">
        <v>93</v>
      </c>
      <c r="AC896" s="28" t="s">
        <v>101</v>
      </c>
      <c r="AD896" s="28" t="s">
        <v>107</v>
      </c>
      <c r="AE896" s="28" t="s">
        <v>101</v>
      </c>
      <c r="AF896" s="28" t="s">
        <v>118</v>
      </c>
      <c r="AG896" s="30" t="s">
        <v>122</v>
      </c>
    </row>
  </sheetData>
  <autoFilter ref="A1:AG8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5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3" min="12" style="0" width="7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8" min="16" style="0" width="9"/>
    <col collapsed="false" customWidth="true" hidden="false" outlineLevel="0" max="19" min="19" style="0" width="12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7" min="24" style="0" width="9"/>
    <col collapsed="false" customWidth="true" hidden="false" outlineLevel="0" max="28" min="28" style="0" width="10"/>
    <col collapsed="false" customWidth="true" hidden="false" outlineLevel="0" max="29" min="29" style="0" width="12"/>
    <col collapsed="false" customWidth="true" hidden="false" outlineLevel="0" max="30" min="30" style="0" width="14"/>
    <col collapsed="false" customWidth="true" hidden="false" outlineLevel="0" max="32" min="31" style="0" width="12"/>
    <col collapsed="false" customWidth="true" hidden="false" outlineLevel="0" max="33" min="33" style="0" width="9"/>
  </cols>
  <sheetData>
    <row r="1" customFormat="false" ht="30" hidden="false" customHeight="true" outlineLevel="0" collapsed="false">
      <c r="A1" s="7" t="s">
        <v>29</v>
      </c>
      <c r="B1" s="7" t="s">
        <v>48</v>
      </c>
      <c r="C1" s="7" t="s">
        <v>130</v>
      </c>
      <c r="D1" s="7" t="s">
        <v>131</v>
      </c>
      <c r="E1" s="7" t="s">
        <v>132</v>
      </c>
      <c r="F1" s="7" t="s">
        <v>133</v>
      </c>
      <c r="G1" s="7" t="s">
        <v>134</v>
      </c>
      <c r="H1" s="7" t="s">
        <v>135</v>
      </c>
      <c r="I1" s="7" t="s">
        <v>136</v>
      </c>
      <c r="J1" s="7" t="s">
        <v>137</v>
      </c>
      <c r="K1" s="7" t="s">
        <v>138</v>
      </c>
      <c r="L1" s="7" t="s">
        <v>139</v>
      </c>
      <c r="M1" s="7" t="s">
        <v>140</v>
      </c>
      <c r="N1" s="7" t="s">
        <v>141</v>
      </c>
      <c r="O1" s="7" t="s">
        <v>142</v>
      </c>
      <c r="P1" s="7" t="s">
        <v>143</v>
      </c>
      <c r="Q1" s="7" t="s">
        <v>144</v>
      </c>
      <c r="R1" s="7" t="s">
        <v>145</v>
      </c>
      <c r="S1" s="7" t="s">
        <v>146</v>
      </c>
      <c r="T1" s="8" t="s">
        <v>147</v>
      </c>
      <c r="U1" s="8" t="s">
        <v>148</v>
      </c>
      <c r="V1" s="7" t="s">
        <v>149</v>
      </c>
      <c r="W1" s="7" t="s">
        <v>150</v>
      </c>
      <c r="X1" s="7" t="s">
        <v>151</v>
      </c>
      <c r="Y1" s="7" t="s">
        <v>152</v>
      </c>
      <c r="Z1" s="7" t="s">
        <v>153</v>
      </c>
      <c r="AA1" s="7" t="s">
        <v>154</v>
      </c>
      <c r="AB1" s="7" t="s">
        <v>155</v>
      </c>
      <c r="AC1" s="7" t="s">
        <v>156</v>
      </c>
      <c r="AD1" s="7" t="s">
        <v>157</v>
      </c>
      <c r="AE1" s="7" t="s">
        <v>158</v>
      </c>
      <c r="AF1" s="7" t="s">
        <v>159</v>
      </c>
      <c r="AG1" s="7" t="s">
        <v>160</v>
      </c>
    </row>
    <row r="2" customFormat="false" ht="15" hidden="false" customHeight="false" outlineLevel="0" collapsed="false">
      <c r="A2" s="10" t="n">
        <v>2024</v>
      </c>
      <c r="B2" s="28" t="s">
        <v>51</v>
      </c>
      <c r="C2" s="29" t="n">
        <v>45302</v>
      </c>
      <c r="D2" s="30" t="s">
        <v>128</v>
      </c>
      <c r="E2" s="28" t="s">
        <v>1151</v>
      </c>
      <c r="F2" s="30" t="s">
        <v>1152</v>
      </c>
      <c r="G2" s="31" t="n">
        <v>7538</v>
      </c>
      <c r="H2" s="31" t="n">
        <v>13</v>
      </c>
      <c r="I2" s="31" t="n">
        <v>97988</v>
      </c>
      <c r="J2" s="29" t="n">
        <v>45303</v>
      </c>
      <c r="K2" s="31" t="n">
        <v>7173</v>
      </c>
      <c r="L2" s="30" t="s">
        <v>32</v>
      </c>
      <c r="M2" s="10" t="n">
        <v>1</v>
      </c>
      <c r="N2" s="12" t="n">
        <v>-4938</v>
      </c>
      <c r="O2" s="13" t="n">
        <v>-0.0503915246108471</v>
      </c>
      <c r="P2" s="15" t="n">
        <v>0.0706425049054533</v>
      </c>
      <c r="Q2" s="13" t="n">
        <v>-0.194696405851784</v>
      </c>
      <c r="R2" s="15" t="n">
        <v>0.187697160883281</v>
      </c>
      <c r="S2" s="32" t="n">
        <v>126088630140</v>
      </c>
      <c r="T2" s="15" t="n">
        <v>0.0726495726495726</v>
      </c>
      <c r="U2" s="32" t="n">
        <v>32680184768</v>
      </c>
      <c r="V2" s="14" t="n">
        <v>3.06966207171206</v>
      </c>
      <c r="W2" s="13" t="n">
        <v>0.0834532374100721</v>
      </c>
      <c r="X2" s="15" t="n">
        <v>0.0916334661354581</v>
      </c>
      <c r="Y2" s="13" t="n">
        <v>-0.000672703955184595</v>
      </c>
      <c r="Z2" s="13" t="n">
        <v>-0.0180709851489358</v>
      </c>
      <c r="AA2" s="30" t="s">
        <v>96</v>
      </c>
      <c r="AB2" s="28" t="s">
        <v>94</v>
      </c>
      <c r="AC2" s="28" t="s">
        <v>103</v>
      </c>
      <c r="AD2" s="28" t="s">
        <v>109</v>
      </c>
      <c r="AE2" s="28" t="s">
        <v>101</v>
      </c>
      <c r="AF2" s="28" t="s">
        <v>118</v>
      </c>
      <c r="AG2" s="30" t="s">
        <v>122</v>
      </c>
    </row>
    <row r="3" customFormat="false" ht="15" hidden="false" customHeight="false" outlineLevel="0" collapsed="false">
      <c r="A3" s="10" t="n">
        <v>2024</v>
      </c>
      <c r="B3" s="28" t="s">
        <v>51</v>
      </c>
      <c r="C3" s="29" t="n">
        <v>45302</v>
      </c>
      <c r="D3" s="30" t="s">
        <v>128</v>
      </c>
      <c r="E3" s="28" t="s">
        <v>1153</v>
      </c>
      <c r="F3" s="28" t="s">
        <v>1154</v>
      </c>
      <c r="G3" s="31" t="n">
        <v>2783</v>
      </c>
      <c r="H3" s="31" t="n">
        <v>35</v>
      </c>
      <c r="I3" s="31" t="n">
        <v>97397</v>
      </c>
      <c r="J3" s="29" t="n">
        <v>45303</v>
      </c>
      <c r="K3" s="31" t="n">
        <v>2647</v>
      </c>
      <c r="L3" s="30" t="s">
        <v>32</v>
      </c>
      <c r="M3" s="10" t="n">
        <v>1</v>
      </c>
      <c r="N3" s="12" t="n">
        <v>-4935</v>
      </c>
      <c r="O3" s="13" t="n">
        <v>-0.0506722592156047</v>
      </c>
      <c r="P3" s="15" t="n">
        <v>-0.00459252977238578</v>
      </c>
      <c r="Q3" s="13" t="n">
        <v>-0.0674792833066213</v>
      </c>
      <c r="R3" s="15" t="n">
        <v>0.0490566037735849</v>
      </c>
      <c r="S3" s="32" t="n">
        <v>36054211980</v>
      </c>
      <c r="T3" s="15" t="n">
        <v>0.0054249547920433</v>
      </c>
      <c r="U3" s="32" t="n">
        <v>7101772382.75</v>
      </c>
      <c r="V3" s="14" t="n">
        <v>4.885291355266</v>
      </c>
      <c r="W3" s="13" t="n">
        <v>-0.00714285714285712</v>
      </c>
      <c r="X3" s="15" t="n">
        <v>0.106115107913669</v>
      </c>
      <c r="Y3" s="13" t="n">
        <v>-0.000672703955184595</v>
      </c>
      <c r="Z3" s="13" t="n">
        <v>-0.0180709851489358</v>
      </c>
      <c r="AA3" s="30" t="s">
        <v>96</v>
      </c>
      <c r="AB3" s="28" t="s">
        <v>94</v>
      </c>
      <c r="AC3" s="28" t="s">
        <v>100</v>
      </c>
      <c r="AD3" s="28" t="s">
        <v>107</v>
      </c>
      <c r="AE3" s="28" t="s">
        <v>112</v>
      </c>
      <c r="AF3" s="28" t="s">
        <v>118</v>
      </c>
      <c r="AG3" s="30" t="s">
        <v>123</v>
      </c>
    </row>
    <row r="4" customFormat="false" ht="15" hidden="false" customHeight="false" outlineLevel="0" collapsed="false">
      <c r="A4" s="10" t="n">
        <v>2024</v>
      </c>
      <c r="B4" s="28" t="s">
        <v>51</v>
      </c>
      <c r="C4" s="29" t="n">
        <v>45302</v>
      </c>
      <c r="D4" s="30" t="s">
        <v>128</v>
      </c>
      <c r="E4" s="28" t="s">
        <v>811</v>
      </c>
      <c r="F4" s="30" t="s">
        <v>812</v>
      </c>
      <c r="G4" s="31" t="n">
        <v>6817</v>
      </c>
      <c r="H4" s="31" t="n">
        <v>14</v>
      </c>
      <c r="I4" s="31" t="n">
        <v>95435</v>
      </c>
      <c r="J4" s="29" t="n">
        <v>45315</v>
      </c>
      <c r="K4" s="31" t="n">
        <v>6484</v>
      </c>
      <c r="L4" s="30" t="s">
        <v>32</v>
      </c>
      <c r="M4" s="10" t="n">
        <v>9</v>
      </c>
      <c r="N4" s="12" t="n">
        <v>-4858</v>
      </c>
      <c r="O4" s="13" t="n">
        <v>-0.0508984944570849</v>
      </c>
      <c r="P4" s="15" t="n">
        <v>0.0166045408336157</v>
      </c>
      <c r="Q4" s="13" t="n">
        <v>-0.0904836719814692</v>
      </c>
      <c r="R4" s="15" t="n">
        <v>0.0365296803652968</v>
      </c>
      <c r="S4" s="32" t="n">
        <v>24215079720</v>
      </c>
      <c r="T4" s="15" t="n">
        <v>0.00147058823529411</v>
      </c>
      <c r="U4" s="32" t="n">
        <v>4312038099.5</v>
      </c>
      <c r="V4" s="14" t="n">
        <v>5.40088830779522</v>
      </c>
      <c r="W4" s="13" t="n">
        <v>0.0271493212669682</v>
      </c>
      <c r="X4" s="15" t="n">
        <v>0.0279001468428781</v>
      </c>
      <c r="Y4" s="13" t="n">
        <v>-0.000672703955184595</v>
      </c>
      <c r="Z4" s="13" t="n">
        <v>-0.0180709851489358</v>
      </c>
      <c r="AA4" s="30" t="s">
        <v>96</v>
      </c>
      <c r="AB4" s="28" t="s">
        <v>94</v>
      </c>
      <c r="AC4" s="28" t="s">
        <v>100</v>
      </c>
      <c r="AD4" s="28" t="s">
        <v>106</v>
      </c>
      <c r="AE4" s="28" t="s">
        <v>112</v>
      </c>
      <c r="AF4" s="28" t="s">
        <v>119</v>
      </c>
      <c r="AG4" s="30" t="s">
        <v>122</v>
      </c>
    </row>
    <row r="5" customFormat="false" ht="15" hidden="false" customHeight="false" outlineLevel="0" collapsed="false">
      <c r="A5" s="10" t="n">
        <v>2024</v>
      </c>
      <c r="B5" s="28" t="s">
        <v>51</v>
      </c>
      <c r="C5" s="29" t="n">
        <v>45302</v>
      </c>
      <c r="D5" s="30" t="s">
        <v>128</v>
      </c>
      <c r="E5" s="28" t="s">
        <v>1155</v>
      </c>
      <c r="F5" s="30" t="s">
        <v>1156</v>
      </c>
      <c r="G5" s="31" t="n">
        <v>27227</v>
      </c>
      <c r="H5" s="31" t="n">
        <v>3</v>
      </c>
      <c r="I5" s="31" t="n">
        <v>81682</v>
      </c>
      <c r="J5" s="29" t="n">
        <v>45307</v>
      </c>
      <c r="K5" s="31" t="n">
        <v>25874</v>
      </c>
      <c r="L5" s="30" t="s">
        <v>32</v>
      </c>
      <c r="M5" s="10" t="n">
        <v>3</v>
      </c>
      <c r="N5" s="12" t="n">
        <v>-4223</v>
      </c>
      <c r="O5" s="13" t="n">
        <v>-0.0516997184800494</v>
      </c>
      <c r="P5" s="15" t="n">
        <v>0.0173649879532234</v>
      </c>
      <c r="Q5" s="13" t="n">
        <v>-0.0560909678556737</v>
      </c>
      <c r="R5" s="15" t="n">
        <v>0.0361904761904761</v>
      </c>
      <c r="S5" s="32" t="n">
        <v>23735073600</v>
      </c>
      <c r="T5" s="15" t="n">
        <v>0.0149253731343284</v>
      </c>
      <c r="U5" s="32" t="n">
        <v>7179438502.5</v>
      </c>
      <c r="V5" s="14" t="n">
        <v>3.16011563257956</v>
      </c>
      <c r="W5" s="13" t="n">
        <v>0.0264150943396226</v>
      </c>
      <c r="X5" s="15" t="n">
        <v>0.0147058823529411</v>
      </c>
      <c r="Y5" s="13" t="n">
        <v>-0.000672703955184595</v>
      </c>
      <c r="Z5" s="13" t="n">
        <v>-0.0180709851489358</v>
      </c>
      <c r="AA5" s="30" t="s">
        <v>96</v>
      </c>
      <c r="AB5" s="28" t="s">
        <v>94</v>
      </c>
      <c r="AC5" s="28" t="s">
        <v>100</v>
      </c>
      <c r="AD5" s="28" t="s">
        <v>106</v>
      </c>
      <c r="AE5" s="28" t="s">
        <v>112</v>
      </c>
      <c r="AF5" s="28" t="s">
        <v>118</v>
      </c>
      <c r="AG5" s="30" t="s">
        <v>122</v>
      </c>
    </row>
    <row r="6" customFormat="false" ht="15" hidden="false" customHeight="false" outlineLevel="0" collapsed="false">
      <c r="A6" s="10" t="n">
        <v>2024</v>
      </c>
      <c r="B6" s="28" t="s">
        <v>51</v>
      </c>
      <c r="C6" s="29" t="n">
        <v>45316</v>
      </c>
      <c r="D6" s="30" t="s">
        <v>128</v>
      </c>
      <c r="E6" s="28" t="s">
        <v>1157</v>
      </c>
      <c r="F6" s="30" t="s">
        <v>1158</v>
      </c>
      <c r="G6" s="31" t="n">
        <v>3356</v>
      </c>
      <c r="H6" s="31" t="n">
        <v>29</v>
      </c>
      <c r="I6" s="31" t="n">
        <v>97321</v>
      </c>
      <c r="J6" s="29" t="n">
        <v>45317</v>
      </c>
      <c r="K6" s="31" t="n">
        <v>2921</v>
      </c>
      <c r="L6" s="30" t="s">
        <v>32</v>
      </c>
      <c r="M6" s="10" t="n">
        <v>1</v>
      </c>
      <c r="N6" s="12" t="n">
        <v>-12782</v>
      </c>
      <c r="O6" s="13" t="n">
        <v>-0.131343537299705</v>
      </c>
      <c r="P6" s="15" t="n">
        <v>-0.051609183767774</v>
      </c>
      <c r="Q6" s="13" t="n">
        <v>-0.128624679285472</v>
      </c>
      <c r="R6" s="15" t="n">
        <v>0.0225225225225225</v>
      </c>
      <c r="S6" s="32" t="n">
        <v>44556910650</v>
      </c>
      <c r="T6" s="15" t="n">
        <v>0.0179372197309418</v>
      </c>
      <c r="U6" s="32" t="n">
        <v>20797584751.25</v>
      </c>
      <c r="V6" s="14" t="n">
        <v>1.99733136208497</v>
      </c>
      <c r="W6" s="13" t="n">
        <v>0.0657276995305163</v>
      </c>
      <c r="X6" s="15" t="n">
        <v>0.0814977973568283</v>
      </c>
      <c r="Y6" s="13" t="n">
        <v>0.000263190926796497</v>
      </c>
      <c r="Z6" s="13" t="n">
        <v>0.0124178292159145</v>
      </c>
      <c r="AA6" s="30" t="s">
        <v>96</v>
      </c>
      <c r="AB6" s="28" t="s">
        <v>93</v>
      </c>
      <c r="AC6" s="28" t="s">
        <v>99</v>
      </c>
      <c r="AD6" s="28" t="s">
        <v>107</v>
      </c>
      <c r="AE6" s="28" t="s">
        <v>112</v>
      </c>
      <c r="AF6" s="28" t="s">
        <v>116</v>
      </c>
      <c r="AG6" s="30" t="s">
        <v>122</v>
      </c>
    </row>
    <row r="7" customFormat="false" ht="15" hidden="false" customHeight="false" outlineLevel="0" collapsed="false">
      <c r="A7" s="10" t="n">
        <v>2024</v>
      </c>
      <c r="B7" s="28" t="s">
        <v>51</v>
      </c>
      <c r="C7" s="29" t="n">
        <v>45320</v>
      </c>
      <c r="D7" s="30" t="s">
        <v>125</v>
      </c>
      <c r="E7" s="28" t="s">
        <v>1159</v>
      </c>
      <c r="F7" s="28" t="s">
        <v>1160</v>
      </c>
      <c r="G7" s="31" t="n">
        <v>53553</v>
      </c>
      <c r="H7" s="31" t="n">
        <v>1</v>
      </c>
      <c r="I7" s="31" t="n">
        <v>53553</v>
      </c>
      <c r="J7" s="29" t="n">
        <v>45321</v>
      </c>
      <c r="K7" s="31" t="n">
        <v>50949</v>
      </c>
      <c r="L7" s="30" t="s">
        <v>32</v>
      </c>
      <c r="M7" s="10" t="n">
        <v>1</v>
      </c>
      <c r="N7" s="12" t="n">
        <v>-2712</v>
      </c>
      <c r="O7" s="13" t="n">
        <v>-0.0506387738429795</v>
      </c>
      <c r="P7" s="15" t="n">
        <v>0.0270103728047655</v>
      </c>
      <c r="Q7" s="13" t="n">
        <v>-0.0551504570196157</v>
      </c>
      <c r="R7" s="15" t="n">
        <v>0.0552268244575938</v>
      </c>
      <c r="S7" s="32" t="n">
        <v>41149257500</v>
      </c>
      <c r="T7" s="15" t="n">
        <v>0.0348162475822051</v>
      </c>
      <c r="U7" s="32" t="n">
        <v>9977277715</v>
      </c>
      <c r="V7" s="14" t="n">
        <v>3.74166371946607</v>
      </c>
      <c r="W7" s="13" t="n">
        <v>0.0490196078431373</v>
      </c>
      <c r="X7" s="15" t="n">
        <v>0.0130841121495327</v>
      </c>
      <c r="Y7" s="13" t="n">
        <v>0.00891243302562783</v>
      </c>
      <c r="Z7" s="13" t="n">
        <v>0.0147300505204213</v>
      </c>
      <c r="AA7" s="30" t="s">
        <v>96</v>
      </c>
      <c r="AB7" s="28" t="s">
        <v>93</v>
      </c>
      <c r="AC7" s="28" t="s">
        <v>101</v>
      </c>
      <c r="AD7" s="28" t="s">
        <v>107</v>
      </c>
      <c r="AE7" s="28" t="s">
        <v>113</v>
      </c>
      <c r="AF7" s="28" t="s">
        <v>118</v>
      </c>
      <c r="AG7" s="30" t="s">
        <v>122</v>
      </c>
    </row>
    <row r="8" customFormat="false" ht="15" hidden="false" customHeight="false" outlineLevel="0" collapsed="false">
      <c r="A8" s="10" t="n">
        <v>2024</v>
      </c>
      <c r="B8" s="28" t="s">
        <v>51</v>
      </c>
      <c r="C8" s="29" t="n">
        <v>45320</v>
      </c>
      <c r="D8" s="30" t="s">
        <v>125</v>
      </c>
      <c r="E8" s="28" t="s">
        <v>1161</v>
      </c>
      <c r="F8" s="30" t="s">
        <v>1162</v>
      </c>
      <c r="G8" s="31" t="n">
        <v>79479</v>
      </c>
      <c r="H8" s="31" t="n">
        <v>1</v>
      </c>
      <c r="I8" s="31" t="n">
        <v>79479</v>
      </c>
      <c r="J8" s="29" t="n">
        <v>45348</v>
      </c>
      <c r="K8" s="31" t="n">
        <v>75624</v>
      </c>
      <c r="L8" s="30" t="s">
        <v>32</v>
      </c>
      <c r="M8" s="10" t="n">
        <v>18</v>
      </c>
      <c r="N8" s="12" t="n">
        <v>-4014</v>
      </c>
      <c r="O8" s="13" t="n">
        <v>-0.050509808768058</v>
      </c>
      <c r="P8" s="15" t="n">
        <v>0.158790831334912</v>
      </c>
      <c r="Q8" s="13" t="n">
        <v>-0.0488101319335575</v>
      </c>
      <c r="R8" s="15" t="n">
        <v>0.0861833105335157</v>
      </c>
      <c r="S8" s="32" t="n">
        <v>23285082200</v>
      </c>
      <c r="T8" s="15" t="n">
        <v>0.0586666666666666</v>
      </c>
      <c r="U8" s="32" t="n">
        <v>4194334350</v>
      </c>
      <c r="V8" s="14" t="n">
        <v>4.98329205554871</v>
      </c>
      <c r="W8" s="13" t="n">
        <v>0.075880758807588</v>
      </c>
      <c r="X8" s="15" t="n">
        <v>0.00881612090680095</v>
      </c>
      <c r="Y8" s="13" t="n">
        <v>0.00891243302562783</v>
      </c>
      <c r="Z8" s="13" t="n">
        <v>0.0147300505204213</v>
      </c>
      <c r="AA8" s="30" t="s">
        <v>96</v>
      </c>
      <c r="AB8" s="28" t="s">
        <v>93</v>
      </c>
      <c r="AC8" s="28" t="s">
        <v>101</v>
      </c>
      <c r="AD8" s="28" t="s">
        <v>106</v>
      </c>
      <c r="AE8" s="28" t="s">
        <v>101</v>
      </c>
      <c r="AF8" s="28" t="s">
        <v>118</v>
      </c>
      <c r="AG8" s="30" t="s">
        <v>122</v>
      </c>
    </row>
    <row r="9" customFormat="false" ht="15" hidden="false" customHeight="false" outlineLevel="0" collapsed="false">
      <c r="A9" s="10" t="n">
        <v>2024</v>
      </c>
      <c r="B9" s="28" t="s">
        <v>51</v>
      </c>
      <c r="C9" s="29" t="n">
        <v>45321</v>
      </c>
      <c r="D9" s="30" t="s">
        <v>126</v>
      </c>
      <c r="E9" s="28" t="s">
        <v>785</v>
      </c>
      <c r="F9" s="30" t="s">
        <v>786</v>
      </c>
      <c r="G9" s="31" t="n">
        <v>28328</v>
      </c>
      <c r="H9" s="31" t="n">
        <v>3</v>
      </c>
      <c r="I9" s="31" t="n">
        <v>84985</v>
      </c>
      <c r="J9" s="29" t="n">
        <v>45383</v>
      </c>
      <c r="K9" s="31" t="n">
        <v>26923</v>
      </c>
      <c r="L9" s="30" t="s">
        <v>32</v>
      </c>
      <c r="M9" s="10" t="n">
        <v>41</v>
      </c>
      <c r="N9" s="12" t="n">
        <v>-4386</v>
      </c>
      <c r="O9" s="13" t="n">
        <v>-0.0516091397118783</v>
      </c>
      <c r="P9" s="15" t="n">
        <v>0.19138811718317</v>
      </c>
      <c r="Q9" s="13" t="n">
        <v>-0.0486545256863277</v>
      </c>
      <c r="R9" s="15" t="n">
        <v>0.0559701492537315</v>
      </c>
      <c r="S9" s="32" t="n">
        <v>23739398400</v>
      </c>
      <c r="T9" s="15" t="n">
        <v>0.0559701492537315</v>
      </c>
      <c r="U9" s="32" t="n">
        <v>3142046850</v>
      </c>
      <c r="V9" s="14" t="n">
        <v>6.80429681194594</v>
      </c>
      <c r="W9" s="13" t="n">
        <v>0.0423572744014733</v>
      </c>
      <c r="X9" s="15" t="n">
        <v>0.0247349823321554</v>
      </c>
      <c r="Y9" s="13" t="n">
        <v>-0.000735808689740769</v>
      </c>
      <c r="Z9" s="13" t="n">
        <v>0.00814972908202583</v>
      </c>
      <c r="AA9" s="30" t="s">
        <v>96</v>
      </c>
      <c r="AB9" s="28" t="s">
        <v>93</v>
      </c>
      <c r="AC9" s="28" t="s">
        <v>101</v>
      </c>
      <c r="AD9" s="28" t="s">
        <v>106</v>
      </c>
      <c r="AE9" s="28" t="s">
        <v>101</v>
      </c>
      <c r="AF9" s="28" t="s">
        <v>119</v>
      </c>
      <c r="AG9" s="30" t="s">
        <v>122</v>
      </c>
    </row>
    <row r="10" customFormat="false" ht="15" hidden="false" customHeight="false" outlineLevel="0" collapsed="false">
      <c r="A10" s="10" t="n">
        <v>2024</v>
      </c>
      <c r="B10" s="28" t="s">
        <v>51</v>
      </c>
      <c r="C10" s="29" t="n">
        <v>45321</v>
      </c>
      <c r="D10" s="30" t="s">
        <v>126</v>
      </c>
      <c r="E10" s="28" t="s">
        <v>1163</v>
      </c>
      <c r="F10" s="30" t="s">
        <v>1164</v>
      </c>
      <c r="G10" s="31" t="n">
        <v>52452</v>
      </c>
      <c r="H10" s="31" t="n">
        <v>1</v>
      </c>
      <c r="I10" s="31" t="n">
        <v>52452</v>
      </c>
      <c r="J10" s="29" t="n">
        <v>45370</v>
      </c>
      <c r="K10" s="31" t="n">
        <v>49900</v>
      </c>
      <c r="L10" s="30" t="s">
        <v>32</v>
      </c>
      <c r="M10" s="10" t="n">
        <v>32</v>
      </c>
      <c r="N10" s="12" t="n">
        <v>-2658</v>
      </c>
      <c r="O10" s="13" t="n">
        <v>-0.0506654215536372</v>
      </c>
      <c r="P10" s="15" t="n">
        <v>0.180117592331333</v>
      </c>
      <c r="Q10" s="13" t="n">
        <v>-0.0496145076297747</v>
      </c>
      <c r="R10" s="15" t="n">
        <v>0.0234375</v>
      </c>
      <c r="S10" s="32" t="n">
        <v>22578793200</v>
      </c>
      <c r="T10" s="15" t="n">
        <v>0.0174757281553397</v>
      </c>
      <c r="U10" s="32" t="n">
        <v>4208753995</v>
      </c>
      <c r="V10" s="14" t="n">
        <v>5.00370726269309</v>
      </c>
      <c r="W10" s="13" t="n">
        <v>0.0096339113680155</v>
      </c>
      <c r="X10" s="15" t="n">
        <v>0.0209923664122138</v>
      </c>
      <c r="Y10" s="13" t="n">
        <v>-0.000735808689740769</v>
      </c>
      <c r="Z10" s="13" t="n">
        <v>0.00814972908202583</v>
      </c>
      <c r="AA10" s="30" t="s">
        <v>96</v>
      </c>
      <c r="AB10" s="28" t="s">
        <v>93</v>
      </c>
      <c r="AC10" s="28" t="s">
        <v>99</v>
      </c>
      <c r="AD10" s="28" t="s">
        <v>106</v>
      </c>
      <c r="AE10" s="28" t="s">
        <v>112</v>
      </c>
      <c r="AF10" s="28" t="s">
        <v>119</v>
      </c>
      <c r="AG10" s="30" t="s">
        <v>122</v>
      </c>
    </row>
    <row r="11" customFormat="false" ht="15" hidden="false" customHeight="false" outlineLevel="0" collapsed="false">
      <c r="A11" s="10" t="n">
        <v>2024</v>
      </c>
      <c r="B11" s="28" t="s">
        <v>51</v>
      </c>
      <c r="C11" s="29" t="n">
        <v>45322</v>
      </c>
      <c r="D11" s="30" t="s">
        <v>127</v>
      </c>
      <c r="E11" s="28" t="s">
        <v>1123</v>
      </c>
      <c r="F11" s="28" t="s">
        <v>1124</v>
      </c>
      <c r="G11" s="31" t="n">
        <v>10240</v>
      </c>
      <c r="H11" s="31" t="n">
        <v>9</v>
      </c>
      <c r="I11" s="31" t="n">
        <v>92162</v>
      </c>
      <c r="J11" s="29" t="n">
        <v>45390</v>
      </c>
      <c r="K11" s="31" t="n">
        <v>9740</v>
      </c>
      <c r="L11" s="30" t="s">
        <v>32</v>
      </c>
      <c r="M11" s="10" t="n">
        <v>45</v>
      </c>
      <c r="N11" s="12" t="n">
        <v>-4685</v>
      </c>
      <c r="O11" s="13" t="n">
        <v>-0.050829866321362</v>
      </c>
      <c r="P11" s="15" t="n">
        <v>0.0253675942825504</v>
      </c>
      <c r="Q11" s="13" t="n">
        <v>-0.0478729481662032</v>
      </c>
      <c r="R11" s="15" t="n">
        <v>0.00688976377952755</v>
      </c>
      <c r="S11" s="32" t="n">
        <v>51011352810</v>
      </c>
      <c r="T11" s="15" t="n">
        <v>0.00688976377952755</v>
      </c>
      <c r="U11" s="32" t="n">
        <v>7802076286.5</v>
      </c>
      <c r="V11" s="14" t="n">
        <v>6.37020935746625</v>
      </c>
      <c r="W11" s="13" t="n">
        <v>0.0108695652173914</v>
      </c>
      <c r="X11" s="15" t="n">
        <v>0</v>
      </c>
      <c r="Y11" s="13" t="n">
        <v>-0.000688327643958431</v>
      </c>
      <c r="Z11" s="13" t="n">
        <v>0.011094509837267</v>
      </c>
      <c r="AA11" s="30" t="s">
        <v>96</v>
      </c>
      <c r="AB11" s="28" t="s">
        <v>93</v>
      </c>
      <c r="AC11" s="28" t="s">
        <v>99</v>
      </c>
      <c r="AD11" s="28" t="s">
        <v>108</v>
      </c>
      <c r="AE11" s="28" t="s">
        <v>112</v>
      </c>
      <c r="AF11" s="28" t="s">
        <v>119</v>
      </c>
      <c r="AG11" s="30" t="s">
        <v>122</v>
      </c>
    </row>
    <row r="12" customFormat="false" ht="15" hidden="false" customHeight="false" outlineLevel="0" collapsed="false">
      <c r="A12" s="10" t="n">
        <v>2024</v>
      </c>
      <c r="B12" s="28" t="s">
        <v>51</v>
      </c>
      <c r="C12" s="29" t="n">
        <v>45322</v>
      </c>
      <c r="D12" s="30" t="s">
        <v>127</v>
      </c>
      <c r="E12" s="28" t="s">
        <v>1165</v>
      </c>
      <c r="F12" s="30" t="s">
        <v>1166</v>
      </c>
      <c r="G12" s="31" t="n">
        <v>69369</v>
      </c>
      <c r="H12" s="31" t="n">
        <v>1</v>
      </c>
      <c r="I12" s="31" t="n">
        <v>69369</v>
      </c>
      <c r="J12" s="29" t="n">
        <v>45330</v>
      </c>
      <c r="K12" s="31" t="n">
        <v>83300</v>
      </c>
      <c r="L12" s="30" t="s">
        <v>31</v>
      </c>
      <c r="M12" s="10" t="n">
        <v>6</v>
      </c>
      <c r="N12" s="12" t="n">
        <v>13758</v>
      </c>
      <c r="O12" s="13" t="n">
        <v>0.198327784841421</v>
      </c>
      <c r="P12" s="15" t="n">
        <v>0.202260942520683</v>
      </c>
      <c r="Q12" s="13" t="n">
        <v>-0.00676524053147409</v>
      </c>
      <c r="R12" s="15" t="n">
        <v>0.053191489361702</v>
      </c>
      <c r="S12" s="32" t="n">
        <v>47368005300</v>
      </c>
      <c r="T12" s="15" t="n">
        <v>0.0343283582089553</v>
      </c>
      <c r="U12" s="32" t="n">
        <v>25388591195</v>
      </c>
      <c r="V12" s="14" t="n">
        <v>1.70291170269246</v>
      </c>
      <c r="W12" s="13" t="n">
        <v>0.053191489361702</v>
      </c>
      <c r="X12" s="15" t="n">
        <v>0</v>
      </c>
      <c r="Y12" s="13" t="n">
        <v>-0.000688327643958431</v>
      </c>
      <c r="Z12" s="13" t="n">
        <v>0.011094509837267</v>
      </c>
      <c r="AA12" s="30" t="s">
        <v>96</v>
      </c>
      <c r="AB12" s="28" t="s">
        <v>93</v>
      </c>
      <c r="AC12" s="28" t="s">
        <v>101</v>
      </c>
      <c r="AD12" s="28" t="s">
        <v>107</v>
      </c>
      <c r="AE12" s="28" t="s">
        <v>113</v>
      </c>
      <c r="AF12" s="28" t="s">
        <v>116</v>
      </c>
      <c r="AG12" s="30" t="s">
        <v>122</v>
      </c>
    </row>
    <row r="13" customFormat="false" ht="15" hidden="false" customHeight="false" outlineLevel="0" collapsed="false">
      <c r="A13" s="10" t="n">
        <v>2024</v>
      </c>
      <c r="B13" s="28" t="s">
        <v>51</v>
      </c>
      <c r="C13" s="29" t="n">
        <v>45322</v>
      </c>
      <c r="D13" s="30" t="s">
        <v>127</v>
      </c>
      <c r="E13" s="28" t="s">
        <v>481</v>
      </c>
      <c r="F13" s="30" t="s">
        <v>482</v>
      </c>
      <c r="G13" s="31" t="n">
        <v>50951</v>
      </c>
      <c r="H13" s="31" t="n">
        <v>1</v>
      </c>
      <c r="I13" s="31" t="n">
        <v>50951</v>
      </c>
      <c r="J13" s="29" t="n">
        <v>45323</v>
      </c>
      <c r="K13" s="31" t="n">
        <v>48501</v>
      </c>
      <c r="L13" s="30" t="s">
        <v>32</v>
      </c>
      <c r="M13" s="10" t="n">
        <v>1</v>
      </c>
      <c r="N13" s="12" t="n">
        <v>-2552</v>
      </c>
      <c r="O13" s="13" t="n">
        <v>-0.0500809693744369</v>
      </c>
      <c r="P13" s="15" t="n">
        <v>-0.00492434873574354</v>
      </c>
      <c r="Q13" s="13" t="n">
        <v>-0.060860553984326</v>
      </c>
      <c r="R13" s="15" t="n">
        <v>0.0876068376068375</v>
      </c>
      <c r="S13" s="32" t="n">
        <v>27846982800</v>
      </c>
      <c r="T13" s="15" t="n">
        <v>0.0829787234042554</v>
      </c>
      <c r="U13" s="32" t="n">
        <v>9997515972.5</v>
      </c>
      <c r="V13" s="14" t="n">
        <v>2.5000291316373</v>
      </c>
      <c r="W13" s="13" t="n">
        <v>0.0772486772486773</v>
      </c>
      <c r="X13" s="15" t="n">
        <v>0.00196463654223966</v>
      </c>
      <c r="Y13" s="13" t="n">
        <v>-0.000688327643958431</v>
      </c>
      <c r="Z13" s="13" t="n">
        <v>0.011094509837267</v>
      </c>
      <c r="AA13" s="30" t="s">
        <v>96</v>
      </c>
      <c r="AB13" s="28" t="s">
        <v>93</v>
      </c>
      <c r="AC13" s="28" t="s">
        <v>101</v>
      </c>
      <c r="AD13" s="28" t="s">
        <v>106</v>
      </c>
      <c r="AE13" s="28" t="s">
        <v>101</v>
      </c>
      <c r="AF13" s="28" t="s">
        <v>117</v>
      </c>
      <c r="AG13" s="30" t="s">
        <v>122</v>
      </c>
    </row>
    <row r="14" customFormat="false" ht="15" hidden="false" customHeight="false" outlineLevel="0" collapsed="false">
      <c r="A14" s="10" t="n">
        <v>2024</v>
      </c>
      <c r="B14" s="28" t="s">
        <v>51</v>
      </c>
      <c r="C14" s="29" t="n">
        <v>45322</v>
      </c>
      <c r="D14" s="30" t="s">
        <v>127</v>
      </c>
      <c r="E14" s="28" t="s">
        <v>1167</v>
      </c>
      <c r="F14" s="28" t="s">
        <v>1168</v>
      </c>
      <c r="G14" s="31" t="n">
        <v>91191</v>
      </c>
      <c r="H14" s="31" t="n">
        <v>1</v>
      </c>
      <c r="I14" s="31" t="n">
        <v>91191</v>
      </c>
      <c r="J14" s="29" t="n">
        <v>45349</v>
      </c>
      <c r="K14" s="31" t="n">
        <v>86813</v>
      </c>
      <c r="L14" s="30" t="s">
        <v>32</v>
      </c>
      <c r="M14" s="10" t="n">
        <v>17</v>
      </c>
      <c r="N14" s="12" t="n">
        <v>-4561</v>
      </c>
      <c r="O14" s="13" t="n">
        <v>-0.0500154533720945</v>
      </c>
      <c r="P14" s="15" t="n">
        <v>0.186519298484172</v>
      </c>
      <c r="Q14" s="13" t="n">
        <v>-0.0481527254304421</v>
      </c>
      <c r="R14" s="15" t="n">
        <v>0.0399543378995433</v>
      </c>
      <c r="S14" s="32" t="n">
        <v>22272674600</v>
      </c>
      <c r="T14" s="15" t="n">
        <v>0.0224466891133557</v>
      </c>
      <c r="U14" s="32" t="n">
        <v>10918948225</v>
      </c>
      <c r="V14" s="14" t="n">
        <v>1.86651479211789</v>
      </c>
      <c r="W14" s="13" t="n">
        <v>0.0423340961098397</v>
      </c>
      <c r="X14" s="15" t="n">
        <v>0.00329308452250277</v>
      </c>
      <c r="Y14" s="13" t="n">
        <v>-0.000688327643958431</v>
      </c>
      <c r="Z14" s="13" t="n">
        <v>0.011094509837267</v>
      </c>
      <c r="AA14" s="30" t="s">
        <v>96</v>
      </c>
      <c r="AB14" s="28" t="s">
        <v>93</v>
      </c>
      <c r="AC14" s="28" t="s">
        <v>100</v>
      </c>
      <c r="AD14" s="28" t="s">
        <v>106</v>
      </c>
      <c r="AE14" s="28" t="s">
        <v>113</v>
      </c>
      <c r="AF14" s="28" t="s">
        <v>116</v>
      </c>
      <c r="AG14" s="30" t="s">
        <v>122</v>
      </c>
    </row>
    <row r="15" customFormat="false" ht="15" hidden="false" customHeight="false" outlineLevel="0" collapsed="false">
      <c r="A15" s="10" t="n">
        <v>2024</v>
      </c>
      <c r="B15" s="28" t="s">
        <v>51</v>
      </c>
      <c r="C15" s="29" t="n">
        <v>45322</v>
      </c>
      <c r="D15" s="30" t="s">
        <v>127</v>
      </c>
      <c r="E15" s="28" t="s">
        <v>753</v>
      </c>
      <c r="F15" s="28" t="s">
        <v>754</v>
      </c>
      <c r="G15" s="31" t="n">
        <v>51952</v>
      </c>
      <c r="H15" s="31" t="n">
        <v>1</v>
      </c>
      <c r="I15" s="31" t="n">
        <v>51952</v>
      </c>
      <c r="J15" s="29" t="n">
        <v>45328</v>
      </c>
      <c r="K15" s="31" t="n">
        <v>62400</v>
      </c>
      <c r="L15" s="30" t="s">
        <v>31</v>
      </c>
      <c r="M15" s="10" t="n">
        <v>4</v>
      </c>
      <c r="N15" s="12" t="n">
        <v>10319</v>
      </c>
      <c r="O15" s="13" t="n">
        <v>0.198618861196607</v>
      </c>
      <c r="P15" s="15" t="n">
        <v>0.224209316694866</v>
      </c>
      <c r="Q15" s="13" t="n">
        <v>-0.00869843066374842</v>
      </c>
      <c r="R15" s="15" t="n">
        <v>0.00776699029126204</v>
      </c>
      <c r="S15" s="32" t="n">
        <v>22214808900</v>
      </c>
      <c r="T15" s="15" t="n">
        <v>0.00776699029126204</v>
      </c>
      <c r="U15" s="32" t="n">
        <v>8216093690</v>
      </c>
      <c r="V15" s="14" t="n">
        <v>2.57023344796465</v>
      </c>
      <c r="W15" s="13" t="n">
        <v>0.00776699029126204</v>
      </c>
      <c r="X15" s="15" t="n">
        <v>0.0096339113680155</v>
      </c>
      <c r="Y15" s="13" t="n">
        <v>-0.000688327643958431</v>
      </c>
      <c r="Z15" s="13" t="n">
        <v>0.011094509837267</v>
      </c>
      <c r="AA15" s="30" t="s">
        <v>96</v>
      </c>
      <c r="AB15" s="28" t="s">
        <v>93</v>
      </c>
      <c r="AC15" s="28" t="s">
        <v>99</v>
      </c>
      <c r="AD15" s="28" t="s">
        <v>106</v>
      </c>
      <c r="AE15" s="28" t="s">
        <v>112</v>
      </c>
      <c r="AF15" s="28" t="s">
        <v>117</v>
      </c>
      <c r="AG15" s="30" t="s">
        <v>122</v>
      </c>
    </row>
    <row r="16" customFormat="false" ht="15" hidden="false" customHeight="false" outlineLevel="0" collapsed="false">
      <c r="A16" s="10" t="n">
        <v>2024</v>
      </c>
      <c r="B16" s="28" t="s">
        <v>52</v>
      </c>
      <c r="C16" s="29" t="n">
        <v>45323</v>
      </c>
      <c r="D16" s="30" t="s">
        <v>128</v>
      </c>
      <c r="E16" s="28" t="s">
        <v>1169</v>
      </c>
      <c r="F16" s="30" t="s">
        <v>1170</v>
      </c>
      <c r="G16" s="31" t="n">
        <v>9389</v>
      </c>
      <c r="H16" s="31" t="n">
        <v>10</v>
      </c>
      <c r="I16" s="31" t="n">
        <v>93894</v>
      </c>
      <c r="J16" s="29" t="n">
        <v>45348</v>
      </c>
      <c r="K16" s="31" t="n">
        <v>8931</v>
      </c>
      <c r="L16" s="30" t="s">
        <v>32</v>
      </c>
      <c r="M16" s="10" t="n">
        <v>15</v>
      </c>
      <c r="N16" s="12" t="n">
        <v>-4771</v>
      </c>
      <c r="O16" s="13" t="n">
        <v>-0.0508174100952354</v>
      </c>
      <c r="P16" s="15" t="n">
        <v>0.170471319725051</v>
      </c>
      <c r="Q16" s="13" t="n">
        <v>-0.0659660169255051</v>
      </c>
      <c r="R16" s="15" t="n">
        <v>0.130120481927711</v>
      </c>
      <c r="S16" s="32" t="n">
        <v>215168542260</v>
      </c>
      <c r="T16" s="15" t="n">
        <v>0.046875</v>
      </c>
      <c r="U16" s="32" t="n">
        <v>6416334037</v>
      </c>
      <c r="V16" s="14" t="n">
        <v>30.0804060362553</v>
      </c>
      <c r="W16" s="13" t="n">
        <v>0.141119221411192</v>
      </c>
      <c r="X16" s="15" t="n">
        <v>0.0479744136460554</v>
      </c>
      <c r="Y16" s="13" t="n">
        <v>0.0181691488893072</v>
      </c>
      <c r="Z16" s="13" t="n">
        <v>0.0291943619096966</v>
      </c>
      <c r="AA16" s="30" t="s">
        <v>97</v>
      </c>
      <c r="AB16" s="28" t="s">
        <v>93</v>
      </c>
      <c r="AC16" s="28" t="s">
        <v>102</v>
      </c>
      <c r="AD16" s="28" t="s">
        <v>110</v>
      </c>
      <c r="AE16" s="28" t="s">
        <v>113</v>
      </c>
      <c r="AF16" s="28" t="s">
        <v>120</v>
      </c>
      <c r="AG16" s="30" t="s">
        <v>122</v>
      </c>
    </row>
    <row r="17" customFormat="false" ht="15" hidden="false" customHeight="false" outlineLevel="0" collapsed="false">
      <c r="A17" s="10" t="n">
        <v>2024</v>
      </c>
      <c r="B17" s="28" t="s">
        <v>52</v>
      </c>
      <c r="C17" s="29" t="n">
        <v>45323</v>
      </c>
      <c r="D17" s="30" t="s">
        <v>128</v>
      </c>
      <c r="E17" s="28" t="s">
        <v>1171</v>
      </c>
      <c r="F17" s="28" t="s">
        <v>1172</v>
      </c>
      <c r="G17" s="31" t="n">
        <v>92693</v>
      </c>
      <c r="H17" s="31" t="n">
        <v>1</v>
      </c>
      <c r="I17" s="31" t="n">
        <v>92693</v>
      </c>
      <c r="J17" s="29" t="n">
        <v>45394</v>
      </c>
      <c r="K17" s="31" t="n">
        <v>88212</v>
      </c>
      <c r="L17" s="30" t="s">
        <v>32</v>
      </c>
      <c r="M17" s="10" t="n">
        <v>47</v>
      </c>
      <c r="N17" s="12" t="n">
        <v>-4667</v>
      </c>
      <c r="O17" s="13" t="n">
        <v>-0.050347241365546</v>
      </c>
      <c r="P17" s="15" t="n">
        <v>0.0356813812537355</v>
      </c>
      <c r="Q17" s="13" t="n">
        <v>-0.0506254005174091</v>
      </c>
      <c r="R17" s="15" t="n">
        <v>0.0220750551876379</v>
      </c>
      <c r="S17" s="32" t="n">
        <v>49843339000</v>
      </c>
      <c r="T17" s="15" t="n">
        <v>0.0187018701870187</v>
      </c>
      <c r="U17" s="32" t="n">
        <v>18407788635</v>
      </c>
      <c r="V17" s="14" t="n">
        <v>2.56799817179847</v>
      </c>
      <c r="W17" s="13" t="n">
        <v>0.0357941834451903</v>
      </c>
      <c r="X17" s="15" t="n">
        <v>0.00539956803455732</v>
      </c>
      <c r="Y17" s="13" t="n">
        <v>0.0181691488893072</v>
      </c>
      <c r="Z17" s="13" t="n">
        <v>0.0291943619096966</v>
      </c>
      <c r="AA17" s="30" t="s">
        <v>97</v>
      </c>
      <c r="AB17" s="28" t="s">
        <v>93</v>
      </c>
      <c r="AC17" s="28" t="s">
        <v>99</v>
      </c>
      <c r="AD17" s="28" t="s">
        <v>107</v>
      </c>
      <c r="AE17" s="28" t="s">
        <v>112</v>
      </c>
      <c r="AF17" s="28" t="s">
        <v>117</v>
      </c>
      <c r="AG17" s="30" t="s">
        <v>122</v>
      </c>
    </row>
    <row r="18" customFormat="false" ht="15" hidden="false" customHeight="false" outlineLevel="0" collapsed="false">
      <c r="A18" s="10" t="n">
        <v>2024</v>
      </c>
      <c r="B18" s="28" t="s">
        <v>52</v>
      </c>
      <c r="C18" s="29" t="n">
        <v>45323</v>
      </c>
      <c r="D18" s="30" t="s">
        <v>128</v>
      </c>
      <c r="E18" s="28" t="s">
        <v>1173</v>
      </c>
      <c r="F18" s="30" t="s">
        <v>1174</v>
      </c>
      <c r="G18" s="31" t="n">
        <v>91828</v>
      </c>
      <c r="H18" s="31" t="n">
        <v>1</v>
      </c>
      <c r="I18" s="31" t="n">
        <v>91828</v>
      </c>
      <c r="J18" s="29" t="n">
        <v>45336</v>
      </c>
      <c r="K18" s="31" t="n">
        <v>87412</v>
      </c>
      <c r="L18" s="30" t="s">
        <v>32</v>
      </c>
      <c r="M18" s="10" t="n">
        <v>7</v>
      </c>
      <c r="N18" s="12" t="n">
        <v>-4600</v>
      </c>
      <c r="O18" s="13" t="n">
        <v>-0.0500912474322833</v>
      </c>
      <c r="P18" s="15" t="n">
        <v>0.0480250393009392</v>
      </c>
      <c r="Q18" s="13" t="n">
        <v>-0.0489336181811644</v>
      </c>
      <c r="R18" s="15" t="n">
        <v>0.0485991995425958</v>
      </c>
      <c r="S18" s="32" t="n">
        <v>45155647600</v>
      </c>
      <c r="T18" s="15" t="n">
        <v>0.00824628916987358</v>
      </c>
      <c r="U18" s="32" t="n">
        <v>9878235010</v>
      </c>
      <c r="V18" s="14" t="n">
        <v>4.29891660191886</v>
      </c>
      <c r="W18" s="13" t="n">
        <v>0.0540229885057471</v>
      </c>
      <c r="X18" s="15" t="n">
        <v>0.020174482006543</v>
      </c>
      <c r="Y18" s="13" t="n">
        <v>0.0181691488893072</v>
      </c>
      <c r="Z18" s="13" t="n">
        <v>0.0291943619096966</v>
      </c>
      <c r="AA18" s="30" t="s">
        <v>97</v>
      </c>
      <c r="AB18" s="28" t="s">
        <v>93</v>
      </c>
      <c r="AC18" s="28" t="s">
        <v>100</v>
      </c>
      <c r="AD18" s="28" t="s">
        <v>107</v>
      </c>
      <c r="AE18" s="28" t="s">
        <v>112</v>
      </c>
      <c r="AF18" s="28" t="s">
        <v>118</v>
      </c>
      <c r="AG18" s="30" t="s">
        <v>122</v>
      </c>
    </row>
    <row r="19" customFormat="false" ht="15" hidden="false" customHeight="false" outlineLevel="0" collapsed="false">
      <c r="A19" s="10" t="n">
        <v>2024</v>
      </c>
      <c r="B19" s="28" t="s">
        <v>52</v>
      </c>
      <c r="C19" s="29" t="n">
        <v>45323</v>
      </c>
      <c r="D19" s="30" t="s">
        <v>128</v>
      </c>
      <c r="E19" s="28" t="s">
        <v>717</v>
      </c>
      <c r="F19" s="30" t="s">
        <v>718</v>
      </c>
      <c r="G19" s="31" t="n">
        <v>35085</v>
      </c>
      <c r="H19" s="31" t="n">
        <v>2</v>
      </c>
      <c r="I19" s="31" t="n">
        <v>70170</v>
      </c>
      <c r="J19" s="29" t="n">
        <v>45336</v>
      </c>
      <c r="K19" s="31" t="n">
        <v>33367</v>
      </c>
      <c r="L19" s="30" t="s">
        <v>32</v>
      </c>
      <c r="M19" s="10" t="n">
        <v>7</v>
      </c>
      <c r="N19" s="12" t="n">
        <v>-3578</v>
      </c>
      <c r="O19" s="13" t="n">
        <v>-0.0509840409946687</v>
      </c>
      <c r="P19" s="15" t="n">
        <v>0.00470143266148981</v>
      </c>
      <c r="Q19" s="13" t="n">
        <v>-0.0537280123585401</v>
      </c>
      <c r="R19" s="15" t="n">
        <v>0.0115440115440115</v>
      </c>
      <c r="S19" s="32" t="n">
        <v>31607108600</v>
      </c>
      <c r="T19" s="15" t="n">
        <v>0.0100864553314122</v>
      </c>
      <c r="U19" s="32" t="n">
        <v>16105193760</v>
      </c>
      <c r="V19" s="14" t="n">
        <v>1.87390812577809</v>
      </c>
      <c r="W19" s="13" t="n">
        <v>0.0218658892128281</v>
      </c>
      <c r="X19" s="15" t="n">
        <v>0</v>
      </c>
      <c r="Y19" s="13" t="n">
        <v>0.0181691488893072</v>
      </c>
      <c r="Z19" s="13" t="n">
        <v>0.0291943619096966</v>
      </c>
      <c r="AA19" s="30" t="s">
        <v>97</v>
      </c>
      <c r="AB19" s="28" t="s">
        <v>93</v>
      </c>
      <c r="AC19" s="28" t="s">
        <v>99</v>
      </c>
      <c r="AD19" s="28" t="s">
        <v>107</v>
      </c>
      <c r="AE19" s="28" t="s">
        <v>112</v>
      </c>
      <c r="AF19" s="28" t="s">
        <v>116</v>
      </c>
      <c r="AG19" s="30" t="s">
        <v>122</v>
      </c>
    </row>
    <row r="20" customFormat="false" ht="15" hidden="false" customHeight="false" outlineLevel="0" collapsed="false">
      <c r="A20" s="10" t="n">
        <v>2024</v>
      </c>
      <c r="B20" s="28" t="s">
        <v>52</v>
      </c>
      <c r="C20" s="29" t="n">
        <v>45323</v>
      </c>
      <c r="D20" s="30" t="s">
        <v>128</v>
      </c>
      <c r="E20" s="28" t="s">
        <v>359</v>
      </c>
      <c r="F20" s="28" t="s">
        <v>360</v>
      </c>
      <c r="G20" s="31" t="n">
        <v>15706</v>
      </c>
      <c r="H20" s="31" t="n">
        <v>6</v>
      </c>
      <c r="I20" s="31" t="n">
        <v>94234</v>
      </c>
      <c r="J20" s="29" t="n">
        <v>45324</v>
      </c>
      <c r="K20" s="31" t="n">
        <v>14945</v>
      </c>
      <c r="L20" s="30" t="s">
        <v>32</v>
      </c>
      <c r="M20" s="10" t="n">
        <v>1</v>
      </c>
      <c r="N20" s="12" t="n">
        <v>-4753</v>
      </c>
      <c r="O20" s="13" t="n">
        <v>-0.0504370506166873</v>
      </c>
      <c r="P20" s="15" t="n">
        <v>-0.0111863916835235</v>
      </c>
      <c r="Q20" s="13" t="n">
        <v>-0.0614866331883539</v>
      </c>
      <c r="R20" s="15" t="n">
        <v>0.0383851753805427</v>
      </c>
      <c r="S20" s="32" t="n">
        <v>20948330910</v>
      </c>
      <c r="T20" s="15" t="n">
        <v>0.0261608894702421</v>
      </c>
      <c r="U20" s="32" t="n">
        <v>6386778364.5</v>
      </c>
      <c r="V20" s="14" t="n">
        <v>3.07996581247845</v>
      </c>
      <c r="W20" s="13" t="n">
        <v>0.0453031312458361</v>
      </c>
      <c r="X20" s="15" t="n">
        <v>0.0114722753346079</v>
      </c>
      <c r="Y20" s="13" t="n">
        <v>0.0181691488893072</v>
      </c>
      <c r="Z20" s="13" t="n">
        <v>0.0291943619096966</v>
      </c>
      <c r="AA20" s="30" t="s">
        <v>97</v>
      </c>
      <c r="AB20" s="28" t="s">
        <v>93</v>
      </c>
      <c r="AC20" s="28" t="s">
        <v>100</v>
      </c>
      <c r="AD20" s="28" t="s">
        <v>106</v>
      </c>
      <c r="AE20" s="28" t="s">
        <v>113</v>
      </c>
      <c r="AF20" s="28" t="s">
        <v>118</v>
      </c>
      <c r="AG20" s="30" t="s">
        <v>122</v>
      </c>
    </row>
    <row r="21" customFormat="false" ht="15" hidden="false" customHeight="false" outlineLevel="0" collapsed="false">
      <c r="A21" s="10" t="n">
        <v>2024</v>
      </c>
      <c r="B21" s="28" t="s">
        <v>52</v>
      </c>
      <c r="C21" s="29" t="n">
        <v>45324</v>
      </c>
      <c r="D21" s="30" t="s">
        <v>129</v>
      </c>
      <c r="E21" s="28" t="s">
        <v>477</v>
      </c>
      <c r="F21" s="30" t="s">
        <v>478</v>
      </c>
      <c r="G21" s="31" t="n">
        <v>16016</v>
      </c>
      <c r="H21" s="31" t="n">
        <v>6</v>
      </c>
      <c r="I21" s="31" t="n">
        <v>96096</v>
      </c>
      <c r="J21" s="29" t="n">
        <v>45328</v>
      </c>
      <c r="K21" s="31" t="n">
        <v>15245</v>
      </c>
      <c r="L21" s="30" t="s">
        <v>32</v>
      </c>
      <c r="M21" s="10" t="n">
        <v>2</v>
      </c>
      <c r="N21" s="12" t="n">
        <v>-4820</v>
      </c>
      <c r="O21" s="13" t="n">
        <v>-0.0501616909965035</v>
      </c>
      <c r="P21" s="15" t="n">
        <v>-0.00349650349650343</v>
      </c>
      <c r="Q21" s="13" t="n">
        <v>-0.049075924075924</v>
      </c>
      <c r="R21" s="15" t="n">
        <v>0.0403120936280885</v>
      </c>
      <c r="S21" s="32" t="n">
        <v>93547728000</v>
      </c>
      <c r="T21" s="15" t="n">
        <v>0.0269576379974326</v>
      </c>
      <c r="U21" s="32" t="n">
        <v>28898080519.5</v>
      </c>
      <c r="V21" s="14" t="n">
        <v>3.06427544435006</v>
      </c>
      <c r="W21" s="13" t="n">
        <v>0.0389610389610389</v>
      </c>
      <c r="X21" s="15" t="n">
        <v>0.00625000000000009</v>
      </c>
      <c r="Y21" s="13" t="n">
        <v>0.0286533514784892</v>
      </c>
      <c r="Z21" s="13" t="n">
        <v>0.0551731650635854</v>
      </c>
      <c r="AA21" s="30" t="s">
        <v>97</v>
      </c>
      <c r="AB21" s="28" t="s">
        <v>93</v>
      </c>
      <c r="AC21" s="28" t="s">
        <v>100</v>
      </c>
      <c r="AD21" s="28" t="s">
        <v>108</v>
      </c>
      <c r="AE21" s="28" t="s">
        <v>113</v>
      </c>
      <c r="AF21" s="28" t="s">
        <v>118</v>
      </c>
      <c r="AG21" s="30" t="s">
        <v>122</v>
      </c>
    </row>
    <row r="22" customFormat="false" ht="15" hidden="false" customHeight="false" outlineLevel="0" collapsed="false">
      <c r="A22" s="10" t="n">
        <v>2024</v>
      </c>
      <c r="B22" s="28" t="s">
        <v>52</v>
      </c>
      <c r="C22" s="29" t="n">
        <v>45324</v>
      </c>
      <c r="D22" s="30" t="s">
        <v>129</v>
      </c>
      <c r="E22" s="28" t="s">
        <v>1175</v>
      </c>
      <c r="F22" s="30" t="s">
        <v>1176</v>
      </c>
      <c r="G22" s="31" t="n">
        <v>12973</v>
      </c>
      <c r="H22" s="31" t="n">
        <v>7</v>
      </c>
      <c r="I22" s="31" t="n">
        <v>90811</v>
      </c>
      <c r="J22" s="29" t="n">
        <v>45330</v>
      </c>
      <c r="K22" s="31" t="n">
        <v>12348</v>
      </c>
      <c r="L22" s="30" t="s">
        <v>32</v>
      </c>
      <c r="M22" s="10" t="n">
        <v>4</v>
      </c>
      <c r="N22" s="12" t="n">
        <v>-4559</v>
      </c>
      <c r="O22" s="13" t="n">
        <v>-0.050207804695305</v>
      </c>
      <c r="P22" s="15" t="n">
        <v>0.0521885521885523</v>
      </c>
      <c r="Q22" s="13" t="n">
        <v>-0.0595823929157262</v>
      </c>
      <c r="R22" s="15" t="n">
        <v>0.0485436893203883</v>
      </c>
      <c r="S22" s="32" t="n">
        <v>57412540800</v>
      </c>
      <c r="T22" s="15" t="n">
        <v>0.020472440944882</v>
      </c>
      <c r="U22" s="32" t="n">
        <v>5728079499</v>
      </c>
      <c r="V22" s="14" t="n">
        <v>9.29510085125044</v>
      </c>
      <c r="W22" s="13" t="n">
        <v>0.0285714285714285</v>
      </c>
      <c r="X22" s="15" t="n">
        <v>0.0447530864197532</v>
      </c>
      <c r="Y22" s="13" t="n">
        <v>0.0286533514784892</v>
      </c>
      <c r="Z22" s="13" t="n">
        <v>0.0551731650635854</v>
      </c>
      <c r="AA22" s="30" t="s">
        <v>97</v>
      </c>
      <c r="AB22" s="28" t="s">
        <v>93</v>
      </c>
      <c r="AC22" s="28" t="s">
        <v>100</v>
      </c>
      <c r="AD22" s="28" t="s">
        <v>108</v>
      </c>
      <c r="AE22" s="28" t="s">
        <v>113</v>
      </c>
      <c r="AF22" s="28" t="s">
        <v>119</v>
      </c>
      <c r="AG22" s="30" t="s">
        <v>122</v>
      </c>
    </row>
    <row r="23" customFormat="false" ht="15" hidden="false" customHeight="false" outlineLevel="0" collapsed="false">
      <c r="A23" s="10" t="n">
        <v>2024</v>
      </c>
      <c r="B23" s="28" t="s">
        <v>52</v>
      </c>
      <c r="C23" s="29" t="n">
        <v>45324</v>
      </c>
      <c r="D23" s="30" t="s">
        <v>129</v>
      </c>
      <c r="E23" s="28" t="s">
        <v>965</v>
      </c>
      <c r="F23" s="30" t="s">
        <v>966</v>
      </c>
      <c r="G23" s="31" t="n">
        <v>64564</v>
      </c>
      <c r="H23" s="31" t="n">
        <v>1</v>
      </c>
      <c r="I23" s="31" t="n">
        <v>64564</v>
      </c>
      <c r="J23" s="29" t="n">
        <v>45327</v>
      </c>
      <c r="K23" s="31" t="n">
        <v>61438</v>
      </c>
      <c r="L23" s="30" t="s">
        <v>32</v>
      </c>
      <c r="M23" s="10" t="n">
        <v>1</v>
      </c>
      <c r="N23" s="12" t="n">
        <v>-3255</v>
      </c>
      <c r="O23" s="13" t="n">
        <v>-0.0504222870153103</v>
      </c>
      <c r="P23" s="15" t="n">
        <v>0.0377219679545262</v>
      </c>
      <c r="Q23" s="13" t="n">
        <v>-0.0474641637432334</v>
      </c>
      <c r="R23" s="15" t="n">
        <v>0.0678807947019868</v>
      </c>
      <c r="S23" s="32" t="n">
        <v>32909448000</v>
      </c>
      <c r="T23" s="15" t="n">
        <v>0.0678807947019868</v>
      </c>
      <c r="U23" s="32" t="n">
        <v>4250157005</v>
      </c>
      <c r="V23" s="14" t="n">
        <v>6.98523613423289</v>
      </c>
      <c r="W23" s="13" t="n">
        <v>0.0487804878048781</v>
      </c>
      <c r="X23" s="15" t="n">
        <v>0.0155038759689923</v>
      </c>
      <c r="Y23" s="13" t="n">
        <v>0.0286533514784892</v>
      </c>
      <c r="Z23" s="13" t="n">
        <v>0.0551731650635854</v>
      </c>
      <c r="AA23" s="30" t="s">
        <v>97</v>
      </c>
      <c r="AB23" s="28" t="s">
        <v>93</v>
      </c>
      <c r="AC23" s="28" t="s">
        <v>101</v>
      </c>
      <c r="AD23" s="28" t="s">
        <v>107</v>
      </c>
      <c r="AE23" s="28" t="s">
        <v>101</v>
      </c>
      <c r="AF23" s="28" t="s">
        <v>119</v>
      </c>
      <c r="AG23" s="30" t="s">
        <v>122</v>
      </c>
    </row>
    <row r="24" customFormat="false" ht="15" hidden="false" customHeight="false" outlineLevel="0" collapsed="false">
      <c r="A24" s="10" t="n">
        <v>2024</v>
      </c>
      <c r="B24" s="28" t="s">
        <v>52</v>
      </c>
      <c r="C24" s="29" t="n">
        <v>45329</v>
      </c>
      <c r="D24" s="30" t="s">
        <v>127</v>
      </c>
      <c r="E24" s="28" t="s">
        <v>609</v>
      </c>
      <c r="F24" s="28" t="s">
        <v>610</v>
      </c>
      <c r="G24" s="31" t="n">
        <v>98999</v>
      </c>
      <c r="H24" s="31" t="n">
        <v>1</v>
      </c>
      <c r="I24" s="31" t="n">
        <v>98999</v>
      </c>
      <c r="J24" s="29" t="n">
        <v>45350</v>
      </c>
      <c r="K24" s="31" t="n">
        <v>94206</v>
      </c>
      <c r="L24" s="30" t="s">
        <v>32</v>
      </c>
      <c r="M24" s="10" t="n">
        <v>13</v>
      </c>
      <c r="N24" s="12" t="n">
        <v>-4992</v>
      </c>
      <c r="O24" s="13" t="n">
        <v>-0.0504222870153104</v>
      </c>
      <c r="P24" s="15" t="n">
        <v>0.0242538048402559</v>
      </c>
      <c r="Q24" s="13" t="n">
        <v>-0.0504945004439443</v>
      </c>
      <c r="R24" s="15" t="n">
        <v>0.0238095238095237</v>
      </c>
      <c r="S24" s="32" t="n">
        <v>78359953500</v>
      </c>
      <c r="T24" s="15" t="n">
        <v>0.0164439876670093</v>
      </c>
      <c r="U24" s="32" t="n">
        <v>53173037900</v>
      </c>
      <c r="V24" s="14" t="n">
        <v>1.40605547150281</v>
      </c>
      <c r="W24" s="13" t="n">
        <v>0.0122824974411464</v>
      </c>
      <c r="X24" s="15" t="n">
        <v>0.00505561172901925</v>
      </c>
      <c r="Y24" s="13" t="n">
        <v>0.0129570685505784</v>
      </c>
      <c r="Z24" s="13" t="n">
        <v>0.0450484363799462</v>
      </c>
      <c r="AA24" s="30" t="s">
        <v>97</v>
      </c>
      <c r="AB24" s="28" t="s">
        <v>93</v>
      </c>
      <c r="AC24" s="28" t="s">
        <v>99</v>
      </c>
      <c r="AD24" s="28" t="s">
        <v>108</v>
      </c>
      <c r="AE24" s="28" t="s">
        <v>112</v>
      </c>
      <c r="AF24" s="28" t="s">
        <v>116</v>
      </c>
      <c r="AG24" s="30" t="s">
        <v>122</v>
      </c>
    </row>
    <row r="25" customFormat="false" ht="15" hidden="false" customHeight="false" outlineLevel="0" collapsed="false">
      <c r="A25" s="10" t="n">
        <v>2024</v>
      </c>
      <c r="B25" s="28" t="s">
        <v>52</v>
      </c>
      <c r="C25" s="29" t="n">
        <v>45329</v>
      </c>
      <c r="D25" s="30" t="s">
        <v>127</v>
      </c>
      <c r="E25" s="28" t="s">
        <v>1177</v>
      </c>
      <c r="F25" s="30" t="s">
        <v>1178</v>
      </c>
      <c r="G25" s="31" t="n">
        <v>16637</v>
      </c>
      <c r="H25" s="31" t="n">
        <v>5</v>
      </c>
      <c r="I25" s="31" t="n">
        <v>83183</v>
      </c>
      <c r="J25" s="29" t="n">
        <v>45356</v>
      </c>
      <c r="K25" s="31" t="n">
        <v>19970</v>
      </c>
      <c r="L25" s="30" t="s">
        <v>31</v>
      </c>
      <c r="M25" s="10" t="n">
        <v>16</v>
      </c>
      <c r="N25" s="12" t="n">
        <v>16460</v>
      </c>
      <c r="O25" s="13" t="n">
        <v>0.197873306416808</v>
      </c>
      <c r="P25" s="15" t="n">
        <v>0.202167267149217</v>
      </c>
      <c r="Q25" s="13" t="n">
        <v>-0.0190315100062392</v>
      </c>
      <c r="R25" s="15" t="n">
        <v>0.00727272727272732</v>
      </c>
      <c r="S25" s="32" t="n">
        <v>61231952460</v>
      </c>
      <c r="T25" s="15" t="n">
        <v>0.00180831826401451</v>
      </c>
      <c r="U25" s="32" t="n">
        <v>12306506183</v>
      </c>
      <c r="V25" s="14" t="n">
        <v>4.79653728573909</v>
      </c>
      <c r="W25" s="13" t="n">
        <v>-0.0107142857142857</v>
      </c>
      <c r="X25" s="15" t="n">
        <v>0.095066185318893</v>
      </c>
      <c r="Y25" s="13" t="n">
        <v>0.0129570685505784</v>
      </c>
      <c r="Z25" s="13" t="n">
        <v>0.0450484363799462</v>
      </c>
      <c r="AA25" s="30" t="s">
        <v>97</v>
      </c>
      <c r="AB25" s="28" t="s">
        <v>93</v>
      </c>
      <c r="AC25" s="28" t="s">
        <v>99</v>
      </c>
      <c r="AD25" s="28" t="s">
        <v>108</v>
      </c>
      <c r="AE25" s="28" t="s">
        <v>112</v>
      </c>
      <c r="AF25" s="28" t="s">
        <v>118</v>
      </c>
      <c r="AG25" s="30" t="s">
        <v>123</v>
      </c>
    </row>
    <row r="26" customFormat="false" ht="15" hidden="false" customHeight="false" outlineLevel="0" collapsed="false">
      <c r="A26" s="10" t="n">
        <v>2024</v>
      </c>
      <c r="B26" s="28" t="s">
        <v>52</v>
      </c>
      <c r="C26" s="29" t="n">
        <v>45329</v>
      </c>
      <c r="D26" s="30" t="s">
        <v>127</v>
      </c>
      <c r="E26" s="28" t="s">
        <v>681</v>
      </c>
      <c r="F26" s="30" t="s">
        <v>682</v>
      </c>
      <c r="G26" s="31" t="n">
        <v>54554</v>
      </c>
      <c r="H26" s="31" t="n">
        <v>1</v>
      </c>
      <c r="I26" s="31" t="n">
        <v>54554</v>
      </c>
      <c r="J26" s="29" t="n">
        <v>45385</v>
      </c>
      <c r="K26" s="31" t="n">
        <v>51648</v>
      </c>
      <c r="L26" s="30" t="s">
        <v>32</v>
      </c>
      <c r="M26" s="10" t="n">
        <v>37</v>
      </c>
      <c r="N26" s="12" t="n">
        <v>-3015</v>
      </c>
      <c r="O26" s="13" t="n">
        <v>-0.0552676197197297</v>
      </c>
      <c r="P26" s="15" t="n">
        <v>0.130979112630489</v>
      </c>
      <c r="Q26" s="13" t="n">
        <v>-0.0816522926614669</v>
      </c>
      <c r="R26" s="15" t="n">
        <v>0.0321969696969697</v>
      </c>
      <c r="S26" s="32" t="n">
        <v>37079729000</v>
      </c>
      <c r="T26" s="15" t="n">
        <v>0.00368324125230202</v>
      </c>
      <c r="U26" s="32" t="n">
        <v>40047322897.5</v>
      </c>
      <c r="V26" s="14" t="n">
        <v>0.871561836628369</v>
      </c>
      <c r="W26" s="13" t="n">
        <v>0.0205992509363295</v>
      </c>
      <c r="X26" s="15" t="n">
        <v>0.00550458715596336</v>
      </c>
      <c r="Y26" s="13" t="n">
        <v>0.0129570685505784</v>
      </c>
      <c r="Z26" s="13" t="n">
        <v>0.0450484363799462</v>
      </c>
      <c r="AA26" s="30" t="s">
        <v>97</v>
      </c>
      <c r="AB26" s="28" t="s">
        <v>93</v>
      </c>
      <c r="AC26" s="28" t="s">
        <v>100</v>
      </c>
      <c r="AD26" s="28" t="s">
        <v>107</v>
      </c>
      <c r="AE26" s="28" t="s">
        <v>112</v>
      </c>
      <c r="AF26" s="28" t="s">
        <v>116</v>
      </c>
      <c r="AG26" s="30" t="s">
        <v>122</v>
      </c>
    </row>
    <row r="27" customFormat="false" ht="15" hidden="false" customHeight="false" outlineLevel="0" collapsed="false">
      <c r="A27" s="10" t="n">
        <v>2024</v>
      </c>
      <c r="B27" s="28" t="s">
        <v>52</v>
      </c>
      <c r="C27" s="29" t="n">
        <v>45329</v>
      </c>
      <c r="D27" s="30" t="s">
        <v>127</v>
      </c>
      <c r="E27" s="28" t="s">
        <v>621</v>
      </c>
      <c r="F27" s="30" t="s">
        <v>622</v>
      </c>
      <c r="G27" s="31" t="n">
        <v>37037</v>
      </c>
      <c r="H27" s="31" t="n">
        <v>2</v>
      </c>
      <c r="I27" s="31" t="n">
        <v>74074</v>
      </c>
      <c r="J27" s="29" t="n">
        <v>45343</v>
      </c>
      <c r="K27" s="31" t="n">
        <v>35115</v>
      </c>
      <c r="L27" s="30" t="s">
        <v>32</v>
      </c>
      <c r="M27" s="10" t="n">
        <v>8</v>
      </c>
      <c r="N27" s="12" t="n">
        <v>-3992</v>
      </c>
      <c r="O27" s="13" t="n">
        <v>-0.0538969005994005</v>
      </c>
      <c r="P27" s="15" t="n">
        <v>0.0125010125010128</v>
      </c>
      <c r="Q27" s="13" t="n">
        <v>-0.0603990603990602</v>
      </c>
      <c r="R27" s="15" t="n">
        <v>0.064748201438849</v>
      </c>
      <c r="S27" s="32" t="n">
        <v>27342704000</v>
      </c>
      <c r="T27" s="15" t="n">
        <v>0.0364145658263306</v>
      </c>
      <c r="U27" s="32" t="n">
        <v>11229551272.5</v>
      </c>
      <c r="V27" s="14" t="n">
        <v>2.23863739119279</v>
      </c>
      <c r="W27" s="13" t="n">
        <v>0.0541310541310542</v>
      </c>
      <c r="X27" s="15" t="n">
        <v>0.00270270270270268</v>
      </c>
      <c r="Y27" s="13" t="n">
        <v>0.0129570685505784</v>
      </c>
      <c r="Z27" s="13" t="n">
        <v>0.0450484363799462</v>
      </c>
      <c r="AA27" s="30" t="s">
        <v>97</v>
      </c>
      <c r="AB27" s="28" t="s">
        <v>93</v>
      </c>
      <c r="AC27" s="28" t="s">
        <v>101</v>
      </c>
      <c r="AD27" s="28" t="s">
        <v>106</v>
      </c>
      <c r="AE27" s="28" t="s">
        <v>113</v>
      </c>
      <c r="AF27" s="28" t="s">
        <v>117</v>
      </c>
      <c r="AG27" s="30" t="s">
        <v>122</v>
      </c>
    </row>
    <row r="28" customFormat="false" ht="15" hidden="false" customHeight="false" outlineLevel="0" collapsed="false">
      <c r="A28" s="10" t="n">
        <v>2024</v>
      </c>
      <c r="B28" s="28" t="s">
        <v>52</v>
      </c>
      <c r="C28" s="29" t="n">
        <v>45329</v>
      </c>
      <c r="D28" s="30" t="s">
        <v>127</v>
      </c>
      <c r="E28" s="28" t="s">
        <v>1179</v>
      </c>
      <c r="F28" s="30" t="s">
        <v>1180</v>
      </c>
      <c r="G28" s="31" t="n">
        <v>5846</v>
      </c>
      <c r="H28" s="31" t="n">
        <v>17</v>
      </c>
      <c r="I28" s="31" t="n">
        <v>99379</v>
      </c>
      <c r="J28" s="29" t="n">
        <v>45330</v>
      </c>
      <c r="K28" s="31" t="n">
        <v>5564</v>
      </c>
      <c r="L28" s="30" t="s">
        <v>32</v>
      </c>
      <c r="M28" s="10" t="n">
        <v>1</v>
      </c>
      <c r="N28" s="12" t="n">
        <v>-4983</v>
      </c>
      <c r="O28" s="13" t="n">
        <v>-0.050144635244892</v>
      </c>
      <c r="P28" s="15" t="n">
        <v>-0.0249476550846413</v>
      </c>
      <c r="Q28" s="13" t="n">
        <v>-0.0471856910213073</v>
      </c>
      <c r="R28" s="15" t="n">
        <v>0.0522522522522522</v>
      </c>
      <c r="S28" s="32" t="n">
        <v>22572347520</v>
      </c>
      <c r="T28" s="15" t="n">
        <v>0.00689655172413795</v>
      </c>
      <c r="U28" s="32" t="n">
        <v>4265013848.5</v>
      </c>
      <c r="V28" s="14" t="n">
        <v>4.90774163938664</v>
      </c>
      <c r="W28" s="13" t="n">
        <v>-0.0504065040650407</v>
      </c>
      <c r="X28" s="15" t="n">
        <v>0.0907534246575343</v>
      </c>
      <c r="Y28" s="13" t="n">
        <v>0.0129570685505784</v>
      </c>
      <c r="Z28" s="13" t="n">
        <v>0.0450484363799462</v>
      </c>
      <c r="AA28" s="30" t="s">
        <v>97</v>
      </c>
      <c r="AB28" s="28" t="s">
        <v>93</v>
      </c>
      <c r="AC28" s="28" t="s">
        <v>101</v>
      </c>
      <c r="AD28" s="28" t="s">
        <v>106</v>
      </c>
      <c r="AE28" s="28" t="s">
        <v>112</v>
      </c>
      <c r="AF28" s="28" t="s">
        <v>118</v>
      </c>
      <c r="AG28" s="30" t="s">
        <v>123</v>
      </c>
    </row>
    <row r="29" customFormat="false" ht="15" hidden="false" customHeight="false" outlineLevel="0" collapsed="false">
      <c r="A29" s="10" t="n">
        <v>2024</v>
      </c>
      <c r="B29" s="28" t="s">
        <v>52</v>
      </c>
      <c r="C29" s="29" t="n">
        <v>45335</v>
      </c>
      <c r="D29" s="30" t="s">
        <v>126</v>
      </c>
      <c r="E29" s="28" t="s">
        <v>1181</v>
      </c>
      <c r="F29" s="30" t="s">
        <v>1182</v>
      </c>
      <c r="G29" s="31" t="n">
        <v>28328</v>
      </c>
      <c r="H29" s="31" t="n">
        <v>3</v>
      </c>
      <c r="I29" s="31" t="n">
        <v>84985</v>
      </c>
      <c r="J29" s="29" t="n">
        <v>45336</v>
      </c>
      <c r="K29" s="31" t="n">
        <v>26873</v>
      </c>
      <c r="L29" s="30" t="s">
        <v>32</v>
      </c>
      <c r="M29" s="10" t="n">
        <v>1</v>
      </c>
      <c r="N29" s="12" t="n">
        <v>-4536</v>
      </c>
      <c r="O29" s="13" t="n">
        <v>-0.0533689557792033</v>
      </c>
      <c r="P29" s="15" t="n">
        <v>0.140202553630116</v>
      </c>
      <c r="Q29" s="13" t="n">
        <v>-0.0645397005821032</v>
      </c>
      <c r="R29" s="15" t="n">
        <v>0.148073022312373</v>
      </c>
      <c r="S29" s="32" t="n">
        <v>315143706000</v>
      </c>
      <c r="T29" s="15" t="n">
        <v>0.129740518962076</v>
      </c>
      <c r="U29" s="32" t="n">
        <v>27209578746.5</v>
      </c>
      <c r="V29" s="14" t="n">
        <v>9.52667911075021</v>
      </c>
      <c r="W29" s="13" t="n">
        <v>0.054003724394786</v>
      </c>
      <c r="X29" s="15" t="n">
        <v>0.0777385159010602</v>
      </c>
      <c r="Y29" s="13" t="n">
        <v>0.0111894730414606</v>
      </c>
      <c r="Z29" s="13" t="n">
        <v>0.0131265509633658</v>
      </c>
      <c r="AA29" s="30" t="s">
        <v>97</v>
      </c>
      <c r="AB29" s="28" t="s">
        <v>93</v>
      </c>
      <c r="AC29" s="28" t="s">
        <v>102</v>
      </c>
      <c r="AD29" s="28" t="s">
        <v>110</v>
      </c>
      <c r="AE29" s="28" t="s">
        <v>114</v>
      </c>
      <c r="AF29" s="28" t="s">
        <v>119</v>
      </c>
      <c r="AG29" s="30" t="s">
        <v>122</v>
      </c>
    </row>
    <row r="30" customFormat="false" ht="15" hidden="false" customHeight="false" outlineLevel="0" collapsed="false">
      <c r="A30" s="10" t="n">
        <v>2024</v>
      </c>
      <c r="B30" s="28" t="s">
        <v>52</v>
      </c>
      <c r="C30" s="29" t="n">
        <v>45335</v>
      </c>
      <c r="D30" s="30" t="s">
        <v>126</v>
      </c>
      <c r="E30" s="28" t="s">
        <v>1183</v>
      </c>
      <c r="F30" s="30" t="s">
        <v>1184</v>
      </c>
      <c r="G30" s="31" t="n">
        <v>43400</v>
      </c>
      <c r="H30" s="31" t="n">
        <v>2</v>
      </c>
      <c r="I30" s="31" t="n">
        <v>86800</v>
      </c>
      <c r="J30" s="29" t="n">
        <v>45336</v>
      </c>
      <c r="K30" s="31" t="n">
        <v>41309</v>
      </c>
      <c r="L30" s="30" t="s">
        <v>32</v>
      </c>
      <c r="M30" s="10" t="n">
        <v>1</v>
      </c>
      <c r="N30" s="12" t="n">
        <v>-4357</v>
      </c>
      <c r="O30" s="13" t="n">
        <v>-0.0501903335537621</v>
      </c>
      <c r="P30" s="15" t="n">
        <v>0.039579376136436</v>
      </c>
      <c r="Q30" s="13" t="n">
        <v>-0.0686296295580627</v>
      </c>
      <c r="R30" s="15" t="n">
        <v>0.276543209876544</v>
      </c>
      <c r="S30" s="32" t="n">
        <v>184126613440</v>
      </c>
      <c r="T30" s="15" t="n">
        <v>0.177676537585422</v>
      </c>
      <c r="U30" s="32" t="n">
        <v>6169741399.8</v>
      </c>
      <c r="V30" s="14" t="n">
        <v>23.2912751202068</v>
      </c>
      <c r="W30" s="13" t="n">
        <v>0.19953596287703</v>
      </c>
      <c r="X30" s="15" t="n">
        <v>0.0174081237911024</v>
      </c>
      <c r="Y30" s="13" t="n">
        <v>0.0111894730414606</v>
      </c>
      <c r="Z30" s="13" t="n">
        <v>0.0131265509633658</v>
      </c>
      <c r="AA30" s="30" t="s">
        <v>97</v>
      </c>
      <c r="AB30" s="28" t="s">
        <v>93</v>
      </c>
      <c r="AC30" s="28" t="s">
        <v>104</v>
      </c>
      <c r="AD30" s="28" t="s">
        <v>109</v>
      </c>
      <c r="AE30" s="28" t="s">
        <v>114</v>
      </c>
      <c r="AF30" s="28" t="s">
        <v>120</v>
      </c>
      <c r="AG30" s="30" t="s">
        <v>122</v>
      </c>
    </row>
    <row r="31" customFormat="false" ht="15" hidden="false" customHeight="false" outlineLevel="0" collapsed="false">
      <c r="A31" s="10" t="n">
        <v>2024</v>
      </c>
      <c r="B31" s="28" t="s">
        <v>52</v>
      </c>
      <c r="C31" s="29" t="n">
        <v>45335</v>
      </c>
      <c r="D31" s="30" t="s">
        <v>126</v>
      </c>
      <c r="E31" s="28" t="s">
        <v>369</v>
      </c>
      <c r="F31" s="28" t="s">
        <v>370</v>
      </c>
      <c r="G31" s="31" t="n">
        <v>21371</v>
      </c>
      <c r="H31" s="31" t="n">
        <v>4</v>
      </c>
      <c r="I31" s="31" t="n">
        <v>85485</v>
      </c>
      <c r="J31" s="29" t="n">
        <v>45336</v>
      </c>
      <c r="K31" s="31" t="n">
        <v>20330</v>
      </c>
      <c r="L31" s="30" t="s">
        <v>32</v>
      </c>
      <c r="M31" s="10" t="n">
        <v>1</v>
      </c>
      <c r="N31" s="12" t="n">
        <v>-4338</v>
      </c>
      <c r="O31" s="13" t="n">
        <v>-0.0507477777491829</v>
      </c>
      <c r="P31" s="15" t="n">
        <v>-0.00801774338074102</v>
      </c>
      <c r="Q31" s="13" t="n">
        <v>-0.0571489400529213</v>
      </c>
      <c r="R31" s="15" t="n">
        <v>0.104500775995861</v>
      </c>
      <c r="S31" s="32" t="n">
        <v>90281399950</v>
      </c>
      <c r="T31" s="15" t="n">
        <v>0.0264423076923077</v>
      </c>
      <c r="U31" s="32" t="n">
        <v>17745940677</v>
      </c>
      <c r="V31" s="14" t="n">
        <v>4.79607366444281</v>
      </c>
      <c r="W31" s="13" t="n">
        <v>0.098816263510036</v>
      </c>
      <c r="X31" s="15" t="n">
        <v>0.0960187353629978</v>
      </c>
      <c r="Y31" s="13" t="n">
        <v>0.0111894730414606</v>
      </c>
      <c r="Z31" s="13" t="n">
        <v>0.0131265509633658</v>
      </c>
      <c r="AA31" s="30" t="s">
        <v>97</v>
      </c>
      <c r="AB31" s="28" t="s">
        <v>93</v>
      </c>
      <c r="AC31" s="28" t="s">
        <v>102</v>
      </c>
      <c r="AD31" s="28" t="s">
        <v>108</v>
      </c>
      <c r="AE31" s="28" t="s">
        <v>113</v>
      </c>
      <c r="AF31" s="28" t="s">
        <v>118</v>
      </c>
      <c r="AG31" s="30" t="s">
        <v>122</v>
      </c>
    </row>
    <row r="32" customFormat="false" ht="15" hidden="false" customHeight="false" outlineLevel="0" collapsed="false">
      <c r="A32" s="10" t="n">
        <v>2024</v>
      </c>
      <c r="B32" s="28" t="s">
        <v>52</v>
      </c>
      <c r="C32" s="29" t="n">
        <v>45335</v>
      </c>
      <c r="D32" s="30" t="s">
        <v>126</v>
      </c>
      <c r="E32" s="28" t="s">
        <v>1185</v>
      </c>
      <c r="F32" s="30" t="s">
        <v>1186</v>
      </c>
      <c r="G32" s="31" t="n">
        <v>57057</v>
      </c>
      <c r="H32" s="31" t="n">
        <v>1</v>
      </c>
      <c r="I32" s="31" t="n">
        <v>57057</v>
      </c>
      <c r="J32" s="29" t="n">
        <v>45337</v>
      </c>
      <c r="K32" s="31" t="n">
        <v>54246</v>
      </c>
      <c r="L32" s="30" t="s">
        <v>32</v>
      </c>
      <c r="M32" s="10" t="n">
        <v>2</v>
      </c>
      <c r="N32" s="12" t="n">
        <v>-2926</v>
      </c>
      <c r="O32" s="13" t="n">
        <v>-0.0512757008780693</v>
      </c>
      <c r="P32" s="15" t="n">
        <v>0.0252904989747096</v>
      </c>
      <c r="Q32" s="13" t="n">
        <v>-0.0570832676095833</v>
      </c>
      <c r="R32" s="15" t="n">
        <v>0.17283950617284</v>
      </c>
      <c r="S32" s="32" t="n">
        <v>72532386000</v>
      </c>
      <c r="T32" s="15" t="n">
        <v>0.170431211498973</v>
      </c>
      <c r="U32" s="32" t="n">
        <v>5201429222.5</v>
      </c>
      <c r="V32" s="14" t="n">
        <v>11.2423699748294</v>
      </c>
      <c r="W32" s="13" t="n">
        <v>0.148036253776435</v>
      </c>
      <c r="X32" s="15" t="n">
        <v>0.0421052631578947</v>
      </c>
      <c r="Y32" s="13" t="n">
        <v>0.0111894730414606</v>
      </c>
      <c r="Z32" s="13" t="n">
        <v>0.0131265509633658</v>
      </c>
      <c r="AA32" s="30" t="s">
        <v>97</v>
      </c>
      <c r="AB32" s="28" t="s">
        <v>93</v>
      </c>
      <c r="AC32" s="28" t="s">
        <v>103</v>
      </c>
      <c r="AD32" s="28" t="s">
        <v>108</v>
      </c>
      <c r="AE32" s="28" t="s">
        <v>114</v>
      </c>
      <c r="AF32" s="28" t="s">
        <v>120</v>
      </c>
      <c r="AG32" s="30" t="s">
        <v>122</v>
      </c>
    </row>
    <row r="33" customFormat="false" ht="15" hidden="false" customHeight="false" outlineLevel="0" collapsed="false">
      <c r="A33" s="10" t="n">
        <v>2024</v>
      </c>
      <c r="B33" s="28" t="s">
        <v>52</v>
      </c>
      <c r="C33" s="29" t="n">
        <v>45335</v>
      </c>
      <c r="D33" s="30" t="s">
        <v>126</v>
      </c>
      <c r="E33" s="28" t="s">
        <v>751</v>
      </c>
      <c r="F33" s="30" t="s">
        <v>752</v>
      </c>
      <c r="G33" s="31" t="n">
        <v>23674</v>
      </c>
      <c r="H33" s="31" t="n">
        <v>4</v>
      </c>
      <c r="I33" s="31" t="n">
        <v>94695</v>
      </c>
      <c r="J33" s="29" t="n">
        <v>45349</v>
      </c>
      <c r="K33" s="31" t="n">
        <v>22527</v>
      </c>
      <c r="L33" s="30" t="s">
        <v>32</v>
      </c>
      <c r="M33" s="10" t="n">
        <v>10</v>
      </c>
      <c r="N33" s="12" t="n">
        <v>-4775</v>
      </c>
      <c r="O33" s="13" t="n">
        <v>-0.0504222870153102</v>
      </c>
      <c r="P33" s="15" t="n">
        <v>0.00322510470502024</v>
      </c>
      <c r="Q33" s="13" t="n">
        <v>-0.049576216595244</v>
      </c>
      <c r="R33" s="15" t="n">
        <v>0.0350109409190371</v>
      </c>
      <c r="S33" s="32" t="n">
        <v>39812646500</v>
      </c>
      <c r="T33" s="15" t="n">
        <v>0.0215982721382289</v>
      </c>
      <c r="U33" s="32" t="n">
        <v>17189424065</v>
      </c>
      <c r="V33" s="14" t="n">
        <v>2.22284899307546</v>
      </c>
      <c r="W33" s="13" t="n">
        <v>0.0260303687635575</v>
      </c>
      <c r="X33" s="15" t="n">
        <v>0.00422832980972521</v>
      </c>
      <c r="Y33" s="13" t="n">
        <v>0.0111894730414606</v>
      </c>
      <c r="Z33" s="13" t="n">
        <v>0.0131265509633658</v>
      </c>
      <c r="AA33" s="30" t="s">
        <v>97</v>
      </c>
      <c r="AB33" s="28" t="s">
        <v>93</v>
      </c>
      <c r="AC33" s="28" t="s">
        <v>100</v>
      </c>
      <c r="AD33" s="28" t="s">
        <v>107</v>
      </c>
      <c r="AE33" s="28" t="s">
        <v>113</v>
      </c>
      <c r="AF33" s="28" t="s">
        <v>117</v>
      </c>
      <c r="AG33" s="30" t="s">
        <v>122</v>
      </c>
    </row>
    <row r="34" customFormat="false" ht="15" hidden="false" customHeight="false" outlineLevel="0" collapsed="false">
      <c r="A34" s="10" t="n">
        <v>2024</v>
      </c>
      <c r="B34" s="28" t="s">
        <v>52</v>
      </c>
      <c r="C34" s="29" t="n">
        <v>45335</v>
      </c>
      <c r="D34" s="30" t="s">
        <v>126</v>
      </c>
      <c r="E34" s="28" t="s">
        <v>1187</v>
      </c>
      <c r="F34" s="30" t="s">
        <v>1188</v>
      </c>
      <c r="G34" s="31" t="n">
        <v>4044</v>
      </c>
      <c r="H34" s="31" t="n">
        <v>24</v>
      </c>
      <c r="I34" s="31" t="n">
        <v>97057</v>
      </c>
      <c r="J34" s="29" t="n">
        <v>45337</v>
      </c>
      <c r="K34" s="31" t="n">
        <v>4855</v>
      </c>
      <c r="L34" s="30" t="s">
        <v>31</v>
      </c>
      <c r="M34" s="10" t="n">
        <v>2</v>
      </c>
      <c r="N34" s="12" t="n">
        <v>19221</v>
      </c>
      <c r="O34" s="13" t="n">
        <v>0.198041103451004</v>
      </c>
      <c r="P34" s="15" t="n">
        <v>0.231441825501232</v>
      </c>
      <c r="Q34" s="13" t="n">
        <v>-0.0356178474990355</v>
      </c>
      <c r="R34" s="15" t="n">
        <v>0.0466321243523316</v>
      </c>
      <c r="S34" s="32" t="n">
        <v>32375554040</v>
      </c>
      <c r="T34" s="15" t="n">
        <v>0.0253807106598984</v>
      </c>
      <c r="U34" s="32" t="n">
        <v>22481270556</v>
      </c>
      <c r="V34" s="14" t="n">
        <v>1.32356682216307</v>
      </c>
      <c r="W34" s="13" t="n">
        <v>-0.0494117647058824</v>
      </c>
      <c r="X34" s="15" t="n">
        <v>0.051980198019802</v>
      </c>
      <c r="Y34" s="13" t="n">
        <v>0.0111894730414606</v>
      </c>
      <c r="Z34" s="13" t="n">
        <v>0.0131265509633658</v>
      </c>
      <c r="AA34" s="30" t="s">
        <v>97</v>
      </c>
      <c r="AB34" s="28" t="s">
        <v>93</v>
      </c>
      <c r="AC34" s="28" t="s">
        <v>100</v>
      </c>
      <c r="AD34" s="28" t="s">
        <v>107</v>
      </c>
      <c r="AE34" s="28" t="s">
        <v>113</v>
      </c>
      <c r="AF34" s="28" t="s">
        <v>116</v>
      </c>
      <c r="AG34" s="30" t="s">
        <v>123</v>
      </c>
    </row>
    <row r="35" customFormat="false" ht="15" hidden="false" customHeight="false" outlineLevel="0" collapsed="false">
      <c r="A35" s="10" t="n">
        <v>2024</v>
      </c>
      <c r="B35" s="28" t="s">
        <v>52</v>
      </c>
      <c r="C35" s="29" t="n">
        <v>45335</v>
      </c>
      <c r="D35" s="30" t="s">
        <v>126</v>
      </c>
      <c r="E35" s="28" t="s">
        <v>421</v>
      </c>
      <c r="F35" s="30" t="s">
        <v>422</v>
      </c>
      <c r="G35" s="31" t="n">
        <v>63463</v>
      </c>
      <c r="H35" s="31" t="n">
        <v>1</v>
      </c>
      <c r="I35" s="31" t="n">
        <v>63463</v>
      </c>
      <c r="J35" s="29" t="n">
        <v>45362</v>
      </c>
      <c r="K35" s="31" t="n">
        <v>76900</v>
      </c>
      <c r="L35" s="30" t="s">
        <v>31</v>
      </c>
      <c r="M35" s="10" t="n">
        <v>18</v>
      </c>
      <c r="N35" s="12" t="n">
        <v>13277</v>
      </c>
      <c r="O35" s="13" t="n">
        <v>0.209209173949079</v>
      </c>
      <c r="P35" s="15" t="n">
        <v>0.266871929332497</v>
      </c>
      <c r="Q35" s="13" t="n">
        <v>-0.030937516741933</v>
      </c>
      <c r="R35" s="15" t="n">
        <v>0.0359477124183008</v>
      </c>
      <c r="S35" s="32" t="n">
        <v>24684853400</v>
      </c>
      <c r="T35" s="15" t="n">
        <v>0.00634920634920633</v>
      </c>
      <c r="U35" s="32" t="n">
        <v>14021798795</v>
      </c>
      <c r="V35" s="14" t="n">
        <v>1.68041944128301</v>
      </c>
      <c r="W35" s="13" t="n">
        <v>0.0242326332794831</v>
      </c>
      <c r="X35" s="15" t="n">
        <v>0.00157728706624605</v>
      </c>
      <c r="Y35" s="13" t="n">
        <v>0.0111894730414606</v>
      </c>
      <c r="Z35" s="13" t="n">
        <v>0.0131265509633658</v>
      </c>
      <c r="AA35" s="30" t="s">
        <v>97</v>
      </c>
      <c r="AB35" s="28" t="s">
        <v>93</v>
      </c>
      <c r="AC35" s="28" t="s">
        <v>100</v>
      </c>
      <c r="AD35" s="28" t="s">
        <v>106</v>
      </c>
      <c r="AE35" s="28" t="s">
        <v>112</v>
      </c>
      <c r="AF35" s="28" t="s">
        <v>116</v>
      </c>
      <c r="AG35" s="30" t="s">
        <v>122</v>
      </c>
    </row>
    <row r="36" customFormat="false" ht="15" hidden="false" customHeight="false" outlineLevel="0" collapsed="false">
      <c r="A36" s="10" t="n">
        <v>2024</v>
      </c>
      <c r="B36" s="28" t="s">
        <v>52</v>
      </c>
      <c r="C36" s="29" t="n">
        <v>45335</v>
      </c>
      <c r="D36" s="30" t="s">
        <v>126</v>
      </c>
      <c r="E36" s="28" t="s">
        <v>1141</v>
      </c>
      <c r="F36" s="30" t="s">
        <v>1142</v>
      </c>
      <c r="G36" s="31" t="n">
        <v>32332</v>
      </c>
      <c r="H36" s="31" t="n">
        <v>3</v>
      </c>
      <c r="I36" s="31" t="n">
        <v>96997</v>
      </c>
      <c r="J36" s="29" t="n">
        <v>45345</v>
      </c>
      <c r="K36" s="31" t="n">
        <v>38800</v>
      </c>
      <c r="L36" s="30" t="s">
        <v>31</v>
      </c>
      <c r="M36" s="10" t="n">
        <v>8</v>
      </c>
      <c r="N36" s="12" t="n">
        <v>19162</v>
      </c>
      <c r="O36" s="13" t="n">
        <v>0.197548276955243</v>
      </c>
      <c r="P36" s="15" t="n">
        <v>0.220142087015152</v>
      </c>
      <c r="Q36" s="13" t="n">
        <v>-0.0412064715470287</v>
      </c>
      <c r="R36" s="15" t="n">
        <v>0.0642504118616145</v>
      </c>
      <c r="S36" s="32" t="n">
        <v>20881304000</v>
      </c>
      <c r="T36" s="15" t="n">
        <v>0.0572831423895255</v>
      </c>
      <c r="U36" s="32" t="n">
        <v>6295789355</v>
      </c>
      <c r="V36" s="14" t="n">
        <v>2.97930711569494</v>
      </c>
      <c r="W36" s="13" t="n">
        <v>0.0419354838709678</v>
      </c>
      <c r="X36" s="15" t="n">
        <v>0.021671826625387</v>
      </c>
      <c r="Y36" s="13" t="n">
        <v>0.0111894730414606</v>
      </c>
      <c r="Z36" s="13" t="n">
        <v>0.0131265509633658</v>
      </c>
      <c r="AA36" s="30" t="s">
        <v>97</v>
      </c>
      <c r="AB36" s="28" t="s">
        <v>93</v>
      </c>
      <c r="AC36" s="28" t="s">
        <v>101</v>
      </c>
      <c r="AD36" s="28" t="s">
        <v>106</v>
      </c>
      <c r="AE36" s="28" t="s">
        <v>101</v>
      </c>
      <c r="AF36" s="28" t="s">
        <v>117</v>
      </c>
      <c r="AG36" s="30" t="s">
        <v>122</v>
      </c>
    </row>
    <row r="37" customFormat="false" ht="15" hidden="false" customHeight="false" outlineLevel="0" collapsed="false">
      <c r="A37" s="10" t="n">
        <v>2024</v>
      </c>
      <c r="B37" s="28" t="s">
        <v>52</v>
      </c>
      <c r="C37" s="29" t="n">
        <v>45336</v>
      </c>
      <c r="D37" s="30" t="s">
        <v>127</v>
      </c>
      <c r="E37" s="28" t="s">
        <v>197</v>
      </c>
      <c r="F37" s="30" t="s">
        <v>198</v>
      </c>
      <c r="G37" s="31" t="n">
        <v>5115</v>
      </c>
      <c r="H37" s="31" t="n">
        <v>19</v>
      </c>
      <c r="I37" s="31" t="n">
        <v>97187</v>
      </c>
      <c r="J37" s="29" t="n">
        <v>45337</v>
      </c>
      <c r="K37" s="31" t="n">
        <v>6140</v>
      </c>
      <c r="L37" s="30" t="s">
        <v>31</v>
      </c>
      <c r="M37" s="10" t="n">
        <v>1</v>
      </c>
      <c r="N37" s="12" t="n">
        <v>19231</v>
      </c>
      <c r="O37" s="13" t="n">
        <v>0.197874480411956</v>
      </c>
      <c r="P37" s="15" t="n">
        <v>0.26683492632612</v>
      </c>
      <c r="Q37" s="13" t="n">
        <v>0.00877595985228075</v>
      </c>
      <c r="R37" s="15" t="n">
        <v>0.164009111617312</v>
      </c>
      <c r="S37" s="32" t="n">
        <v>125183655800</v>
      </c>
      <c r="T37" s="15" t="n">
        <v>0.1280353200883</v>
      </c>
      <c r="U37" s="32" t="n">
        <v>7833505869.25</v>
      </c>
      <c r="V37" s="14" t="n">
        <v>13.6665388682997</v>
      </c>
      <c r="W37" s="13" t="n">
        <v>0.172018348623853</v>
      </c>
      <c r="X37" s="15" t="n">
        <v>0.0215264187866928</v>
      </c>
      <c r="Y37" s="13" t="n">
        <v>-0.0110279132259477</v>
      </c>
      <c r="Z37" s="13" t="n">
        <v>0.0112337003291771</v>
      </c>
      <c r="AA37" s="30" t="s">
        <v>97</v>
      </c>
      <c r="AB37" s="28" t="s">
        <v>93</v>
      </c>
      <c r="AC37" s="28" t="s">
        <v>103</v>
      </c>
      <c r="AD37" s="28" t="s">
        <v>109</v>
      </c>
      <c r="AE37" s="28" t="s">
        <v>114</v>
      </c>
      <c r="AF37" s="28" t="s">
        <v>120</v>
      </c>
      <c r="AG37" s="30" t="s">
        <v>122</v>
      </c>
    </row>
    <row r="38" customFormat="false" ht="15" hidden="false" customHeight="false" outlineLevel="0" collapsed="false">
      <c r="A38" s="10" t="n">
        <v>2024</v>
      </c>
      <c r="B38" s="28" t="s">
        <v>52</v>
      </c>
      <c r="C38" s="29" t="n">
        <v>45336</v>
      </c>
      <c r="D38" s="30" t="s">
        <v>127</v>
      </c>
      <c r="E38" s="28" t="s">
        <v>1189</v>
      </c>
      <c r="F38" s="30" t="s">
        <v>1190</v>
      </c>
      <c r="G38" s="31" t="n">
        <v>7327</v>
      </c>
      <c r="H38" s="31" t="n">
        <v>13</v>
      </c>
      <c r="I38" s="31" t="n">
        <v>95255</v>
      </c>
      <c r="J38" s="29" t="n">
        <v>45342</v>
      </c>
      <c r="K38" s="31" t="n">
        <v>8800</v>
      </c>
      <c r="L38" s="30" t="s">
        <v>31</v>
      </c>
      <c r="M38" s="10" t="n">
        <v>4</v>
      </c>
      <c r="N38" s="12" t="n">
        <v>18907</v>
      </c>
      <c r="O38" s="13" t="n">
        <v>0.198492887167477</v>
      </c>
      <c r="P38" s="15" t="n">
        <v>0.233738938656972</v>
      </c>
      <c r="Q38" s="13" t="n">
        <v>-0.0364826430400199</v>
      </c>
      <c r="R38" s="15" t="n">
        <v>0.0909090909090908</v>
      </c>
      <c r="S38" s="32" t="n">
        <v>66539854080</v>
      </c>
      <c r="T38" s="15" t="n">
        <v>0.0442225392296718</v>
      </c>
      <c r="U38" s="32" t="n">
        <v>6606683490.5</v>
      </c>
      <c r="V38" s="14" t="n">
        <v>9.48196436903221</v>
      </c>
      <c r="W38" s="13" t="n">
        <v>0.102409638554217</v>
      </c>
      <c r="X38" s="15" t="n">
        <v>0.0587431693989071</v>
      </c>
      <c r="Y38" s="13" t="n">
        <v>-0.0110279132259477</v>
      </c>
      <c r="Z38" s="13" t="n">
        <v>0.0112337003291771</v>
      </c>
      <c r="AA38" s="30" t="s">
        <v>97</v>
      </c>
      <c r="AB38" s="28" t="s">
        <v>93</v>
      </c>
      <c r="AC38" s="28" t="s">
        <v>101</v>
      </c>
      <c r="AD38" s="28" t="s">
        <v>108</v>
      </c>
      <c r="AE38" s="28" t="s">
        <v>113</v>
      </c>
      <c r="AF38" s="28" t="s">
        <v>119</v>
      </c>
      <c r="AG38" s="30" t="s">
        <v>122</v>
      </c>
    </row>
    <row r="39" customFormat="false" ht="15" hidden="false" customHeight="false" outlineLevel="0" collapsed="false">
      <c r="A39" s="10" t="n">
        <v>2024</v>
      </c>
      <c r="B39" s="28" t="s">
        <v>52</v>
      </c>
      <c r="C39" s="29" t="n">
        <v>45336</v>
      </c>
      <c r="D39" s="30" t="s">
        <v>127</v>
      </c>
      <c r="E39" s="28" t="s">
        <v>1191</v>
      </c>
      <c r="F39" s="30" t="s">
        <v>1192</v>
      </c>
      <c r="G39" s="31" t="n">
        <v>18629</v>
      </c>
      <c r="H39" s="31" t="n">
        <v>5</v>
      </c>
      <c r="I39" s="31" t="n">
        <v>93143</v>
      </c>
      <c r="J39" s="29" t="n">
        <v>45345</v>
      </c>
      <c r="K39" s="31" t="n">
        <v>22400</v>
      </c>
      <c r="L39" s="30" t="s">
        <v>31</v>
      </c>
      <c r="M39" s="10" t="n">
        <v>7</v>
      </c>
      <c r="N39" s="12" t="n">
        <v>18625</v>
      </c>
      <c r="O39" s="13" t="n">
        <v>0.199956717570447</v>
      </c>
      <c r="P39" s="15" t="n">
        <v>0.205135541513833</v>
      </c>
      <c r="Q39" s="13" t="n">
        <v>-0.0321339058577101</v>
      </c>
      <c r="R39" s="15" t="n">
        <v>0.0361915367483296</v>
      </c>
      <c r="S39" s="32" t="n">
        <v>33846509470</v>
      </c>
      <c r="T39" s="15" t="n">
        <v>0.0191675794085433</v>
      </c>
      <c r="U39" s="32" t="n">
        <v>12404378471.5</v>
      </c>
      <c r="V39" s="14" t="n">
        <v>2.43339895175541</v>
      </c>
      <c r="W39" s="13" t="n">
        <v>0.051412429378531</v>
      </c>
      <c r="X39" s="15" t="n">
        <v>0.0171950564212788</v>
      </c>
      <c r="Y39" s="13" t="n">
        <v>-0.0110279132259477</v>
      </c>
      <c r="Z39" s="13" t="n">
        <v>0.0112337003291771</v>
      </c>
      <c r="AA39" s="30" t="s">
        <v>97</v>
      </c>
      <c r="AB39" s="28" t="s">
        <v>93</v>
      </c>
      <c r="AC39" s="28" t="s">
        <v>100</v>
      </c>
      <c r="AD39" s="28" t="s">
        <v>107</v>
      </c>
      <c r="AE39" s="28" t="s">
        <v>112</v>
      </c>
      <c r="AF39" s="28" t="s">
        <v>117</v>
      </c>
      <c r="AG39" s="30" t="s">
        <v>122</v>
      </c>
    </row>
    <row r="40" customFormat="false" ht="15" hidden="false" customHeight="false" outlineLevel="0" collapsed="false">
      <c r="A40" s="10" t="n">
        <v>2024</v>
      </c>
      <c r="B40" s="28" t="s">
        <v>52</v>
      </c>
      <c r="C40" s="29" t="n">
        <v>45337</v>
      </c>
      <c r="D40" s="30" t="s">
        <v>128</v>
      </c>
      <c r="E40" s="28" t="s">
        <v>531</v>
      </c>
      <c r="F40" s="30" t="s">
        <v>532</v>
      </c>
      <c r="G40" s="31" t="n">
        <v>10110</v>
      </c>
      <c r="H40" s="31" t="n">
        <v>9</v>
      </c>
      <c r="I40" s="31" t="n">
        <v>90991</v>
      </c>
      <c r="J40" s="29" t="n">
        <v>45345</v>
      </c>
      <c r="K40" s="31" t="n">
        <v>9620</v>
      </c>
      <c r="L40" s="30" t="s">
        <v>32</v>
      </c>
      <c r="M40" s="10" t="n">
        <v>6</v>
      </c>
      <c r="N40" s="12" t="n">
        <v>-4590</v>
      </c>
      <c r="O40" s="13" t="n">
        <v>-0.0504452217584396</v>
      </c>
      <c r="P40" s="15" t="n">
        <v>0.0860426702010861</v>
      </c>
      <c r="Q40" s="13" t="n">
        <v>-0.0860624523990859</v>
      </c>
      <c r="R40" s="15" t="n">
        <v>0.116022099447514</v>
      </c>
      <c r="S40" s="32" t="n">
        <v>99695292100</v>
      </c>
      <c r="T40" s="15" t="n">
        <v>0.073326248671626</v>
      </c>
      <c r="U40" s="32" t="n">
        <v>10744300977</v>
      </c>
      <c r="V40" s="14" t="n">
        <v>7.9832782429158</v>
      </c>
      <c r="W40" s="13" t="n">
        <v>0.0654008438818565</v>
      </c>
      <c r="X40" s="15" t="n">
        <v>0.0891089108910892</v>
      </c>
      <c r="Y40" s="13" t="n">
        <v>-0.00252631257584657</v>
      </c>
      <c r="Z40" s="13" t="n">
        <v>0.0145951401288722</v>
      </c>
      <c r="AA40" s="30" t="s">
        <v>97</v>
      </c>
      <c r="AB40" s="28" t="s">
        <v>93</v>
      </c>
      <c r="AC40" s="28" t="s">
        <v>102</v>
      </c>
      <c r="AD40" s="28" t="s">
        <v>108</v>
      </c>
      <c r="AE40" s="28" t="s">
        <v>101</v>
      </c>
      <c r="AF40" s="28" t="s">
        <v>119</v>
      </c>
      <c r="AG40" s="30" t="s">
        <v>122</v>
      </c>
    </row>
    <row r="41" customFormat="false" ht="15" hidden="false" customHeight="false" outlineLevel="0" collapsed="false">
      <c r="A41" s="10" t="n">
        <v>2024</v>
      </c>
      <c r="B41" s="28" t="s">
        <v>52</v>
      </c>
      <c r="C41" s="29" t="n">
        <v>45337</v>
      </c>
      <c r="D41" s="30" t="s">
        <v>128</v>
      </c>
      <c r="E41" s="28" t="s">
        <v>1009</v>
      </c>
      <c r="F41" s="30" t="s">
        <v>1010</v>
      </c>
      <c r="G41" s="31" t="n">
        <v>20721</v>
      </c>
      <c r="H41" s="31" t="n">
        <v>4</v>
      </c>
      <c r="I41" s="31" t="n">
        <v>82883</v>
      </c>
      <c r="J41" s="29" t="n">
        <v>45342</v>
      </c>
      <c r="K41" s="31" t="n">
        <v>19720</v>
      </c>
      <c r="L41" s="30" t="s">
        <v>32</v>
      </c>
      <c r="M41" s="10" t="n">
        <v>3</v>
      </c>
      <c r="N41" s="12" t="n">
        <v>-4168</v>
      </c>
      <c r="O41" s="13" t="n">
        <v>-0.0502880024323503</v>
      </c>
      <c r="P41" s="15" t="n">
        <v>0.0158923202401464</v>
      </c>
      <c r="Q41" s="13" t="n">
        <v>-0.0521555738947042</v>
      </c>
      <c r="R41" s="15" t="n">
        <v>0.0496957403651115</v>
      </c>
      <c r="S41" s="32" t="n">
        <v>82685570400</v>
      </c>
      <c r="T41" s="15" t="n">
        <v>0.0349999999999999</v>
      </c>
      <c r="U41" s="32" t="n">
        <v>22640621110</v>
      </c>
      <c r="V41" s="14" t="n">
        <v>3.40075740067933</v>
      </c>
      <c r="W41" s="13" t="n">
        <v>0.0381143430290873</v>
      </c>
      <c r="X41" s="15" t="n">
        <v>0.0748792270531402</v>
      </c>
      <c r="Y41" s="13" t="n">
        <v>-0.00252631257584657</v>
      </c>
      <c r="Z41" s="13" t="n">
        <v>0.0145951401288722</v>
      </c>
      <c r="AA41" s="30" t="s">
        <v>97</v>
      </c>
      <c r="AB41" s="28" t="s">
        <v>93</v>
      </c>
      <c r="AC41" s="28" t="s">
        <v>100</v>
      </c>
      <c r="AD41" s="28" t="s">
        <v>108</v>
      </c>
      <c r="AE41" s="28" t="s">
        <v>113</v>
      </c>
      <c r="AF41" s="28" t="s">
        <v>118</v>
      </c>
      <c r="AG41" s="30" t="s">
        <v>122</v>
      </c>
    </row>
    <row r="42" customFormat="false" ht="15" hidden="false" customHeight="false" outlineLevel="0" collapsed="false">
      <c r="A42" s="10" t="n">
        <v>2024</v>
      </c>
      <c r="B42" s="28" t="s">
        <v>52</v>
      </c>
      <c r="C42" s="29" t="n">
        <v>45337</v>
      </c>
      <c r="D42" s="30" t="s">
        <v>128</v>
      </c>
      <c r="E42" s="28" t="s">
        <v>1193</v>
      </c>
      <c r="F42" s="30" t="s">
        <v>1194</v>
      </c>
      <c r="G42" s="31" t="n">
        <v>16747</v>
      </c>
      <c r="H42" s="31" t="n">
        <v>5</v>
      </c>
      <c r="I42" s="31" t="n">
        <v>83734</v>
      </c>
      <c r="J42" s="29" t="n">
        <v>45342</v>
      </c>
      <c r="K42" s="31" t="n">
        <v>20100</v>
      </c>
      <c r="L42" s="30" t="s">
        <v>31</v>
      </c>
      <c r="M42" s="10" t="n">
        <v>3</v>
      </c>
      <c r="N42" s="12" t="n">
        <v>16558</v>
      </c>
      <c r="O42" s="13" t="n">
        <v>0.197743857487402</v>
      </c>
      <c r="P42" s="15" t="n">
        <v>0.227105231887061</v>
      </c>
      <c r="Q42" s="13" t="n">
        <v>-0.00935884199482528</v>
      </c>
      <c r="R42" s="15" t="n">
        <v>0.0404228855721394</v>
      </c>
      <c r="S42" s="32" t="n">
        <v>70623804510</v>
      </c>
      <c r="T42" s="15" t="n">
        <v>0.0404228855721394</v>
      </c>
      <c r="U42" s="32" t="n">
        <v>8037617638.5</v>
      </c>
      <c r="V42" s="14" t="n">
        <v>8.02784060805936</v>
      </c>
      <c r="W42" s="13" t="n">
        <v>0.047589229805886</v>
      </c>
      <c r="X42" s="15" t="n">
        <v>0.0711297071129706</v>
      </c>
      <c r="Y42" s="13" t="n">
        <v>-0.00252631257584657</v>
      </c>
      <c r="Z42" s="13" t="n">
        <v>0.0145951401288722</v>
      </c>
      <c r="AA42" s="30" t="s">
        <v>97</v>
      </c>
      <c r="AB42" s="28" t="s">
        <v>93</v>
      </c>
      <c r="AC42" s="28" t="s">
        <v>100</v>
      </c>
      <c r="AD42" s="28" t="s">
        <v>108</v>
      </c>
      <c r="AE42" s="28" t="s">
        <v>113</v>
      </c>
      <c r="AF42" s="28" t="s">
        <v>119</v>
      </c>
      <c r="AG42" s="30" t="s">
        <v>122</v>
      </c>
    </row>
    <row r="43" customFormat="false" ht="15" hidden="false" customHeight="false" outlineLevel="0" collapsed="false">
      <c r="A43" s="10" t="n">
        <v>2024</v>
      </c>
      <c r="B43" s="28" t="s">
        <v>52</v>
      </c>
      <c r="C43" s="29" t="n">
        <v>45337</v>
      </c>
      <c r="D43" s="30" t="s">
        <v>128</v>
      </c>
      <c r="E43" s="28" t="s">
        <v>1195</v>
      </c>
      <c r="F43" s="30" t="s">
        <v>1196</v>
      </c>
      <c r="G43" s="31" t="n">
        <v>2938</v>
      </c>
      <c r="H43" s="31" t="n">
        <v>33</v>
      </c>
      <c r="I43" s="31" t="n">
        <v>96952</v>
      </c>
      <c r="J43" s="29" t="n">
        <v>45344</v>
      </c>
      <c r="K43" s="31" t="n">
        <v>2792</v>
      </c>
      <c r="L43" s="30" t="s">
        <v>32</v>
      </c>
      <c r="M43" s="10" t="n">
        <v>5</v>
      </c>
      <c r="N43" s="12" t="n">
        <v>-5003</v>
      </c>
      <c r="O43" s="13" t="n">
        <v>-0.0516061417287992</v>
      </c>
      <c r="P43" s="15" t="n">
        <v>0.0449516412037709</v>
      </c>
      <c r="Q43" s="13" t="n">
        <v>-0.0809871559445664</v>
      </c>
      <c r="R43" s="15" t="n">
        <v>0.0992509363295879</v>
      </c>
      <c r="S43" s="32" t="n">
        <v>65786472385</v>
      </c>
      <c r="T43" s="15" t="n">
        <v>0.0731261425959782</v>
      </c>
      <c r="U43" s="32" t="n">
        <v>5248244846</v>
      </c>
      <c r="V43" s="14" t="n">
        <v>11.1766558900684</v>
      </c>
      <c r="W43" s="13" t="n">
        <v>0.0790441176470589</v>
      </c>
      <c r="X43" s="15" t="n">
        <v>0.0851788756388416</v>
      </c>
      <c r="Y43" s="13" t="n">
        <v>-0.00252631257584657</v>
      </c>
      <c r="Z43" s="13" t="n">
        <v>0.0145951401288722</v>
      </c>
      <c r="AA43" s="30" t="s">
        <v>97</v>
      </c>
      <c r="AB43" s="28" t="s">
        <v>93</v>
      </c>
      <c r="AC43" s="28" t="s">
        <v>101</v>
      </c>
      <c r="AD43" s="28" t="s">
        <v>108</v>
      </c>
      <c r="AE43" s="28" t="s">
        <v>101</v>
      </c>
      <c r="AF43" s="28" t="s">
        <v>120</v>
      </c>
      <c r="AG43" s="30" t="s">
        <v>122</v>
      </c>
    </row>
    <row r="44" customFormat="false" ht="15" hidden="false" customHeight="false" outlineLevel="0" collapsed="false">
      <c r="A44" s="10" t="n">
        <v>2024</v>
      </c>
      <c r="B44" s="28" t="s">
        <v>52</v>
      </c>
      <c r="C44" s="29" t="n">
        <v>45337</v>
      </c>
      <c r="D44" s="30" t="s">
        <v>128</v>
      </c>
      <c r="E44" s="28" t="s">
        <v>503</v>
      </c>
      <c r="F44" s="28" t="s">
        <v>504</v>
      </c>
      <c r="G44" s="31" t="n">
        <v>11011</v>
      </c>
      <c r="H44" s="31" t="n">
        <v>9</v>
      </c>
      <c r="I44" s="31" t="n">
        <v>99099</v>
      </c>
      <c r="J44" s="29" t="n">
        <v>45356</v>
      </c>
      <c r="K44" s="31" t="n">
        <v>13220</v>
      </c>
      <c r="L44" s="30" t="s">
        <v>31</v>
      </c>
      <c r="M44" s="10" t="n">
        <v>12</v>
      </c>
      <c r="N44" s="12" t="n">
        <v>19634</v>
      </c>
      <c r="O44" s="13" t="n">
        <v>0.198126360003633</v>
      </c>
      <c r="P44" s="15" t="n">
        <v>0.253292162383072</v>
      </c>
      <c r="Q44" s="13" t="n">
        <v>-0.0173462900735626</v>
      </c>
      <c r="R44" s="15" t="n">
        <v>0.0967098703888336</v>
      </c>
      <c r="S44" s="32" t="n">
        <v>44214830000</v>
      </c>
      <c r="T44" s="15" t="n">
        <v>0.065891472868217</v>
      </c>
      <c r="U44" s="32" t="n">
        <v>3055144863.5</v>
      </c>
      <c r="V44" s="14" t="n">
        <v>13.0951773976873</v>
      </c>
      <c r="W44" s="13" t="n">
        <v>0.0848126232741617</v>
      </c>
      <c r="X44" s="15" t="n">
        <v>0.0536363636363637</v>
      </c>
      <c r="Y44" s="13" t="n">
        <v>-0.00252631257584657</v>
      </c>
      <c r="Z44" s="13" t="n">
        <v>0.0145951401288722</v>
      </c>
      <c r="AA44" s="30" t="s">
        <v>97</v>
      </c>
      <c r="AB44" s="28" t="s">
        <v>93</v>
      </c>
      <c r="AC44" s="28" t="s">
        <v>101</v>
      </c>
      <c r="AD44" s="28" t="s">
        <v>107</v>
      </c>
      <c r="AE44" s="28" t="s">
        <v>101</v>
      </c>
      <c r="AF44" s="28" t="s">
        <v>120</v>
      </c>
      <c r="AG44" s="30" t="s">
        <v>122</v>
      </c>
    </row>
    <row r="45" customFormat="false" ht="15" hidden="false" customHeight="false" outlineLevel="0" collapsed="false">
      <c r="A45" s="10" t="n">
        <v>2024</v>
      </c>
      <c r="B45" s="28" t="s">
        <v>52</v>
      </c>
      <c r="C45" s="29" t="n">
        <v>45337</v>
      </c>
      <c r="D45" s="30" t="s">
        <v>128</v>
      </c>
      <c r="E45" s="28" t="s">
        <v>833</v>
      </c>
      <c r="F45" s="30" t="s">
        <v>834</v>
      </c>
      <c r="G45" s="31" t="n">
        <v>4444</v>
      </c>
      <c r="H45" s="31" t="n">
        <v>22</v>
      </c>
      <c r="I45" s="31" t="n">
        <v>97778</v>
      </c>
      <c r="J45" s="29" t="n">
        <v>45345</v>
      </c>
      <c r="K45" s="31" t="n">
        <v>4231</v>
      </c>
      <c r="L45" s="30" t="s">
        <v>32</v>
      </c>
      <c r="M45" s="10" t="n">
        <v>6</v>
      </c>
      <c r="N45" s="12" t="n">
        <v>-4897</v>
      </c>
      <c r="O45" s="13" t="n">
        <v>-0.0500831730769231</v>
      </c>
      <c r="P45" s="15" t="n">
        <v>0.0215010215010216</v>
      </c>
      <c r="Q45" s="13" t="n">
        <v>-0.0493740493740493</v>
      </c>
      <c r="R45" s="15" t="n">
        <v>0.0325581395348837</v>
      </c>
      <c r="S45" s="32" t="n">
        <v>36034498320</v>
      </c>
      <c r="T45" s="15" t="n">
        <v>0.00225733634311509</v>
      </c>
      <c r="U45" s="32" t="n">
        <v>4710049932.75</v>
      </c>
      <c r="V45" s="14" t="n">
        <v>7.2604142461381</v>
      </c>
      <c r="W45" s="13" t="n">
        <v>-0.0089285714285714</v>
      </c>
      <c r="X45" s="15" t="n">
        <v>0.0360360360360361</v>
      </c>
      <c r="Y45" s="13" t="n">
        <v>-0.00252631257584657</v>
      </c>
      <c r="Z45" s="13" t="n">
        <v>0.0145951401288722</v>
      </c>
      <c r="AA45" s="30" t="s">
        <v>97</v>
      </c>
      <c r="AB45" s="28" t="s">
        <v>93</v>
      </c>
      <c r="AC45" s="28" t="s">
        <v>100</v>
      </c>
      <c r="AD45" s="28" t="s">
        <v>107</v>
      </c>
      <c r="AE45" s="28" t="s">
        <v>112</v>
      </c>
      <c r="AF45" s="28" t="s">
        <v>119</v>
      </c>
      <c r="AG45" s="30" t="s">
        <v>123</v>
      </c>
    </row>
    <row r="46" customFormat="false" ht="15" hidden="false" customHeight="false" outlineLevel="0" collapsed="false">
      <c r="A46" s="10" t="n">
        <v>2024</v>
      </c>
      <c r="B46" s="28" t="s">
        <v>52</v>
      </c>
      <c r="C46" s="29" t="n">
        <v>45337</v>
      </c>
      <c r="D46" s="30" t="s">
        <v>128</v>
      </c>
      <c r="E46" s="28" t="s">
        <v>1197</v>
      </c>
      <c r="F46" s="30" t="s">
        <v>1198</v>
      </c>
      <c r="G46" s="31" t="n">
        <v>5837</v>
      </c>
      <c r="H46" s="31" t="n">
        <v>17</v>
      </c>
      <c r="I46" s="31" t="n">
        <v>99230</v>
      </c>
      <c r="J46" s="29" t="n">
        <v>45349</v>
      </c>
      <c r="K46" s="31" t="n">
        <v>5554</v>
      </c>
      <c r="L46" s="30" t="s">
        <v>32</v>
      </c>
      <c r="M46" s="10" t="n">
        <v>8</v>
      </c>
      <c r="N46" s="12" t="n">
        <v>-5003</v>
      </c>
      <c r="O46" s="13" t="n">
        <v>-0.0504213685343205</v>
      </c>
      <c r="P46" s="15" t="n">
        <v>0.121215554205245</v>
      </c>
      <c r="Q46" s="13" t="n">
        <v>-0.0813310400939266</v>
      </c>
      <c r="R46" s="15" t="n">
        <v>0.0842026825633382</v>
      </c>
      <c r="S46" s="32" t="n">
        <v>22389895020</v>
      </c>
      <c r="T46" s="15" t="n">
        <v>0.0224877020379479</v>
      </c>
      <c r="U46" s="32" t="n">
        <v>6943777688.95</v>
      </c>
      <c r="V46" s="14" t="n">
        <v>3.09358655576907</v>
      </c>
      <c r="W46" s="13" t="n">
        <v>0.07380073800738</v>
      </c>
      <c r="X46" s="15" t="n">
        <v>0.050171821305842</v>
      </c>
      <c r="Y46" s="13" t="n">
        <v>-0.00252631257584657</v>
      </c>
      <c r="Z46" s="13" t="n">
        <v>0.0145951401288722</v>
      </c>
      <c r="AA46" s="30" t="s">
        <v>97</v>
      </c>
      <c r="AB46" s="28" t="s">
        <v>93</v>
      </c>
      <c r="AC46" s="28" t="s">
        <v>101</v>
      </c>
      <c r="AD46" s="28" t="s">
        <v>106</v>
      </c>
      <c r="AE46" s="28" t="s">
        <v>113</v>
      </c>
      <c r="AF46" s="28" t="s">
        <v>118</v>
      </c>
      <c r="AG46" s="30" t="s">
        <v>122</v>
      </c>
    </row>
    <row r="47" customFormat="false" ht="15" hidden="false" customHeight="false" outlineLevel="0" collapsed="false">
      <c r="A47" s="10" t="n">
        <v>2024</v>
      </c>
      <c r="B47" s="28" t="s">
        <v>52</v>
      </c>
      <c r="C47" s="29" t="n">
        <v>45338</v>
      </c>
      <c r="D47" s="30" t="s">
        <v>129</v>
      </c>
      <c r="E47" s="28" t="s">
        <v>1199</v>
      </c>
      <c r="F47" s="30" t="s">
        <v>1200</v>
      </c>
      <c r="G47" s="31" t="n">
        <v>31632</v>
      </c>
      <c r="H47" s="31" t="n">
        <v>3</v>
      </c>
      <c r="I47" s="31" t="n">
        <v>94895</v>
      </c>
      <c r="J47" s="29" t="n">
        <v>45342</v>
      </c>
      <c r="K47" s="31" t="n">
        <v>30070</v>
      </c>
      <c r="L47" s="30" t="s">
        <v>32</v>
      </c>
      <c r="M47" s="10" t="n">
        <v>2</v>
      </c>
      <c r="N47" s="12" t="n">
        <v>-4875</v>
      </c>
      <c r="O47" s="13" t="n">
        <v>-0.0513752401079933</v>
      </c>
      <c r="P47" s="15" t="n">
        <v>0.00690448791714626</v>
      </c>
      <c r="Q47" s="13" t="n">
        <v>-0.0563234234120309</v>
      </c>
      <c r="R47" s="15" t="n">
        <v>0.0128205128205128</v>
      </c>
      <c r="S47" s="32" t="n">
        <v>333685287600</v>
      </c>
      <c r="T47" s="15" t="n">
        <v>0.00797448165869219</v>
      </c>
      <c r="U47" s="32" t="n">
        <v>13652772160</v>
      </c>
      <c r="V47" s="14" t="n">
        <v>22.5337833548311</v>
      </c>
      <c r="W47" s="13" t="n">
        <v>-0.0787172011661808</v>
      </c>
      <c r="X47" s="15" t="n">
        <v>0.21993670886076</v>
      </c>
      <c r="Y47" s="13" t="n">
        <v>0.0133751625985157</v>
      </c>
      <c r="Z47" s="13" t="n">
        <v>0.0150139102844138</v>
      </c>
      <c r="AA47" s="30" t="s">
        <v>97</v>
      </c>
      <c r="AB47" s="28" t="s">
        <v>93</v>
      </c>
      <c r="AC47" s="28" t="s">
        <v>99</v>
      </c>
      <c r="AD47" s="28" t="s">
        <v>110</v>
      </c>
      <c r="AE47" s="28" t="s">
        <v>112</v>
      </c>
      <c r="AF47" s="28" t="s">
        <v>120</v>
      </c>
      <c r="AG47" s="30" t="s">
        <v>123</v>
      </c>
    </row>
    <row r="48" customFormat="false" ht="15" hidden="false" customHeight="false" outlineLevel="0" collapsed="false">
      <c r="A48" s="10" t="n">
        <v>2024</v>
      </c>
      <c r="B48" s="28" t="s">
        <v>52</v>
      </c>
      <c r="C48" s="29" t="n">
        <v>45338</v>
      </c>
      <c r="D48" s="30" t="s">
        <v>129</v>
      </c>
      <c r="E48" s="28" t="s">
        <v>455</v>
      </c>
      <c r="F48" s="30" t="s">
        <v>456</v>
      </c>
      <c r="G48" s="31" t="n">
        <v>61061</v>
      </c>
      <c r="H48" s="31" t="n">
        <v>1</v>
      </c>
      <c r="I48" s="31" t="n">
        <v>61061</v>
      </c>
      <c r="J48" s="29" t="n">
        <v>45342</v>
      </c>
      <c r="K48" s="31" t="n">
        <v>58042</v>
      </c>
      <c r="L48" s="30" t="s">
        <v>32</v>
      </c>
      <c r="M48" s="10" t="n">
        <v>2</v>
      </c>
      <c r="N48" s="12" t="n">
        <v>-3141</v>
      </c>
      <c r="O48" s="13" t="n">
        <v>-0.0514475828270091</v>
      </c>
      <c r="P48" s="15" t="n">
        <v>-0.000999000999000854</v>
      </c>
      <c r="Q48" s="13" t="n">
        <v>-0.0566810238941385</v>
      </c>
      <c r="R48" s="15" t="n">
        <v>0.0445205479452056</v>
      </c>
      <c r="S48" s="32" t="n">
        <v>198516875000</v>
      </c>
      <c r="T48" s="15" t="n">
        <v>0.00494233937397026</v>
      </c>
      <c r="U48" s="32" t="n">
        <v>86574160190</v>
      </c>
      <c r="V48" s="14" t="n">
        <v>2.13900054523769</v>
      </c>
      <c r="W48" s="13" t="n">
        <v>0.0304054054054055</v>
      </c>
      <c r="X48" s="15" t="n">
        <v>0.0295081967213116</v>
      </c>
      <c r="Y48" s="13" t="n">
        <v>0.0133751625985157</v>
      </c>
      <c r="Z48" s="13" t="n">
        <v>0.0150139102844138</v>
      </c>
      <c r="AA48" s="30" t="s">
        <v>97</v>
      </c>
      <c r="AB48" s="28" t="s">
        <v>93</v>
      </c>
      <c r="AC48" s="28" t="s">
        <v>100</v>
      </c>
      <c r="AD48" s="28" t="s">
        <v>109</v>
      </c>
      <c r="AE48" s="28" t="s">
        <v>112</v>
      </c>
      <c r="AF48" s="28" t="s">
        <v>117</v>
      </c>
      <c r="AG48" s="30" t="s">
        <v>122</v>
      </c>
    </row>
    <row r="49" customFormat="false" ht="15" hidden="false" customHeight="false" outlineLevel="0" collapsed="false">
      <c r="A49" s="10" t="n">
        <v>2024</v>
      </c>
      <c r="B49" s="28" t="s">
        <v>52</v>
      </c>
      <c r="C49" s="29" t="n">
        <v>45338</v>
      </c>
      <c r="D49" s="30" t="s">
        <v>129</v>
      </c>
      <c r="E49" s="28" t="s">
        <v>1201</v>
      </c>
      <c r="F49" s="30" t="s">
        <v>1202</v>
      </c>
      <c r="G49" s="31" t="n">
        <v>29730</v>
      </c>
      <c r="H49" s="31" t="n">
        <v>3</v>
      </c>
      <c r="I49" s="31" t="n">
        <v>89189</v>
      </c>
      <c r="J49" s="29" t="n">
        <v>45342</v>
      </c>
      <c r="K49" s="31" t="n">
        <v>28272</v>
      </c>
      <c r="L49" s="30" t="s">
        <v>32</v>
      </c>
      <c r="M49" s="10" t="n">
        <v>2</v>
      </c>
      <c r="N49" s="12" t="n">
        <v>-4553</v>
      </c>
      <c r="O49" s="13" t="n">
        <v>-0.0510462355825991</v>
      </c>
      <c r="P49" s="15" t="n">
        <v>0.0309555764101219</v>
      </c>
      <c r="Q49" s="13" t="n">
        <v>-0.0548172366354184</v>
      </c>
      <c r="R49" s="15" t="n">
        <v>0.122873345935728</v>
      </c>
      <c r="S49" s="32" t="n">
        <v>130091553900</v>
      </c>
      <c r="T49" s="15" t="n">
        <v>0.0153846153846153</v>
      </c>
      <c r="U49" s="32" t="n">
        <v>6804924770</v>
      </c>
      <c r="V49" s="14" t="n">
        <v>17.664458972416</v>
      </c>
      <c r="W49" s="13" t="n">
        <v>0.083941605839416</v>
      </c>
      <c r="X49" s="15" t="n">
        <v>0.095959595959596</v>
      </c>
      <c r="Y49" s="13" t="n">
        <v>0.0133751625985157</v>
      </c>
      <c r="Z49" s="13" t="n">
        <v>0.0150139102844138</v>
      </c>
      <c r="AA49" s="30" t="s">
        <v>97</v>
      </c>
      <c r="AB49" s="28" t="s">
        <v>93</v>
      </c>
      <c r="AC49" s="28" t="s">
        <v>102</v>
      </c>
      <c r="AD49" s="28" t="s">
        <v>109</v>
      </c>
      <c r="AE49" s="28" t="s">
        <v>112</v>
      </c>
      <c r="AF49" s="28" t="s">
        <v>120</v>
      </c>
      <c r="AG49" s="30" t="s">
        <v>122</v>
      </c>
    </row>
    <row r="50" customFormat="false" ht="15" hidden="false" customHeight="false" outlineLevel="0" collapsed="false">
      <c r="A50" s="10" t="n">
        <v>2024</v>
      </c>
      <c r="B50" s="28" t="s">
        <v>52</v>
      </c>
      <c r="C50" s="29" t="n">
        <v>45338</v>
      </c>
      <c r="D50" s="30" t="s">
        <v>129</v>
      </c>
      <c r="E50" s="28" t="s">
        <v>1203</v>
      </c>
      <c r="F50" s="30" t="s">
        <v>1204</v>
      </c>
      <c r="G50" s="31" t="n">
        <v>69859</v>
      </c>
      <c r="H50" s="31" t="n">
        <v>1</v>
      </c>
      <c r="I50" s="31" t="n">
        <v>69859</v>
      </c>
      <c r="J50" s="29" t="n">
        <v>45342</v>
      </c>
      <c r="K50" s="31" t="n">
        <v>66434</v>
      </c>
      <c r="L50" s="30" t="s">
        <v>32</v>
      </c>
      <c r="M50" s="10" t="n">
        <v>2</v>
      </c>
      <c r="N50" s="12" t="n">
        <v>-3566</v>
      </c>
      <c r="O50" s="13" t="n">
        <v>-0.0510405853168423</v>
      </c>
      <c r="P50" s="15" t="n">
        <v>0.0111167773791809</v>
      </c>
      <c r="Q50" s="13" t="n">
        <v>-0.048360680113712</v>
      </c>
      <c r="R50" s="15" t="n">
        <v>0.0365714285714287</v>
      </c>
      <c r="S50" s="32" t="n">
        <v>116201665500</v>
      </c>
      <c r="T50" s="15" t="n">
        <v>0.0330296127562644</v>
      </c>
      <c r="U50" s="32" t="n">
        <v>81889658190</v>
      </c>
      <c r="V50" s="14" t="n">
        <v>1.23559841626521</v>
      </c>
      <c r="W50" s="13" t="n">
        <v>0.0295119182746879</v>
      </c>
      <c r="X50" s="15" t="n">
        <v>0.0308710033076074</v>
      </c>
      <c r="Y50" s="13" t="n">
        <v>0.0133751625985157</v>
      </c>
      <c r="Z50" s="13" t="n">
        <v>0.0150139102844138</v>
      </c>
      <c r="AA50" s="30" t="s">
        <v>97</v>
      </c>
      <c r="AB50" s="28" t="s">
        <v>93</v>
      </c>
      <c r="AC50" s="28" t="s">
        <v>100</v>
      </c>
      <c r="AD50" s="28" t="s">
        <v>109</v>
      </c>
      <c r="AE50" s="28" t="s">
        <v>113</v>
      </c>
      <c r="AF50" s="28" t="s">
        <v>116</v>
      </c>
      <c r="AG50" s="30" t="s">
        <v>122</v>
      </c>
    </row>
    <row r="51" customFormat="false" ht="15" hidden="false" customHeight="false" outlineLevel="0" collapsed="false">
      <c r="A51" s="10" t="n">
        <v>2024</v>
      </c>
      <c r="B51" s="28" t="s">
        <v>52</v>
      </c>
      <c r="C51" s="29" t="n">
        <v>45338</v>
      </c>
      <c r="D51" s="30" t="s">
        <v>129</v>
      </c>
      <c r="E51" s="28" t="s">
        <v>475</v>
      </c>
      <c r="F51" s="30" t="s">
        <v>476</v>
      </c>
      <c r="G51" s="31" t="n">
        <v>6761</v>
      </c>
      <c r="H51" s="31" t="n">
        <v>14</v>
      </c>
      <c r="I51" s="31" t="n">
        <v>94649</v>
      </c>
      <c r="J51" s="29" t="n">
        <v>45341</v>
      </c>
      <c r="K51" s="31" t="n">
        <v>6434</v>
      </c>
      <c r="L51" s="30" t="s">
        <v>32</v>
      </c>
      <c r="M51" s="10" t="n">
        <v>1</v>
      </c>
      <c r="N51" s="12" t="n">
        <v>-4769</v>
      </c>
      <c r="O51" s="13" t="n">
        <v>-0.0503878905438871</v>
      </c>
      <c r="P51" s="15" t="n">
        <v>0.11000111000111</v>
      </c>
      <c r="Q51" s="13" t="n">
        <v>-0.0478657145323812</v>
      </c>
      <c r="R51" s="15" t="n">
        <v>0.0881246641590543</v>
      </c>
      <c r="S51" s="32" t="n">
        <v>92567893500</v>
      </c>
      <c r="T51" s="15" t="n">
        <v>0.016566265060241</v>
      </c>
      <c r="U51" s="32" t="n">
        <v>5228347174</v>
      </c>
      <c r="V51" s="14" t="n">
        <v>16.1311038993921</v>
      </c>
      <c r="W51" s="13" t="n">
        <v>0.0771276595744683</v>
      </c>
      <c r="X51" s="15" t="n">
        <v>0.0864197530864197</v>
      </c>
      <c r="Y51" s="13" t="n">
        <v>0.0133751625985157</v>
      </c>
      <c r="Z51" s="13" t="n">
        <v>0.0150139102844138</v>
      </c>
      <c r="AA51" s="30" t="s">
        <v>97</v>
      </c>
      <c r="AB51" s="28" t="s">
        <v>93</v>
      </c>
      <c r="AC51" s="28" t="s">
        <v>101</v>
      </c>
      <c r="AD51" s="28" t="s">
        <v>108</v>
      </c>
      <c r="AE51" s="28" t="s">
        <v>112</v>
      </c>
      <c r="AF51" s="28" t="s">
        <v>120</v>
      </c>
      <c r="AG51" s="30" t="s">
        <v>122</v>
      </c>
    </row>
    <row r="52" customFormat="false" ht="15" hidden="false" customHeight="false" outlineLevel="0" collapsed="false">
      <c r="A52" s="10" t="n">
        <v>2024</v>
      </c>
      <c r="B52" s="28" t="s">
        <v>52</v>
      </c>
      <c r="C52" s="29" t="n">
        <v>45338</v>
      </c>
      <c r="D52" s="30" t="s">
        <v>129</v>
      </c>
      <c r="E52" s="28" t="s">
        <v>1205</v>
      </c>
      <c r="F52" s="28" t="s">
        <v>1206</v>
      </c>
      <c r="G52" s="31" t="n">
        <v>10961</v>
      </c>
      <c r="H52" s="31" t="n">
        <v>9</v>
      </c>
      <c r="I52" s="31" t="n">
        <v>98649</v>
      </c>
      <c r="J52" s="29" t="n">
        <v>45341</v>
      </c>
      <c r="K52" s="31" t="n">
        <v>10430</v>
      </c>
      <c r="L52" s="30" t="s">
        <v>32</v>
      </c>
      <c r="M52" s="10" t="n">
        <v>1</v>
      </c>
      <c r="N52" s="12" t="n">
        <v>-4980</v>
      </c>
      <c r="O52" s="13" t="n">
        <v>-0.0504857502771202</v>
      </c>
      <c r="P52" s="15" t="n">
        <v>0.000825658359905113</v>
      </c>
      <c r="Q52" s="13" t="n">
        <v>-0.0575634411250848</v>
      </c>
      <c r="R52" s="15" t="n">
        <v>0.0518731988472623</v>
      </c>
      <c r="S52" s="32" t="n">
        <v>62380595100</v>
      </c>
      <c r="T52" s="15" t="n">
        <v>0.0518731988472623</v>
      </c>
      <c r="U52" s="32" t="n">
        <v>7513940627.5</v>
      </c>
      <c r="V52" s="14" t="n">
        <v>7.50804512293396</v>
      </c>
      <c r="W52" s="13" t="n">
        <v>0.0458452722063036</v>
      </c>
      <c r="X52" s="15" t="n">
        <v>0.08675799086758</v>
      </c>
      <c r="Y52" s="13" t="n">
        <v>0.0133751625985157</v>
      </c>
      <c r="Z52" s="13" t="n">
        <v>0.0150139102844138</v>
      </c>
      <c r="AA52" s="30" t="s">
        <v>97</v>
      </c>
      <c r="AB52" s="28" t="s">
        <v>93</v>
      </c>
      <c r="AC52" s="28" t="s">
        <v>101</v>
      </c>
      <c r="AD52" s="28" t="s">
        <v>108</v>
      </c>
      <c r="AE52" s="28" t="s">
        <v>101</v>
      </c>
      <c r="AF52" s="28" t="s">
        <v>119</v>
      </c>
      <c r="AG52" s="30" t="s">
        <v>122</v>
      </c>
    </row>
    <row r="53" customFormat="false" ht="15" hidden="false" customHeight="false" outlineLevel="0" collapsed="false">
      <c r="A53" s="10" t="n">
        <v>2024</v>
      </c>
      <c r="B53" s="28" t="s">
        <v>52</v>
      </c>
      <c r="C53" s="29" t="n">
        <v>45338</v>
      </c>
      <c r="D53" s="30" t="s">
        <v>129</v>
      </c>
      <c r="E53" s="28" t="s">
        <v>1207</v>
      </c>
      <c r="F53" s="30" t="s">
        <v>1208</v>
      </c>
      <c r="G53" s="31" t="n">
        <v>95195</v>
      </c>
      <c r="H53" s="31" t="n">
        <v>1</v>
      </c>
      <c r="I53" s="31" t="n">
        <v>95195</v>
      </c>
      <c r="J53" s="29" t="n">
        <v>45342</v>
      </c>
      <c r="K53" s="31" t="n">
        <v>89710</v>
      </c>
      <c r="L53" s="30" t="s">
        <v>32</v>
      </c>
      <c r="M53" s="10" t="n">
        <v>2</v>
      </c>
      <c r="N53" s="12" t="n">
        <v>-5674</v>
      </c>
      <c r="O53" s="13" t="n">
        <v>-0.0596051073532146</v>
      </c>
      <c r="P53" s="15" t="n">
        <v>0.00845526713034617</v>
      </c>
      <c r="Q53" s="13" t="n">
        <v>-0.0839864656899356</v>
      </c>
      <c r="R53" s="15" t="n">
        <v>0.00316455696202533</v>
      </c>
      <c r="S53" s="32" t="n">
        <v>59680765800</v>
      </c>
      <c r="T53" s="15" t="n">
        <v>0.00316455696202533</v>
      </c>
      <c r="U53" s="32" t="n">
        <v>47744856380</v>
      </c>
      <c r="V53" s="14" t="n">
        <v>1.10266631700879</v>
      </c>
      <c r="W53" s="13" t="n">
        <v>-0.0374493927125507</v>
      </c>
      <c r="X53" s="15" t="n">
        <v>0.0420609884332281</v>
      </c>
      <c r="Y53" s="13" t="n">
        <v>0.0133751625985157</v>
      </c>
      <c r="Z53" s="13" t="n">
        <v>0.0150139102844138</v>
      </c>
      <c r="AA53" s="30" t="s">
        <v>97</v>
      </c>
      <c r="AB53" s="28" t="s">
        <v>93</v>
      </c>
      <c r="AC53" s="28" t="s">
        <v>99</v>
      </c>
      <c r="AD53" s="28" t="s">
        <v>108</v>
      </c>
      <c r="AE53" s="28" t="s">
        <v>112</v>
      </c>
      <c r="AF53" s="28" t="s">
        <v>116</v>
      </c>
      <c r="AG53" s="30" t="s">
        <v>123</v>
      </c>
    </row>
    <row r="54" customFormat="false" ht="15" hidden="false" customHeight="false" outlineLevel="0" collapsed="false">
      <c r="A54" s="10" t="n">
        <v>2024</v>
      </c>
      <c r="B54" s="28" t="s">
        <v>52</v>
      </c>
      <c r="C54" s="29" t="n">
        <v>45338</v>
      </c>
      <c r="D54" s="30" t="s">
        <v>129</v>
      </c>
      <c r="E54" s="28" t="s">
        <v>451</v>
      </c>
      <c r="F54" s="30" t="s">
        <v>452</v>
      </c>
      <c r="G54" s="31" t="n">
        <v>6196</v>
      </c>
      <c r="H54" s="31" t="n">
        <v>16</v>
      </c>
      <c r="I54" s="31" t="n">
        <v>99139</v>
      </c>
      <c r="J54" s="29" t="n">
        <v>45341</v>
      </c>
      <c r="K54" s="31" t="n">
        <v>5894</v>
      </c>
      <c r="L54" s="30" t="s">
        <v>32</v>
      </c>
      <c r="M54" s="10" t="n">
        <v>1</v>
      </c>
      <c r="N54" s="12" t="n">
        <v>-5032</v>
      </c>
      <c r="O54" s="13" t="n">
        <v>-0.0507590831623949</v>
      </c>
      <c r="P54" s="15" t="n">
        <v>0.00545657896223339</v>
      </c>
      <c r="Q54" s="13" t="n">
        <v>-0.055871430669492</v>
      </c>
      <c r="R54" s="15" t="n">
        <v>0.0147540983606558</v>
      </c>
      <c r="S54" s="32" t="n">
        <v>56459373780</v>
      </c>
      <c r="T54" s="15" t="n">
        <v>0.0147540983606558</v>
      </c>
      <c r="U54" s="32" t="n">
        <v>18243504894</v>
      </c>
      <c r="V54" s="14" t="n">
        <v>2.69895052343335</v>
      </c>
      <c r="W54" s="13" t="n">
        <v>-0.0297805642633229</v>
      </c>
      <c r="X54" s="15" t="n">
        <v>0.0420032310177707</v>
      </c>
      <c r="Y54" s="13" t="n">
        <v>0.0133751625985157</v>
      </c>
      <c r="Z54" s="13" t="n">
        <v>0.0150139102844138</v>
      </c>
      <c r="AA54" s="30" t="s">
        <v>97</v>
      </c>
      <c r="AB54" s="28" t="s">
        <v>93</v>
      </c>
      <c r="AC54" s="28" t="s">
        <v>99</v>
      </c>
      <c r="AD54" s="28" t="s">
        <v>108</v>
      </c>
      <c r="AE54" s="28" t="s">
        <v>112</v>
      </c>
      <c r="AF54" s="28" t="s">
        <v>117</v>
      </c>
      <c r="AG54" s="30" t="s">
        <v>123</v>
      </c>
    </row>
    <row r="55" customFormat="false" ht="15" hidden="false" customHeight="false" outlineLevel="0" collapsed="false">
      <c r="A55" s="10" t="n">
        <v>2024</v>
      </c>
      <c r="B55" s="28" t="s">
        <v>52</v>
      </c>
      <c r="C55" s="29" t="n">
        <v>45338</v>
      </c>
      <c r="D55" s="30" t="s">
        <v>129</v>
      </c>
      <c r="E55" s="28" t="s">
        <v>519</v>
      </c>
      <c r="F55" s="30" t="s">
        <v>520</v>
      </c>
      <c r="G55" s="31" t="n">
        <v>97297</v>
      </c>
      <c r="H55" s="31" t="n">
        <v>1</v>
      </c>
      <c r="I55" s="31" t="n">
        <v>97297</v>
      </c>
      <c r="J55" s="29" t="n">
        <v>45351</v>
      </c>
      <c r="K55" s="31" t="n">
        <v>92607</v>
      </c>
      <c r="L55" s="30" t="s">
        <v>32</v>
      </c>
      <c r="M55" s="10" t="n">
        <v>9</v>
      </c>
      <c r="N55" s="12" t="n">
        <v>-4885</v>
      </c>
      <c r="O55" s="13" t="n">
        <v>-0.0502078046953046</v>
      </c>
      <c r="P55" s="15" t="n">
        <v>0.0216121327232439</v>
      </c>
      <c r="Q55" s="13" t="n">
        <v>-0.0493046048601602</v>
      </c>
      <c r="R55" s="15" t="n">
        <v>0.0362473347547974</v>
      </c>
      <c r="S55" s="32" t="n">
        <v>53473024800</v>
      </c>
      <c r="T55" s="15" t="n">
        <v>0.0167364016736402</v>
      </c>
      <c r="U55" s="32" t="n">
        <v>36708195555</v>
      </c>
      <c r="V55" s="14" t="n">
        <v>1.37981318368766</v>
      </c>
      <c r="W55" s="13" t="n">
        <v>0.0274841437632136</v>
      </c>
      <c r="X55" s="15" t="n">
        <v>0.0113168724279835</v>
      </c>
      <c r="Y55" s="13" t="n">
        <v>0.0133751625985157</v>
      </c>
      <c r="Z55" s="13" t="n">
        <v>0.0150139102844138</v>
      </c>
      <c r="AA55" s="30" t="s">
        <v>97</v>
      </c>
      <c r="AB55" s="28" t="s">
        <v>93</v>
      </c>
      <c r="AC55" s="28" t="s">
        <v>100</v>
      </c>
      <c r="AD55" s="28" t="s">
        <v>108</v>
      </c>
      <c r="AE55" s="28" t="s">
        <v>112</v>
      </c>
      <c r="AF55" s="28" t="s">
        <v>116</v>
      </c>
      <c r="AG55" s="30" t="s">
        <v>122</v>
      </c>
    </row>
    <row r="56" customFormat="false" ht="15" hidden="false" customHeight="false" outlineLevel="0" collapsed="false">
      <c r="A56" s="10" t="n">
        <v>2024</v>
      </c>
      <c r="B56" s="28" t="s">
        <v>52</v>
      </c>
      <c r="C56" s="29" t="n">
        <v>45338</v>
      </c>
      <c r="D56" s="30" t="s">
        <v>129</v>
      </c>
      <c r="E56" s="28" t="s">
        <v>619</v>
      </c>
      <c r="F56" s="30" t="s">
        <v>620</v>
      </c>
      <c r="G56" s="31" t="n">
        <v>30130</v>
      </c>
      <c r="H56" s="31" t="n">
        <v>3</v>
      </c>
      <c r="I56" s="31" t="n">
        <v>90390</v>
      </c>
      <c r="J56" s="29" t="n">
        <v>45350</v>
      </c>
      <c r="K56" s="31" t="n">
        <v>28671</v>
      </c>
      <c r="L56" s="30" t="s">
        <v>32</v>
      </c>
      <c r="M56" s="10" t="n">
        <v>8</v>
      </c>
      <c r="N56" s="12" t="n">
        <v>-4558</v>
      </c>
      <c r="O56" s="13" t="n">
        <v>-0.0504222870153103</v>
      </c>
      <c r="P56" s="15" t="n">
        <v>0.0172551700790906</v>
      </c>
      <c r="Q56" s="13" t="n">
        <v>-0.0557615142332749</v>
      </c>
      <c r="R56" s="15" t="n">
        <v>0.0100671140939597</v>
      </c>
      <c r="S56" s="32" t="n">
        <v>25457677000</v>
      </c>
      <c r="T56" s="15" t="n">
        <v>0.0100671140939597</v>
      </c>
      <c r="U56" s="32" t="n">
        <v>46116644525</v>
      </c>
      <c r="V56" s="14" t="n">
        <v>0.525802833604606</v>
      </c>
      <c r="W56" s="13" t="n">
        <v>-0.00495867768595038</v>
      </c>
      <c r="X56" s="15" t="n">
        <v>0.0132890365448506</v>
      </c>
      <c r="Y56" s="13" t="n">
        <v>0.0133751625985157</v>
      </c>
      <c r="Z56" s="13" t="n">
        <v>0.0150139102844138</v>
      </c>
      <c r="AA56" s="30" t="s">
        <v>97</v>
      </c>
      <c r="AB56" s="28" t="s">
        <v>93</v>
      </c>
      <c r="AC56" s="28" t="s">
        <v>99</v>
      </c>
      <c r="AD56" s="28" t="s">
        <v>106</v>
      </c>
      <c r="AE56" s="28" t="s">
        <v>112</v>
      </c>
      <c r="AF56" s="28" t="s">
        <v>116</v>
      </c>
      <c r="AG56" s="30" t="s">
        <v>123</v>
      </c>
    </row>
    <row r="57" customFormat="false" ht="15" hidden="false" customHeight="false" outlineLevel="0" collapsed="false">
      <c r="A57" s="10" t="n">
        <v>2024</v>
      </c>
      <c r="B57" s="28" t="s">
        <v>52</v>
      </c>
      <c r="C57" s="29" t="n">
        <v>45343</v>
      </c>
      <c r="D57" s="30" t="s">
        <v>127</v>
      </c>
      <c r="E57" s="28" t="s">
        <v>545</v>
      </c>
      <c r="F57" s="30" t="s">
        <v>546</v>
      </c>
      <c r="G57" s="31" t="n">
        <v>10410</v>
      </c>
      <c r="H57" s="31" t="n">
        <v>9</v>
      </c>
      <c r="I57" s="31" t="n">
        <v>93694</v>
      </c>
      <c r="J57" s="29" t="n">
        <v>45344</v>
      </c>
      <c r="K57" s="31" t="n">
        <v>9910</v>
      </c>
      <c r="L57" s="30" t="s">
        <v>32</v>
      </c>
      <c r="M57" s="10" t="n">
        <v>1</v>
      </c>
      <c r="N57" s="12" t="n">
        <v>-4691</v>
      </c>
      <c r="O57" s="13" t="n">
        <v>-0.050065916391301</v>
      </c>
      <c r="P57" s="15" t="n">
        <v>-0.0144470913701683</v>
      </c>
      <c r="Q57" s="13" t="n">
        <v>-0.0768846538077307</v>
      </c>
      <c r="R57" s="15" t="n">
        <v>0.279212792127921</v>
      </c>
      <c r="S57" s="32" t="n">
        <v>220742267200</v>
      </c>
      <c r="T57" s="15" t="n">
        <v>0.176470588235294</v>
      </c>
      <c r="U57" s="32" t="n">
        <v>7529067054</v>
      </c>
      <c r="V57" s="14" t="n">
        <v>23.4161578324396</v>
      </c>
      <c r="W57" s="13" t="n">
        <v>0.202312138728324</v>
      </c>
      <c r="X57" s="15" t="n">
        <v>0.0153846153846153</v>
      </c>
      <c r="Y57" s="13" t="n">
        <v>-0.0016856109775415</v>
      </c>
      <c r="Z57" s="13" t="n">
        <v>0.0125514230543196</v>
      </c>
      <c r="AA57" s="30" t="s">
        <v>97</v>
      </c>
      <c r="AB57" s="28" t="s">
        <v>93</v>
      </c>
      <c r="AC57" s="28" t="s">
        <v>104</v>
      </c>
      <c r="AD57" s="28" t="s">
        <v>110</v>
      </c>
      <c r="AE57" s="28" t="s">
        <v>114</v>
      </c>
      <c r="AF57" s="28" t="s">
        <v>120</v>
      </c>
      <c r="AG57" s="30" t="s">
        <v>122</v>
      </c>
    </row>
    <row r="58" customFormat="false" ht="15" hidden="false" customHeight="false" outlineLevel="0" collapsed="false">
      <c r="A58" s="10" t="n">
        <v>2024</v>
      </c>
      <c r="B58" s="28" t="s">
        <v>52</v>
      </c>
      <c r="C58" s="29" t="n">
        <v>45343</v>
      </c>
      <c r="D58" s="30" t="s">
        <v>127</v>
      </c>
      <c r="E58" s="28" t="s">
        <v>1209</v>
      </c>
      <c r="F58" s="30" t="s">
        <v>1210</v>
      </c>
      <c r="G58" s="31" t="n">
        <v>45796</v>
      </c>
      <c r="H58" s="31" t="n">
        <v>2</v>
      </c>
      <c r="I58" s="31" t="n">
        <v>91591</v>
      </c>
      <c r="J58" s="29" t="n">
        <v>45362</v>
      </c>
      <c r="K58" s="31" t="n">
        <v>43556</v>
      </c>
      <c r="L58" s="30" t="s">
        <v>32</v>
      </c>
      <c r="M58" s="10" t="n">
        <v>12</v>
      </c>
      <c r="N58" s="12" t="n">
        <v>-4662</v>
      </c>
      <c r="O58" s="13" t="n">
        <v>-0.0509032899886996</v>
      </c>
      <c r="P58" s="15" t="n">
        <v>0.0808863267879663</v>
      </c>
      <c r="Q58" s="13" t="n">
        <v>-0.0872515462679395</v>
      </c>
      <c r="R58" s="15" t="n">
        <v>0.0866983372921615</v>
      </c>
      <c r="S58" s="32" t="n">
        <v>74278510500</v>
      </c>
      <c r="T58" s="15" t="n">
        <v>0.0866983372921615</v>
      </c>
      <c r="U58" s="32" t="n">
        <v>14744981467.5</v>
      </c>
      <c r="V58" s="14" t="n">
        <v>4.48304569239949</v>
      </c>
      <c r="W58" s="13" t="n">
        <v>0.0866983372921615</v>
      </c>
      <c r="X58" s="15" t="n">
        <v>0.019672131147541</v>
      </c>
      <c r="Y58" s="13" t="n">
        <v>-0.0016856109775415</v>
      </c>
      <c r="Z58" s="13" t="n">
        <v>0.0125514230543196</v>
      </c>
      <c r="AA58" s="30" t="s">
        <v>97</v>
      </c>
      <c r="AB58" s="28" t="s">
        <v>93</v>
      </c>
      <c r="AC58" s="28" t="s">
        <v>101</v>
      </c>
      <c r="AD58" s="28" t="s">
        <v>108</v>
      </c>
      <c r="AE58" s="28" t="s">
        <v>101</v>
      </c>
      <c r="AF58" s="28" t="s">
        <v>118</v>
      </c>
      <c r="AG58" s="30" t="s">
        <v>122</v>
      </c>
    </row>
    <row r="59" customFormat="false" ht="15" hidden="false" customHeight="false" outlineLevel="0" collapsed="false">
      <c r="A59" s="10" t="n">
        <v>2024</v>
      </c>
      <c r="B59" s="28" t="s">
        <v>52</v>
      </c>
      <c r="C59" s="29" t="n">
        <v>45343</v>
      </c>
      <c r="D59" s="30" t="s">
        <v>127</v>
      </c>
      <c r="E59" s="28" t="s">
        <v>743</v>
      </c>
      <c r="F59" s="30" t="s">
        <v>744</v>
      </c>
      <c r="G59" s="31" t="n">
        <v>71571</v>
      </c>
      <c r="H59" s="31" t="n">
        <v>1</v>
      </c>
      <c r="I59" s="31" t="n">
        <v>71571</v>
      </c>
      <c r="J59" s="29" t="n">
        <v>45369</v>
      </c>
      <c r="K59" s="31" t="n">
        <v>68132</v>
      </c>
      <c r="L59" s="30" t="s">
        <v>32</v>
      </c>
      <c r="M59" s="10" t="n">
        <v>17</v>
      </c>
      <c r="N59" s="12" t="n">
        <v>-3583</v>
      </c>
      <c r="O59" s="13" t="n">
        <v>-0.050065916391301</v>
      </c>
      <c r="P59" s="15" t="n">
        <v>0.0730528213045698</v>
      </c>
      <c r="Q59" s="13" t="n">
        <v>-0.0499011478032455</v>
      </c>
      <c r="R59" s="15" t="n">
        <v>0.0407569141193596</v>
      </c>
      <c r="S59" s="32" t="n">
        <v>66455317500</v>
      </c>
      <c r="T59" s="15" t="n">
        <v>0.0243553008595989</v>
      </c>
      <c r="U59" s="32" t="n">
        <v>12827289595</v>
      </c>
      <c r="V59" s="14" t="n">
        <v>4.86485552827109</v>
      </c>
      <c r="W59" s="13" t="n">
        <v>0.0392441860465116</v>
      </c>
      <c r="X59" s="15" t="n">
        <v>0.00699300699300709</v>
      </c>
      <c r="Y59" s="13" t="n">
        <v>-0.0016856109775415</v>
      </c>
      <c r="Z59" s="13" t="n">
        <v>0.0125514230543196</v>
      </c>
      <c r="AA59" s="30" t="s">
        <v>97</v>
      </c>
      <c r="AB59" s="28" t="s">
        <v>93</v>
      </c>
      <c r="AC59" s="28" t="s">
        <v>100</v>
      </c>
      <c r="AD59" s="28" t="s">
        <v>108</v>
      </c>
      <c r="AE59" s="28" t="s">
        <v>113</v>
      </c>
      <c r="AF59" s="28" t="s">
        <v>118</v>
      </c>
      <c r="AG59" s="30" t="s">
        <v>122</v>
      </c>
    </row>
    <row r="60" customFormat="false" ht="15" hidden="false" customHeight="false" outlineLevel="0" collapsed="false">
      <c r="A60" s="10" t="n">
        <v>2024</v>
      </c>
      <c r="B60" s="28" t="s">
        <v>52</v>
      </c>
      <c r="C60" s="29" t="n">
        <v>45343</v>
      </c>
      <c r="D60" s="30" t="s">
        <v>127</v>
      </c>
      <c r="E60" s="28" t="s">
        <v>505</v>
      </c>
      <c r="F60" s="30" t="s">
        <v>506</v>
      </c>
      <c r="G60" s="31" t="n">
        <v>43543</v>
      </c>
      <c r="H60" s="31" t="n">
        <v>2</v>
      </c>
      <c r="I60" s="31" t="n">
        <v>87087</v>
      </c>
      <c r="J60" s="29" t="n">
        <v>45348</v>
      </c>
      <c r="K60" s="31" t="n">
        <v>41409</v>
      </c>
      <c r="L60" s="30" t="s">
        <v>32</v>
      </c>
      <c r="M60" s="10" t="n">
        <v>3</v>
      </c>
      <c r="N60" s="12" t="n">
        <v>-4444</v>
      </c>
      <c r="O60" s="13" t="n">
        <v>-0.0510346710186364</v>
      </c>
      <c r="P60" s="15" t="n">
        <v>0.0173734311665348</v>
      </c>
      <c r="Q60" s="13" t="n">
        <v>-0.0549680204852617</v>
      </c>
      <c r="R60" s="15" t="n">
        <v>0.0583941605839415</v>
      </c>
      <c r="S60" s="32" t="n">
        <v>60031305000</v>
      </c>
      <c r="T60" s="15" t="n">
        <v>0.0583941605839415</v>
      </c>
      <c r="U60" s="32" t="n">
        <v>9030064680</v>
      </c>
      <c r="V60" s="14" t="n">
        <v>5.90246769110748</v>
      </c>
      <c r="W60" s="13" t="n">
        <v>0.0456730769230769</v>
      </c>
      <c r="X60" s="15" t="n">
        <v>0.0735632183908046</v>
      </c>
      <c r="Y60" s="13" t="n">
        <v>-0.0016856109775415</v>
      </c>
      <c r="Z60" s="13" t="n">
        <v>0.0125514230543196</v>
      </c>
      <c r="AA60" s="30" t="s">
        <v>97</v>
      </c>
      <c r="AB60" s="28" t="s">
        <v>93</v>
      </c>
      <c r="AC60" s="28" t="s">
        <v>101</v>
      </c>
      <c r="AD60" s="28" t="s">
        <v>108</v>
      </c>
      <c r="AE60" s="28" t="s">
        <v>101</v>
      </c>
      <c r="AF60" s="28" t="s">
        <v>119</v>
      </c>
      <c r="AG60" s="30" t="s">
        <v>122</v>
      </c>
    </row>
    <row r="61" customFormat="false" ht="15" hidden="false" customHeight="false" outlineLevel="0" collapsed="false">
      <c r="A61" s="10" t="n">
        <v>2024</v>
      </c>
      <c r="B61" s="28" t="s">
        <v>52</v>
      </c>
      <c r="C61" s="29" t="n">
        <v>45343</v>
      </c>
      <c r="D61" s="30" t="s">
        <v>127</v>
      </c>
      <c r="E61" s="28" t="s">
        <v>1211</v>
      </c>
      <c r="F61" s="30" t="s">
        <v>1212</v>
      </c>
      <c r="G61" s="31" t="n">
        <v>26677</v>
      </c>
      <c r="H61" s="31" t="n">
        <v>3</v>
      </c>
      <c r="I61" s="31" t="n">
        <v>80030</v>
      </c>
      <c r="J61" s="29" t="n">
        <v>45348</v>
      </c>
      <c r="K61" s="31" t="n">
        <v>25375</v>
      </c>
      <c r="L61" s="30" t="s">
        <v>32</v>
      </c>
      <c r="M61" s="10" t="n">
        <v>3</v>
      </c>
      <c r="N61" s="12" t="n">
        <v>-4067</v>
      </c>
      <c r="O61" s="13" t="n">
        <v>-0.0508134255050768</v>
      </c>
      <c r="P61" s="15" t="n">
        <v>0.10958459926565</v>
      </c>
      <c r="Q61" s="13" t="n">
        <v>-0.0497307570478301</v>
      </c>
      <c r="R61" s="15" t="n">
        <v>0.151187904967603</v>
      </c>
      <c r="S61" s="32" t="n">
        <v>59820455500</v>
      </c>
      <c r="T61" s="15" t="n">
        <v>0.129237288135593</v>
      </c>
      <c r="U61" s="32" t="n">
        <v>5647863225</v>
      </c>
      <c r="V61" s="14" t="n">
        <v>8.6128393147009</v>
      </c>
      <c r="W61" s="13" t="n">
        <v>0.129237288135593</v>
      </c>
      <c r="X61" s="15" t="n">
        <v>0.0431519699812384</v>
      </c>
      <c r="Y61" s="13" t="n">
        <v>-0.0016856109775415</v>
      </c>
      <c r="Z61" s="13" t="n">
        <v>0.0125514230543196</v>
      </c>
      <c r="AA61" s="30" t="s">
        <v>97</v>
      </c>
      <c r="AB61" s="28" t="s">
        <v>93</v>
      </c>
      <c r="AC61" s="28" t="s">
        <v>103</v>
      </c>
      <c r="AD61" s="28" t="s">
        <v>108</v>
      </c>
      <c r="AE61" s="28" t="s">
        <v>114</v>
      </c>
      <c r="AF61" s="28" t="s">
        <v>119</v>
      </c>
      <c r="AG61" s="30" t="s">
        <v>122</v>
      </c>
    </row>
    <row r="62" customFormat="false" ht="15" hidden="false" customHeight="false" outlineLevel="0" collapsed="false">
      <c r="A62" s="10" t="n">
        <v>2024</v>
      </c>
      <c r="B62" s="28" t="s">
        <v>52</v>
      </c>
      <c r="C62" s="29" t="n">
        <v>45343</v>
      </c>
      <c r="D62" s="30" t="s">
        <v>127</v>
      </c>
      <c r="E62" s="28" t="s">
        <v>661</v>
      </c>
      <c r="F62" s="30" t="s">
        <v>662</v>
      </c>
      <c r="G62" s="31" t="n">
        <v>76076</v>
      </c>
      <c r="H62" s="31" t="n">
        <v>1</v>
      </c>
      <c r="I62" s="31" t="n">
        <v>76076</v>
      </c>
      <c r="J62" s="29" t="n">
        <v>45363</v>
      </c>
      <c r="K62" s="31" t="n">
        <v>91300</v>
      </c>
      <c r="L62" s="30" t="s">
        <v>31</v>
      </c>
      <c r="M62" s="10" t="n">
        <v>13</v>
      </c>
      <c r="N62" s="12" t="n">
        <v>15035</v>
      </c>
      <c r="O62" s="13" t="n">
        <v>0.197625448235975</v>
      </c>
      <c r="P62" s="15" t="n">
        <v>0.250065723749934</v>
      </c>
      <c r="Q62" s="13" t="n">
        <v>-0.0312319259687679</v>
      </c>
      <c r="R62" s="15" t="n">
        <v>0.0719322990126941</v>
      </c>
      <c r="S62" s="32" t="n">
        <v>35348056000</v>
      </c>
      <c r="T62" s="15" t="n">
        <v>0.0242587601078168</v>
      </c>
      <c r="U62" s="32" t="n">
        <v>6104190290</v>
      </c>
      <c r="V62" s="14" t="n">
        <v>5.43487494748946</v>
      </c>
      <c r="W62" s="13" t="n">
        <v>0.0810810810810811</v>
      </c>
      <c r="X62" s="15" t="n">
        <v>0.0171052631578947</v>
      </c>
      <c r="Y62" s="13" t="n">
        <v>-0.0016856109775415</v>
      </c>
      <c r="Z62" s="13" t="n">
        <v>0.0125514230543196</v>
      </c>
      <c r="AA62" s="30" t="s">
        <v>97</v>
      </c>
      <c r="AB62" s="28" t="s">
        <v>93</v>
      </c>
      <c r="AC62" s="28" t="s">
        <v>101</v>
      </c>
      <c r="AD62" s="28" t="s">
        <v>107</v>
      </c>
      <c r="AE62" s="28" t="s">
        <v>113</v>
      </c>
      <c r="AF62" s="28" t="s">
        <v>119</v>
      </c>
      <c r="AG62" s="30" t="s">
        <v>122</v>
      </c>
    </row>
    <row r="63" customFormat="false" ht="15" hidden="false" customHeight="false" outlineLevel="0" collapsed="false">
      <c r="A63" s="10" t="n">
        <v>2024</v>
      </c>
      <c r="B63" s="28" t="s">
        <v>52</v>
      </c>
      <c r="C63" s="29" t="n">
        <v>45343</v>
      </c>
      <c r="D63" s="30" t="s">
        <v>127</v>
      </c>
      <c r="E63" s="28" t="s">
        <v>565</v>
      </c>
      <c r="F63" s="30" t="s">
        <v>566</v>
      </c>
      <c r="G63" s="31" t="n">
        <v>36186</v>
      </c>
      <c r="H63" s="31" t="n">
        <v>2</v>
      </c>
      <c r="I63" s="31" t="n">
        <v>72372</v>
      </c>
      <c r="J63" s="29" t="n">
        <v>45350</v>
      </c>
      <c r="K63" s="31" t="n">
        <v>34416</v>
      </c>
      <c r="L63" s="30" t="s">
        <v>32</v>
      </c>
      <c r="M63" s="10" t="n">
        <v>5</v>
      </c>
      <c r="N63" s="12" t="n">
        <v>-3686</v>
      </c>
      <c r="O63" s="13" t="n">
        <v>-0.0509349086598048</v>
      </c>
      <c r="P63" s="15" t="n">
        <v>0.0819056462209991</v>
      </c>
      <c r="Q63" s="13" t="n">
        <v>-0.0631774864140008</v>
      </c>
      <c r="R63" s="15" t="n">
        <v>0.0226308345120225</v>
      </c>
      <c r="S63" s="32" t="n">
        <v>25784782800</v>
      </c>
      <c r="T63" s="15" t="n">
        <v>0.0183098591549296</v>
      </c>
      <c r="U63" s="32" t="n">
        <v>16406283012.5</v>
      </c>
      <c r="V63" s="14" t="n">
        <v>1.42954203555697</v>
      </c>
      <c r="W63" s="13" t="n">
        <v>0.00977653631284925</v>
      </c>
      <c r="X63" s="15" t="n">
        <v>0.0318118948824344</v>
      </c>
      <c r="Y63" s="13" t="n">
        <v>-0.0016856109775415</v>
      </c>
      <c r="Z63" s="13" t="n">
        <v>0.0125514230543196</v>
      </c>
      <c r="AA63" s="30" t="s">
        <v>97</v>
      </c>
      <c r="AB63" s="28" t="s">
        <v>93</v>
      </c>
      <c r="AC63" s="28" t="s">
        <v>99</v>
      </c>
      <c r="AD63" s="28" t="s">
        <v>106</v>
      </c>
      <c r="AE63" s="28" t="s">
        <v>112</v>
      </c>
      <c r="AF63" s="28" t="s">
        <v>116</v>
      </c>
      <c r="AG63" s="30" t="s">
        <v>122</v>
      </c>
    </row>
    <row r="64" customFormat="false" ht="15" hidden="false" customHeight="false" outlineLevel="0" collapsed="false">
      <c r="A64" s="10" t="n">
        <v>2024</v>
      </c>
      <c r="B64" s="28" t="s">
        <v>52</v>
      </c>
      <c r="C64" s="29" t="n">
        <v>45343</v>
      </c>
      <c r="D64" s="30" t="s">
        <v>127</v>
      </c>
      <c r="E64" s="28" t="s">
        <v>525</v>
      </c>
      <c r="F64" s="30" t="s">
        <v>526</v>
      </c>
      <c r="G64" s="31" t="n">
        <v>19990</v>
      </c>
      <c r="H64" s="31" t="n">
        <v>4</v>
      </c>
      <c r="I64" s="31" t="n">
        <v>79960</v>
      </c>
      <c r="J64" s="29" t="n">
        <v>45358</v>
      </c>
      <c r="K64" s="31" t="n">
        <v>24000</v>
      </c>
      <c r="L64" s="30" t="s">
        <v>31</v>
      </c>
      <c r="M64" s="10" t="n">
        <v>10</v>
      </c>
      <c r="N64" s="12" t="n">
        <v>15841</v>
      </c>
      <c r="O64" s="13" t="n">
        <v>0.198110927855319</v>
      </c>
      <c r="P64" s="15" t="n">
        <v>0.323163566528614</v>
      </c>
      <c r="Q64" s="13" t="n">
        <v>-0.0460215798222807</v>
      </c>
      <c r="R64" s="15" t="n">
        <v>0.0622340425531915</v>
      </c>
      <c r="S64" s="32" t="n">
        <v>23067007510</v>
      </c>
      <c r="T64" s="15" t="n">
        <v>0.0588547189819724</v>
      </c>
      <c r="U64" s="32" t="n">
        <v>4733419087.5</v>
      </c>
      <c r="V64" s="14" t="n">
        <v>4.34580898475652</v>
      </c>
      <c r="W64" s="13" t="n">
        <v>0.0627993613624269</v>
      </c>
      <c r="X64" s="15" t="n">
        <v>0.00150225338007015</v>
      </c>
      <c r="Y64" s="13" t="n">
        <v>-0.0016856109775415</v>
      </c>
      <c r="Z64" s="13" t="n">
        <v>0.0125514230543196</v>
      </c>
      <c r="AA64" s="30" t="s">
        <v>97</v>
      </c>
      <c r="AB64" s="28" t="s">
        <v>93</v>
      </c>
      <c r="AC64" s="28" t="s">
        <v>101</v>
      </c>
      <c r="AD64" s="28" t="s">
        <v>106</v>
      </c>
      <c r="AE64" s="28" t="s">
        <v>101</v>
      </c>
      <c r="AF64" s="28" t="s">
        <v>118</v>
      </c>
      <c r="AG64" s="30" t="s">
        <v>122</v>
      </c>
    </row>
    <row r="65" customFormat="false" ht="15" hidden="false" customHeight="false" outlineLevel="0" collapsed="false">
      <c r="A65" s="10" t="n">
        <v>2024</v>
      </c>
      <c r="B65" s="28" t="s">
        <v>52</v>
      </c>
      <c r="C65" s="29" t="n">
        <v>45344</v>
      </c>
      <c r="D65" s="30" t="s">
        <v>128</v>
      </c>
      <c r="E65" s="28" t="s">
        <v>1213</v>
      </c>
      <c r="F65" s="30" t="s">
        <v>1214</v>
      </c>
      <c r="G65" s="31" t="n">
        <v>23373</v>
      </c>
      <c r="H65" s="31" t="n">
        <v>4</v>
      </c>
      <c r="I65" s="31" t="n">
        <v>93493</v>
      </c>
      <c r="J65" s="29" t="n">
        <v>45345</v>
      </c>
      <c r="K65" s="31" t="n">
        <v>22228</v>
      </c>
      <c r="L65" s="30" t="s">
        <v>32</v>
      </c>
      <c r="M65" s="10" t="n">
        <v>1</v>
      </c>
      <c r="N65" s="12" t="n">
        <v>-4770</v>
      </c>
      <c r="O65" s="13" t="n">
        <v>-0.0510175098990945</v>
      </c>
      <c r="P65" s="15" t="n">
        <v>0.0460631445642152</v>
      </c>
      <c r="Q65" s="13" t="n">
        <v>-0.0694530309091337</v>
      </c>
      <c r="R65" s="15" t="n">
        <v>0.168084042021011</v>
      </c>
      <c r="S65" s="32" t="n">
        <v>63280718250</v>
      </c>
      <c r="T65" s="15" t="n">
        <v>0.0735632183908046</v>
      </c>
      <c r="U65" s="32" t="n">
        <v>6012708953.5</v>
      </c>
      <c r="V65" s="14" t="n">
        <v>9.22287417224628</v>
      </c>
      <c r="W65" s="13" t="n">
        <v>0.144607843137255</v>
      </c>
      <c r="X65" s="15" t="n">
        <v>0.00428265524625271</v>
      </c>
      <c r="Y65" s="13" t="n">
        <v>0.00413068959149143</v>
      </c>
      <c r="Z65" s="13" t="n">
        <v>0.0193090519550079</v>
      </c>
      <c r="AA65" s="30" t="s">
        <v>97</v>
      </c>
      <c r="AB65" s="28" t="s">
        <v>93</v>
      </c>
      <c r="AC65" s="28" t="s">
        <v>103</v>
      </c>
      <c r="AD65" s="28" t="s">
        <v>108</v>
      </c>
      <c r="AE65" s="28" t="s">
        <v>101</v>
      </c>
      <c r="AF65" s="28" t="s">
        <v>119</v>
      </c>
      <c r="AG65" s="30" t="s">
        <v>122</v>
      </c>
    </row>
    <row r="66" customFormat="false" ht="15" hidden="false" customHeight="false" outlineLevel="0" collapsed="false">
      <c r="A66" s="10" t="n">
        <v>2024</v>
      </c>
      <c r="B66" s="28" t="s">
        <v>52</v>
      </c>
      <c r="C66" s="29" t="n">
        <v>45344</v>
      </c>
      <c r="D66" s="30" t="s">
        <v>128</v>
      </c>
      <c r="E66" s="28" t="s">
        <v>829</v>
      </c>
      <c r="F66" s="30" t="s">
        <v>830</v>
      </c>
      <c r="G66" s="31" t="n">
        <v>38038</v>
      </c>
      <c r="H66" s="31" t="n">
        <v>2</v>
      </c>
      <c r="I66" s="31" t="n">
        <v>76076</v>
      </c>
      <c r="J66" s="29" t="n">
        <v>45345</v>
      </c>
      <c r="K66" s="31" t="n">
        <v>36214</v>
      </c>
      <c r="L66" s="30" t="s">
        <v>32</v>
      </c>
      <c r="M66" s="10" t="n">
        <v>1</v>
      </c>
      <c r="N66" s="12" t="n">
        <v>-3801</v>
      </c>
      <c r="O66" s="13" t="n">
        <v>-0.0499651010174035</v>
      </c>
      <c r="P66" s="15" t="n">
        <v>0.00557337399442681</v>
      </c>
      <c r="Q66" s="13" t="n">
        <v>-0.0496345759503653</v>
      </c>
      <c r="R66" s="15" t="n">
        <v>0.16030534351145</v>
      </c>
      <c r="S66" s="32" t="n">
        <v>35932382000</v>
      </c>
      <c r="T66" s="15" t="n">
        <v>0.101449275362319</v>
      </c>
      <c r="U66" s="32" t="n">
        <v>4839716535</v>
      </c>
      <c r="V66" s="14" t="n">
        <v>6.17903801008614</v>
      </c>
      <c r="W66" s="13" t="n">
        <v>0.137724550898204</v>
      </c>
      <c r="X66" s="15" t="n">
        <v>0.0236842105263158</v>
      </c>
      <c r="Y66" s="13" t="n">
        <v>0.00413068959149143</v>
      </c>
      <c r="Z66" s="13" t="n">
        <v>0.0193090519550079</v>
      </c>
      <c r="AA66" s="30" t="s">
        <v>97</v>
      </c>
      <c r="AB66" s="28" t="s">
        <v>93</v>
      </c>
      <c r="AC66" s="28" t="s">
        <v>103</v>
      </c>
      <c r="AD66" s="28" t="s">
        <v>107</v>
      </c>
      <c r="AE66" s="28" t="s">
        <v>114</v>
      </c>
      <c r="AF66" s="28" t="s">
        <v>119</v>
      </c>
      <c r="AG66" s="30" t="s">
        <v>122</v>
      </c>
    </row>
    <row r="67" customFormat="false" ht="15" hidden="false" customHeight="false" outlineLevel="0" collapsed="false">
      <c r="A67" s="10" t="n">
        <v>2024</v>
      </c>
      <c r="B67" s="28" t="s">
        <v>52</v>
      </c>
      <c r="C67" s="29" t="n">
        <v>45344</v>
      </c>
      <c r="D67" s="30" t="s">
        <v>128</v>
      </c>
      <c r="E67" s="28" t="s">
        <v>457</v>
      </c>
      <c r="F67" s="30" t="s">
        <v>458</v>
      </c>
      <c r="G67" s="31" t="n">
        <v>22272</v>
      </c>
      <c r="H67" s="31" t="n">
        <v>4</v>
      </c>
      <c r="I67" s="31" t="n">
        <v>89089</v>
      </c>
      <c r="J67" s="29" t="n">
        <v>45345</v>
      </c>
      <c r="K67" s="31" t="n">
        <v>21179</v>
      </c>
      <c r="L67" s="30" t="s">
        <v>32</v>
      </c>
      <c r="M67" s="10" t="n">
        <v>1</v>
      </c>
      <c r="N67" s="12" t="n">
        <v>-4552</v>
      </c>
      <c r="O67" s="13" t="n">
        <v>-0.0510989907844965</v>
      </c>
      <c r="P67" s="15" t="n">
        <v>0.0236954057178778</v>
      </c>
      <c r="Q67" s="13" t="n">
        <v>-0.0526327604979289</v>
      </c>
      <c r="R67" s="15" t="n">
        <v>0.109725685785536</v>
      </c>
      <c r="S67" s="32" t="n">
        <v>27272003000</v>
      </c>
      <c r="T67" s="15" t="n">
        <v>0.0853658536585367</v>
      </c>
      <c r="U67" s="32" t="n">
        <v>10248048408</v>
      </c>
      <c r="V67" s="14" t="n">
        <v>2.27914245895497</v>
      </c>
      <c r="W67" s="13" t="n">
        <v>0.106965174129353</v>
      </c>
      <c r="X67" s="15" t="n">
        <v>0.00449438202247188</v>
      </c>
      <c r="Y67" s="13" t="n">
        <v>0.00413068959149143</v>
      </c>
      <c r="Z67" s="13" t="n">
        <v>0.0193090519550079</v>
      </c>
      <c r="AA67" s="30" t="s">
        <v>97</v>
      </c>
      <c r="AB67" s="28" t="s">
        <v>93</v>
      </c>
      <c r="AC67" s="28" t="s">
        <v>102</v>
      </c>
      <c r="AD67" s="28" t="s">
        <v>106</v>
      </c>
      <c r="AE67" s="28" t="s">
        <v>101</v>
      </c>
      <c r="AF67" s="28" t="s">
        <v>117</v>
      </c>
      <c r="AG67" s="30" t="s">
        <v>122</v>
      </c>
    </row>
    <row r="68" customFormat="false" ht="15" hidden="false" customHeight="false" outlineLevel="0" collapsed="false">
      <c r="A68" s="10" t="n">
        <v>2024</v>
      </c>
      <c r="B68" s="28" t="s">
        <v>52</v>
      </c>
      <c r="C68" s="29" t="n">
        <v>45344</v>
      </c>
      <c r="D68" s="30" t="s">
        <v>128</v>
      </c>
      <c r="E68" s="28" t="s">
        <v>773</v>
      </c>
      <c r="F68" s="30" t="s">
        <v>774</v>
      </c>
      <c r="G68" s="31" t="n">
        <v>13694</v>
      </c>
      <c r="H68" s="31" t="n">
        <v>7</v>
      </c>
      <c r="I68" s="31" t="n">
        <v>95856</v>
      </c>
      <c r="J68" s="29" t="n">
        <v>45379</v>
      </c>
      <c r="K68" s="31" t="n">
        <v>13037</v>
      </c>
      <c r="L68" s="30" t="s">
        <v>32</v>
      </c>
      <c r="M68" s="10" t="n">
        <v>24</v>
      </c>
      <c r="N68" s="12" t="n">
        <v>-4789</v>
      </c>
      <c r="O68" s="13" t="n">
        <v>-0.0499651010174036</v>
      </c>
      <c r="P68" s="15" t="n">
        <v>0.127527443316917</v>
      </c>
      <c r="Q68" s="13" t="n">
        <v>-0.0725648620385462</v>
      </c>
      <c r="R68" s="15" t="n">
        <v>0.0247191011235954</v>
      </c>
      <c r="S68" s="32" t="n">
        <v>25885952640</v>
      </c>
      <c r="T68" s="15" t="n">
        <v>0.0133333333333334</v>
      </c>
      <c r="U68" s="32" t="n">
        <v>4931123590</v>
      </c>
      <c r="V68" s="14" t="n">
        <v>4.95151578428979</v>
      </c>
      <c r="W68" s="13" t="n">
        <v>0.0118343195266273</v>
      </c>
      <c r="X68" s="15" t="n">
        <v>0.0730994152046784</v>
      </c>
      <c r="Y68" s="13" t="n">
        <v>0.00413068959149143</v>
      </c>
      <c r="Z68" s="13" t="n">
        <v>0.0193090519550079</v>
      </c>
      <c r="AA68" s="30" t="s">
        <v>97</v>
      </c>
      <c r="AB68" s="28" t="s">
        <v>93</v>
      </c>
      <c r="AC68" s="28" t="s">
        <v>99</v>
      </c>
      <c r="AD68" s="28" t="s">
        <v>106</v>
      </c>
      <c r="AE68" s="28" t="s">
        <v>112</v>
      </c>
      <c r="AF68" s="28" t="s">
        <v>118</v>
      </c>
      <c r="AG68" s="30" t="s">
        <v>122</v>
      </c>
    </row>
    <row r="69" customFormat="false" ht="15" hidden="false" customHeight="false" outlineLevel="0" collapsed="false">
      <c r="A69" s="10" t="n">
        <v>2024</v>
      </c>
      <c r="B69" s="28" t="s">
        <v>52</v>
      </c>
      <c r="C69" s="29" t="n">
        <v>45349</v>
      </c>
      <c r="D69" s="30" t="s">
        <v>126</v>
      </c>
      <c r="E69" s="28" t="s">
        <v>235</v>
      </c>
      <c r="F69" s="30" t="s">
        <v>236</v>
      </c>
      <c r="G69" s="31" t="n">
        <v>35135</v>
      </c>
      <c r="H69" s="31" t="n">
        <v>2</v>
      </c>
      <c r="I69" s="31" t="n">
        <v>70270</v>
      </c>
      <c r="J69" s="29" t="n">
        <v>45365</v>
      </c>
      <c r="K69" s="31" t="n">
        <v>33417</v>
      </c>
      <c r="L69" s="30" t="s">
        <v>32</v>
      </c>
      <c r="M69" s="10" t="n">
        <v>11</v>
      </c>
      <c r="N69" s="12" t="n">
        <v>-3578</v>
      </c>
      <c r="O69" s="13" t="n">
        <v>-0.0509172462153231</v>
      </c>
      <c r="P69" s="15" t="n">
        <v>0.159808852116544</v>
      </c>
      <c r="Q69" s="13" t="n">
        <v>-0.0479605864221249</v>
      </c>
      <c r="R69" s="15" t="n">
        <v>0.0384615384615386</v>
      </c>
      <c r="S69" s="32" t="n">
        <v>94062945600</v>
      </c>
      <c r="T69" s="15" t="n">
        <v>0.0384615384615386</v>
      </c>
      <c r="U69" s="32" t="n">
        <v>32477658527.5</v>
      </c>
      <c r="V69" s="14" t="n">
        <v>2.61107226228734</v>
      </c>
      <c r="W69" s="13" t="n">
        <v>0.0369276218611521</v>
      </c>
      <c r="X69" s="15" t="n">
        <v>0.0213675213675213</v>
      </c>
      <c r="Y69" s="13" t="n">
        <v>-0.00832237786542145</v>
      </c>
      <c r="Z69" s="13" t="n">
        <v>-0.0123185052242651</v>
      </c>
      <c r="AA69" s="30" t="s">
        <v>97</v>
      </c>
      <c r="AB69" s="28" t="s">
        <v>94</v>
      </c>
      <c r="AC69" s="28" t="s">
        <v>100</v>
      </c>
      <c r="AD69" s="28" t="s">
        <v>108</v>
      </c>
      <c r="AE69" s="28" t="s">
        <v>113</v>
      </c>
      <c r="AF69" s="28" t="s">
        <v>117</v>
      </c>
      <c r="AG69" s="30" t="s">
        <v>122</v>
      </c>
    </row>
    <row r="70" customFormat="false" ht="15" hidden="false" customHeight="false" outlineLevel="0" collapsed="false">
      <c r="A70" s="10" t="n">
        <v>2024</v>
      </c>
      <c r="B70" s="28" t="s">
        <v>52</v>
      </c>
      <c r="C70" s="29" t="n">
        <v>45349</v>
      </c>
      <c r="D70" s="30" t="s">
        <v>126</v>
      </c>
      <c r="E70" s="28" t="s">
        <v>591</v>
      </c>
      <c r="F70" s="30" t="s">
        <v>592</v>
      </c>
      <c r="G70" s="31" t="n">
        <v>7678</v>
      </c>
      <c r="H70" s="31" t="n">
        <v>12</v>
      </c>
      <c r="I70" s="31" t="n">
        <v>92132</v>
      </c>
      <c r="J70" s="29" t="n">
        <v>45366</v>
      </c>
      <c r="K70" s="31" t="n">
        <v>9220</v>
      </c>
      <c r="L70" s="30" t="s">
        <v>31</v>
      </c>
      <c r="M70" s="10" t="n">
        <v>12</v>
      </c>
      <c r="N70" s="12" t="n">
        <v>18278</v>
      </c>
      <c r="O70" s="13" t="n">
        <v>0.198393438308758</v>
      </c>
      <c r="P70" s="15" t="n">
        <v>0.223027298646595</v>
      </c>
      <c r="Q70" s="13" t="n">
        <v>-0.0153262643484285</v>
      </c>
      <c r="R70" s="15" t="n">
        <v>0.0350877192982457</v>
      </c>
      <c r="S70" s="32" t="n">
        <v>62721563060</v>
      </c>
      <c r="T70" s="15" t="n">
        <v>0.00921052631578956</v>
      </c>
      <c r="U70" s="32" t="n">
        <v>27440234111</v>
      </c>
      <c r="V70" s="14" t="n">
        <v>2.17660081684036</v>
      </c>
      <c r="W70" s="13" t="n">
        <v>0.0267737617135209</v>
      </c>
      <c r="X70" s="15" t="n">
        <v>0.00782268578878753</v>
      </c>
      <c r="Y70" s="13" t="n">
        <v>-0.00832237786542145</v>
      </c>
      <c r="Z70" s="13" t="n">
        <v>-0.0123185052242651</v>
      </c>
      <c r="AA70" s="30" t="s">
        <v>97</v>
      </c>
      <c r="AB70" s="28" t="s">
        <v>94</v>
      </c>
      <c r="AC70" s="28" t="s">
        <v>100</v>
      </c>
      <c r="AD70" s="28" t="s">
        <v>108</v>
      </c>
      <c r="AE70" s="28" t="s">
        <v>112</v>
      </c>
      <c r="AF70" s="28" t="s">
        <v>117</v>
      </c>
      <c r="AG70" s="30" t="s">
        <v>122</v>
      </c>
    </row>
    <row r="71" customFormat="false" ht="15" hidden="false" customHeight="false" outlineLevel="0" collapsed="false">
      <c r="A71" s="10" t="n">
        <v>2024</v>
      </c>
      <c r="B71" s="28" t="s">
        <v>52</v>
      </c>
      <c r="C71" s="29" t="n">
        <v>45350</v>
      </c>
      <c r="D71" s="30" t="s">
        <v>127</v>
      </c>
      <c r="E71" s="28" t="s">
        <v>913</v>
      </c>
      <c r="F71" s="30" t="s">
        <v>914</v>
      </c>
      <c r="G71" s="31" t="n">
        <v>44695</v>
      </c>
      <c r="H71" s="31" t="n">
        <v>2</v>
      </c>
      <c r="I71" s="31" t="n">
        <v>89389</v>
      </c>
      <c r="J71" s="29" t="n">
        <v>45387</v>
      </c>
      <c r="K71" s="31" t="n">
        <v>42507</v>
      </c>
      <c r="L71" s="30" t="s">
        <v>32</v>
      </c>
      <c r="M71" s="10" t="n">
        <v>26</v>
      </c>
      <c r="N71" s="12" t="n">
        <v>-4554</v>
      </c>
      <c r="O71" s="13" t="n">
        <v>-0.0509410796370484</v>
      </c>
      <c r="P71" s="15" t="n">
        <v>0.105277701022382</v>
      </c>
      <c r="Q71" s="13" t="n">
        <v>-0.0479844903137175</v>
      </c>
      <c r="R71" s="15" t="n">
        <v>0.173455978975033</v>
      </c>
      <c r="S71" s="32" t="n">
        <v>186946424500</v>
      </c>
      <c r="T71" s="15" t="n">
        <v>0.0205714285714285</v>
      </c>
      <c r="U71" s="32" t="n">
        <v>10471228472.5</v>
      </c>
      <c r="V71" s="14" t="n">
        <v>16.3896840734781</v>
      </c>
      <c r="W71" s="13" t="n">
        <v>0.147814910025707</v>
      </c>
      <c r="X71" s="15" t="n">
        <v>0.0604703247480403</v>
      </c>
      <c r="Y71" s="13" t="n">
        <v>0.0103769452010436</v>
      </c>
      <c r="Z71" s="13" t="n">
        <v>-0.000384425491178897</v>
      </c>
      <c r="AA71" s="30" t="s">
        <v>97</v>
      </c>
      <c r="AB71" s="28" t="s">
        <v>94</v>
      </c>
      <c r="AC71" s="28" t="s">
        <v>103</v>
      </c>
      <c r="AD71" s="28" t="s">
        <v>109</v>
      </c>
      <c r="AE71" s="28" t="s">
        <v>113</v>
      </c>
      <c r="AF71" s="28" t="s">
        <v>120</v>
      </c>
      <c r="AG71" s="30" t="s">
        <v>122</v>
      </c>
    </row>
    <row r="72" customFormat="false" ht="15" hidden="false" customHeight="false" outlineLevel="0" collapsed="false">
      <c r="A72" s="10" t="n">
        <v>2024</v>
      </c>
      <c r="B72" s="28" t="s">
        <v>52</v>
      </c>
      <c r="C72" s="29" t="n">
        <v>45350</v>
      </c>
      <c r="D72" s="30" t="s">
        <v>127</v>
      </c>
      <c r="E72" s="28" t="s">
        <v>495</v>
      </c>
      <c r="F72" s="30" t="s">
        <v>496</v>
      </c>
      <c r="G72" s="31" t="n">
        <v>6697</v>
      </c>
      <c r="H72" s="31" t="n">
        <v>14</v>
      </c>
      <c r="I72" s="31" t="n">
        <v>93754</v>
      </c>
      <c r="J72" s="29" t="n">
        <v>45358</v>
      </c>
      <c r="K72" s="31" t="n">
        <v>8040</v>
      </c>
      <c r="L72" s="30" t="s">
        <v>31</v>
      </c>
      <c r="M72" s="10" t="n">
        <v>5</v>
      </c>
      <c r="N72" s="12" t="n">
        <v>18573</v>
      </c>
      <c r="O72" s="13" t="n">
        <v>0.198101972243004</v>
      </c>
      <c r="P72" s="15" t="n">
        <v>0.20059312884425</v>
      </c>
      <c r="Q72" s="13" t="n">
        <v>-0.044303977039403</v>
      </c>
      <c r="R72" s="15" t="n">
        <v>0.133898305084746</v>
      </c>
      <c r="S72" s="32" t="n">
        <v>156926252910</v>
      </c>
      <c r="T72" s="15" t="n">
        <v>0.0686900958466454</v>
      </c>
      <c r="U72" s="32" t="n">
        <v>15339037345.5</v>
      </c>
      <c r="V72" s="14" t="n">
        <v>9.01270216858852</v>
      </c>
      <c r="W72" s="13" t="n">
        <v>0.115</v>
      </c>
      <c r="X72" s="15" t="n">
        <v>0.014947683109118</v>
      </c>
      <c r="Y72" s="13" t="n">
        <v>0.0103769452010436</v>
      </c>
      <c r="Z72" s="13" t="n">
        <v>-0.000384425491178897</v>
      </c>
      <c r="AA72" s="30" t="s">
        <v>97</v>
      </c>
      <c r="AB72" s="28" t="s">
        <v>94</v>
      </c>
      <c r="AC72" s="28" t="s">
        <v>102</v>
      </c>
      <c r="AD72" s="28" t="s">
        <v>109</v>
      </c>
      <c r="AE72" s="28" t="s">
        <v>101</v>
      </c>
      <c r="AF72" s="28" t="s">
        <v>119</v>
      </c>
      <c r="AG72" s="30" t="s">
        <v>122</v>
      </c>
    </row>
    <row r="73" customFormat="false" ht="15" hidden="false" customHeight="false" outlineLevel="0" collapsed="false">
      <c r="A73" s="10" t="n">
        <v>2024</v>
      </c>
      <c r="B73" s="28" t="s">
        <v>52</v>
      </c>
      <c r="C73" s="29" t="n">
        <v>45350</v>
      </c>
      <c r="D73" s="30" t="s">
        <v>127</v>
      </c>
      <c r="E73" s="28" t="s">
        <v>379</v>
      </c>
      <c r="F73" s="30" t="s">
        <v>380</v>
      </c>
      <c r="G73" s="31" t="n">
        <v>26026</v>
      </c>
      <c r="H73" s="31" t="n">
        <v>3</v>
      </c>
      <c r="I73" s="31" t="n">
        <v>78078</v>
      </c>
      <c r="J73" s="29" t="n">
        <v>45351</v>
      </c>
      <c r="K73" s="31" t="n">
        <v>24775</v>
      </c>
      <c r="L73" s="30" t="s">
        <v>32</v>
      </c>
      <c r="M73" s="10" t="n">
        <v>1</v>
      </c>
      <c r="N73" s="12" t="n">
        <v>-3909</v>
      </c>
      <c r="O73" s="13" t="n">
        <v>-0.0500659163913009</v>
      </c>
      <c r="P73" s="15" t="n">
        <v>-0.00676246830092975</v>
      </c>
      <c r="Q73" s="13" t="n">
        <v>-0.0567125182509797</v>
      </c>
      <c r="R73" s="15" t="n">
        <v>0.0855949895615866</v>
      </c>
      <c r="S73" s="32" t="n">
        <v>68221244000</v>
      </c>
      <c r="T73" s="15" t="n">
        <v>0.0633946830265848</v>
      </c>
      <c r="U73" s="32" t="n">
        <v>23273084937.5</v>
      </c>
      <c r="V73" s="14" t="n">
        <v>2.64387108995571</v>
      </c>
      <c r="W73" s="13" t="n">
        <v>0.0788381742738589</v>
      </c>
      <c r="X73" s="15" t="n">
        <v>0.0134615384615384</v>
      </c>
      <c r="Y73" s="13" t="n">
        <v>0.0103769452010436</v>
      </c>
      <c r="Z73" s="13" t="n">
        <v>-0.000384425491178897</v>
      </c>
      <c r="AA73" s="30" t="s">
        <v>97</v>
      </c>
      <c r="AB73" s="28" t="s">
        <v>94</v>
      </c>
      <c r="AC73" s="28" t="s">
        <v>101</v>
      </c>
      <c r="AD73" s="28" t="s">
        <v>108</v>
      </c>
      <c r="AE73" s="28" t="s">
        <v>101</v>
      </c>
      <c r="AF73" s="28" t="s">
        <v>117</v>
      </c>
      <c r="AG73" s="30" t="s">
        <v>122</v>
      </c>
    </row>
    <row r="74" customFormat="false" ht="15" hidden="false" customHeight="false" outlineLevel="0" collapsed="false">
      <c r="A74" s="10" t="n">
        <v>2024</v>
      </c>
      <c r="B74" s="28" t="s">
        <v>52</v>
      </c>
      <c r="C74" s="29" t="n">
        <v>45350</v>
      </c>
      <c r="D74" s="30" t="s">
        <v>127</v>
      </c>
      <c r="E74" s="28" t="s">
        <v>1215</v>
      </c>
      <c r="F74" s="30" t="s">
        <v>1216</v>
      </c>
      <c r="G74" s="31" t="n">
        <v>29329</v>
      </c>
      <c r="H74" s="31" t="n">
        <v>3</v>
      </c>
      <c r="I74" s="31" t="n">
        <v>87988</v>
      </c>
      <c r="J74" s="29" t="n">
        <v>45357</v>
      </c>
      <c r="K74" s="31" t="n">
        <v>27922</v>
      </c>
      <c r="L74" s="30" t="s">
        <v>32</v>
      </c>
      <c r="M74" s="10" t="n">
        <v>4</v>
      </c>
      <c r="N74" s="12" t="n">
        <v>-4398</v>
      </c>
      <c r="O74" s="13" t="n">
        <v>-0.0499874662027392</v>
      </c>
      <c r="P74" s="15" t="n">
        <v>-0.00270378086077727</v>
      </c>
      <c r="Q74" s="13" t="n">
        <v>-0.0538471767140708</v>
      </c>
      <c r="R74" s="15" t="n">
        <v>0.0596745027124774</v>
      </c>
      <c r="S74" s="32" t="n">
        <v>40647890000</v>
      </c>
      <c r="T74" s="15" t="n">
        <v>0.013840830449827</v>
      </c>
      <c r="U74" s="32" t="n">
        <v>11192893120</v>
      </c>
      <c r="V74" s="14" t="n">
        <v>3.45660082315088</v>
      </c>
      <c r="W74" s="13" t="n">
        <v>0.013840830449827</v>
      </c>
      <c r="X74" s="15" t="n">
        <v>0.0170648464163823</v>
      </c>
      <c r="Y74" s="13" t="n">
        <v>0.0103769452010436</v>
      </c>
      <c r="Z74" s="13" t="n">
        <v>-0.000384425491178897</v>
      </c>
      <c r="AA74" s="30" t="s">
        <v>97</v>
      </c>
      <c r="AB74" s="28" t="s">
        <v>94</v>
      </c>
      <c r="AC74" s="28" t="s">
        <v>101</v>
      </c>
      <c r="AD74" s="28" t="s">
        <v>107</v>
      </c>
      <c r="AE74" s="28" t="s">
        <v>112</v>
      </c>
      <c r="AF74" s="28" t="s">
        <v>118</v>
      </c>
      <c r="AG74" s="30" t="s">
        <v>122</v>
      </c>
    </row>
    <row r="75" customFormat="false" ht="15" hidden="false" customHeight="false" outlineLevel="0" collapsed="false">
      <c r="A75" s="10" t="n">
        <v>2024</v>
      </c>
      <c r="B75" s="28" t="s">
        <v>52</v>
      </c>
      <c r="C75" s="29" t="n">
        <v>45350</v>
      </c>
      <c r="D75" s="30" t="s">
        <v>127</v>
      </c>
      <c r="E75" s="28" t="s">
        <v>1217</v>
      </c>
      <c r="F75" s="30" t="s">
        <v>1218</v>
      </c>
      <c r="G75" s="31" t="n">
        <v>27392</v>
      </c>
      <c r="H75" s="31" t="n">
        <v>3</v>
      </c>
      <c r="I75" s="31" t="n">
        <v>82176</v>
      </c>
      <c r="J75" s="29" t="n">
        <v>45356</v>
      </c>
      <c r="K75" s="31" t="n">
        <v>26074</v>
      </c>
      <c r="L75" s="30" t="s">
        <v>32</v>
      </c>
      <c r="M75" s="10" t="n">
        <v>3</v>
      </c>
      <c r="N75" s="12" t="n">
        <v>-4119</v>
      </c>
      <c r="O75" s="13" t="n">
        <v>-0.0501212392267422</v>
      </c>
      <c r="P75" s="15" t="n">
        <v>-0.00988691024278199</v>
      </c>
      <c r="Q75" s="13" t="n">
        <v>-0.0543264564616878</v>
      </c>
      <c r="R75" s="15" t="n">
        <v>0.0369003690036902</v>
      </c>
      <c r="S75" s="32" t="n">
        <v>33775862800</v>
      </c>
      <c r="T75" s="15" t="n">
        <v>0.0126126126126127</v>
      </c>
      <c r="U75" s="32" t="n">
        <v>7396002125</v>
      </c>
      <c r="V75" s="14" t="n">
        <v>4.40177713455364</v>
      </c>
      <c r="W75" s="13" t="n">
        <v>0.0524344569288391</v>
      </c>
      <c r="X75" s="15" t="n">
        <v>0.0427046263345197</v>
      </c>
      <c r="Y75" s="13" t="n">
        <v>0.0103769452010436</v>
      </c>
      <c r="Z75" s="13" t="n">
        <v>-0.000384425491178897</v>
      </c>
      <c r="AA75" s="30" t="s">
        <v>97</v>
      </c>
      <c r="AB75" s="28" t="s">
        <v>94</v>
      </c>
      <c r="AC75" s="28" t="s">
        <v>100</v>
      </c>
      <c r="AD75" s="28" t="s">
        <v>107</v>
      </c>
      <c r="AE75" s="28" t="s">
        <v>112</v>
      </c>
      <c r="AF75" s="28" t="s">
        <v>118</v>
      </c>
      <c r="AG75" s="30" t="s">
        <v>122</v>
      </c>
    </row>
    <row r="76" customFormat="false" ht="15" hidden="false" customHeight="false" outlineLevel="0" collapsed="false">
      <c r="A76" s="10" t="n">
        <v>2024</v>
      </c>
      <c r="B76" s="28" t="s">
        <v>52</v>
      </c>
      <c r="C76" s="29" t="n">
        <v>45350</v>
      </c>
      <c r="D76" s="30" t="s">
        <v>127</v>
      </c>
      <c r="E76" s="28" t="s">
        <v>1219</v>
      </c>
      <c r="F76" s="30" t="s">
        <v>1220</v>
      </c>
      <c r="G76" s="31" t="n">
        <v>8068</v>
      </c>
      <c r="H76" s="31" t="n">
        <v>12</v>
      </c>
      <c r="I76" s="31" t="n">
        <v>96817</v>
      </c>
      <c r="J76" s="29" t="n">
        <v>45362</v>
      </c>
      <c r="K76" s="31" t="n">
        <v>7672</v>
      </c>
      <c r="L76" s="30" t="s">
        <v>32</v>
      </c>
      <c r="M76" s="10" t="n">
        <v>7</v>
      </c>
      <c r="N76" s="12" t="n">
        <v>-4943</v>
      </c>
      <c r="O76" s="13" t="n">
        <v>-0.0510545574772624</v>
      </c>
      <c r="P76" s="15" t="n">
        <v>0.0386635696809394</v>
      </c>
      <c r="Q76" s="13" t="n">
        <v>-0.0518166696826746</v>
      </c>
      <c r="R76" s="15" t="n">
        <v>0.071808510638298</v>
      </c>
      <c r="S76" s="32" t="n">
        <v>32667599120</v>
      </c>
      <c r="T76" s="15" t="n">
        <v>0.00750000000000006</v>
      </c>
      <c r="U76" s="32" t="n">
        <v>3923634954</v>
      </c>
      <c r="V76" s="14" t="n">
        <v>8.05879164015979</v>
      </c>
      <c r="W76" s="13" t="n">
        <v>0.071808510638298</v>
      </c>
      <c r="X76" s="15" t="n">
        <v>0.0533498759305211</v>
      </c>
      <c r="Y76" s="13" t="n">
        <v>0.0103769452010436</v>
      </c>
      <c r="Z76" s="13" t="n">
        <v>-0.000384425491178897</v>
      </c>
      <c r="AA76" s="30" t="s">
        <v>97</v>
      </c>
      <c r="AB76" s="28" t="s">
        <v>94</v>
      </c>
      <c r="AC76" s="28" t="s">
        <v>101</v>
      </c>
      <c r="AD76" s="28" t="s">
        <v>107</v>
      </c>
      <c r="AE76" s="28" t="s">
        <v>112</v>
      </c>
      <c r="AF76" s="28" t="s">
        <v>119</v>
      </c>
      <c r="AG76" s="30" t="s">
        <v>122</v>
      </c>
    </row>
    <row r="77" customFormat="false" ht="15" hidden="false" customHeight="false" outlineLevel="0" collapsed="false">
      <c r="A77" s="10" t="n">
        <v>2024</v>
      </c>
      <c r="B77" s="28" t="s">
        <v>52</v>
      </c>
      <c r="C77" s="29" t="n">
        <v>45350</v>
      </c>
      <c r="D77" s="30" t="s">
        <v>127</v>
      </c>
      <c r="E77" s="28" t="s">
        <v>595</v>
      </c>
      <c r="F77" s="30" t="s">
        <v>596</v>
      </c>
      <c r="G77" s="31" t="n">
        <v>27114</v>
      </c>
      <c r="H77" s="31" t="n">
        <v>3</v>
      </c>
      <c r="I77" s="31" t="n">
        <v>81343</v>
      </c>
      <c r="J77" s="29" t="n">
        <v>45351</v>
      </c>
      <c r="K77" s="31" t="n">
        <v>32550</v>
      </c>
      <c r="L77" s="30" t="s">
        <v>31</v>
      </c>
      <c r="M77" s="10" t="n">
        <v>1</v>
      </c>
      <c r="N77" s="12" t="n">
        <v>16105</v>
      </c>
      <c r="O77" s="13" t="n">
        <v>0.197988106581684</v>
      </c>
      <c r="P77" s="15" t="n">
        <v>0.219029638212587</v>
      </c>
      <c r="Q77" s="13" t="n">
        <v>0.013196395079166</v>
      </c>
      <c r="R77" s="15" t="n">
        <v>0.0826923076923076</v>
      </c>
      <c r="S77" s="32" t="n">
        <v>31164634170</v>
      </c>
      <c r="T77" s="15" t="n">
        <v>0.0125899280575539</v>
      </c>
      <c r="U77" s="32" t="n">
        <v>6667489276.25</v>
      </c>
      <c r="V77" s="14" t="n">
        <v>4.16032026172896</v>
      </c>
      <c r="W77" s="13" t="n">
        <v>0.0622641509433961</v>
      </c>
      <c r="X77" s="15" t="n">
        <v>0.0870337477797514</v>
      </c>
      <c r="Y77" s="13" t="n">
        <v>0.0103769452010436</v>
      </c>
      <c r="Z77" s="13" t="n">
        <v>-0.000384425491178897</v>
      </c>
      <c r="AA77" s="30" t="s">
        <v>97</v>
      </c>
      <c r="AB77" s="28" t="s">
        <v>94</v>
      </c>
      <c r="AC77" s="28" t="s">
        <v>101</v>
      </c>
      <c r="AD77" s="28" t="s">
        <v>107</v>
      </c>
      <c r="AE77" s="28" t="s">
        <v>112</v>
      </c>
      <c r="AF77" s="28" t="s">
        <v>118</v>
      </c>
      <c r="AG77" s="30" t="s">
        <v>122</v>
      </c>
    </row>
    <row r="78" customFormat="false" ht="15" hidden="false" customHeight="false" outlineLevel="0" collapsed="false">
      <c r="A78" s="10" t="n">
        <v>2024</v>
      </c>
      <c r="B78" s="28" t="s">
        <v>52</v>
      </c>
      <c r="C78" s="29" t="n">
        <v>45350</v>
      </c>
      <c r="D78" s="30" t="s">
        <v>127</v>
      </c>
      <c r="E78" s="28" t="s">
        <v>1221</v>
      </c>
      <c r="F78" s="30" t="s">
        <v>1222</v>
      </c>
      <c r="G78" s="31" t="n">
        <v>5475</v>
      </c>
      <c r="H78" s="31" t="n">
        <v>18</v>
      </c>
      <c r="I78" s="31" t="n">
        <v>98558</v>
      </c>
      <c r="J78" s="29" t="n">
        <v>45351</v>
      </c>
      <c r="K78" s="31" t="n">
        <v>5205</v>
      </c>
      <c r="L78" s="30" t="s">
        <v>32</v>
      </c>
      <c r="M78" s="10" t="n">
        <v>1</v>
      </c>
      <c r="N78" s="12" t="n">
        <v>-5070</v>
      </c>
      <c r="O78" s="13" t="n">
        <v>-0.0514386273689748</v>
      </c>
      <c r="P78" s="15" t="n">
        <v>0.044659179942544</v>
      </c>
      <c r="Q78" s="13" t="n">
        <v>-0.0503098364158692</v>
      </c>
      <c r="R78" s="15" t="n">
        <v>0.163829787234043</v>
      </c>
      <c r="S78" s="32" t="n">
        <v>30076565260</v>
      </c>
      <c r="T78" s="15" t="n">
        <v>0.0725490196078431</v>
      </c>
      <c r="U78" s="32" t="n">
        <v>3128969293</v>
      </c>
      <c r="V78" s="14" t="n">
        <v>8.23124118589162</v>
      </c>
      <c r="W78" s="13" t="n">
        <v>0.181425485961123</v>
      </c>
      <c r="X78" s="15" t="n">
        <v>0.00548446069469843</v>
      </c>
      <c r="Y78" s="13" t="n">
        <v>0.0103769452010436</v>
      </c>
      <c r="Z78" s="13" t="n">
        <v>-0.000384425491178897</v>
      </c>
      <c r="AA78" s="30" t="s">
        <v>97</v>
      </c>
      <c r="AB78" s="28" t="s">
        <v>94</v>
      </c>
      <c r="AC78" s="28" t="s">
        <v>103</v>
      </c>
      <c r="AD78" s="28" t="s">
        <v>107</v>
      </c>
      <c r="AE78" s="28" t="s">
        <v>101</v>
      </c>
      <c r="AF78" s="28" t="s">
        <v>119</v>
      </c>
      <c r="AG78" s="30" t="s">
        <v>122</v>
      </c>
    </row>
    <row r="79" customFormat="false" ht="15" hidden="false" customHeight="false" outlineLevel="0" collapsed="false">
      <c r="A79" s="10" t="n">
        <v>2024</v>
      </c>
      <c r="B79" s="28" t="s">
        <v>52</v>
      </c>
      <c r="C79" s="29" t="n">
        <v>45350</v>
      </c>
      <c r="D79" s="30" t="s">
        <v>127</v>
      </c>
      <c r="E79" s="28" t="s">
        <v>1223</v>
      </c>
      <c r="F79" s="30" t="s">
        <v>1224</v>
      </c>
      <c r="G79" s="31" t="n">
        <v>74875</v>
      </c>
      <c r="H79" s="31" t="n">
        <v>1</v>
      </c>
      <c r="I79" s="31" t="n">
        <v>74875</v>
      </c>
      <c r="J79" s="29" t="n">
        <v>45365</v>
      </c>
      <c r="K79" s="31" t="n">
        <v>71229</v>
      </c>
      <c r="L79" s="30" t="s">
        <v>32</v>
      </c>
      <c r="M79" s="10" t="n">
        <v>10</v>
      </c>
      <c r="N79" s="12" t="n">
        <v>-3796</v>
      </c>
      <c r="O79" s="13" t="n">
        <v>-0.0507009993348897</v>
      </c>
      <c r="P79" s="15" t="n">
        <v>0.0404034468205592</v>
      </c>
      <c r="Q79" s="13" t="n">
        <v>-0.0570926399803404</v>
      </c>
      <c r="R79" s="15" t="n">
        <v>0.0840579710144929</v>
      </c>
      <c r="S79" s="32" t="n">
        <v>29204388400</v>
      </c>
      <c r="T79" s="15" t="n">
        <v>0.0121786197564275</v>
      </c>
      <c r="U79" s="32" t="n">
        <v>7034711460</v>
      </c>
      <c r="V79" s="14" t="n">
        <v>3.94318217396003</v>
      </c>
      <c r="W79" s="13" t="n">
        <v>0.0856313497822931</v>
      </c>
      <c r="X79" s="15" t="n">
        <v>0.0267379679144386</v>
      </c>
      <c r="Y79" s="13" t="n">
        <v>0.0103769452010436</v>
      </c>
      <c r="Z79" s="13" t="n">
        <v>-0.000384425491178897</v>
      </c>
      <c r="AA79" s="30" t="s">
        <v>97</v>
      </c>
      <c r="AB79" s="28" t="s">
        <v>94</v>
      </c>
      <c r="AC79" s="28" t="s">
        <v>101</v>
      </c>
      <c r="AD79" s="28" t="s">
        <v>106</v>
      </c>
      <c r="AE79" s="28" t="s">
        <v>112</v>
      </c>
      <c r="AF79" s="28" t="s">
        <v>118</v>
      </c>
      <c r="AG79" s="30" t="s">
        <v>122</v>
      </c>
    </row>
    <row r="80" customFormat="false" ht="15" hidden="false" customHeight="false" outlineLevel="0" collapsed="false">
      <c r="A80" s="10" t="n">
        <v>2024</v>
      </c>
      <c r="B80" s="28" t="s">
        <v>52</v>
      </c>
      <c r="C80" s="29" t="n">
        <v>45351</v>
      </c>
      <c r="D80" s="30" t="s">
        <v>128</v>
      </c>
      <c r="E80" s="28" t="s">
        <v>1225</v>
      </c>
      <c r="F80" s="30" t="s">
        <v>1226</v>
      </c>
      <c r="G80" s="31" t="n">
        <v>32833</v>
      </c>
      <c r="H80" s="31" t="n">
        <v>3</v>
      </c>
      <c r="I80" s="31" t="n">
        <v>98498</v>
      </c>
      <c r="J80" s="29" t="n">
        <v>45380</v>
      </c>
      <c r="K80" s="31" t="n">
        <v>39400</v>
      </c>
      <c r="L80" s="30" t="s">
        <v>31</v>
      </c>
      <c r="M80" s="10" t="n">
        <v>20</v>
      </c>
      <c r="N80" s="12" t="n">
        <v>19456</v>
      </c>
      <c r="O80" s="13" t="n">
        <v>0.19752945469165</v>
      </c>
      <c r="P80" s="15" t="n">
        <v>0.321848882824493</v>
      </c>
      <c r="Q80" s="13" t="n">
        <v>-0.0238420116468896</v>
      </c>
      <c r="R80" s="15" t="n">
        <v>0.134948096885813</v>
      </c>
      <c r="S80" s="32" t="n">
        <v>75809229600</v>
      </c>
      <c r="T80" s="15" t="n">
        <v>0.0462519936204147</v>
      </c>
      <c r="U80" s="32" t="n">
        <v>6177190097.5</v>
      </c>
      <c r="V80" s="14" t="n">
        <v>11.2500748380213</v>
      </c>
      <c r="W80" s="13" t="n">
        <v>0.142857142857143</v>
      </c>
      <c r="X80" s="15" t="n">
        <v>0.0137195121951219</v>
      </c>
      <c r="Y80" s="13" t="n">
        <v>-0.00374393448680188</v>
      </c>
      <c r="Z80" s="13" t="n">
        <v>-0.00822364099734629</v>
      </c>
      <c r="AA80" s="30" t="s">
        <v>97</v>
      </c>
      <c r="AB80" s="28" t="s">
        <v>94</v>
      </c>
      <c r="AC80" s="28" t="s">
        <v>102</v>
      </c>
      <c r="AD80" s="28" t="s">
        <v>108</v>
      </c>
      <c r="AE80" s="28" t="s">
        <v>113</v>
      </c>
      <c r="AF80" s="28" t="s">
        <v>120</v>
      </c>
      <c r="AG80" s="30" t="s">
        <v>122</v>
      </c>
    </row>
    <row r="81" customFormat="false" ht="15" hidden="false" customHeight="false" outlineLevel="0" collapsed="false">
      <c r="A81" s="10" t="n">
        <v>2024</v>
      </c>
      <c r="B81" s="28" t="s">
        <v>52</v>
      </c>
      <c r="C81" s="29" t="n">
        <v>45351</v>
      </c>
      <c r="D81" s="30" t="s">
        <v>128</v>
      </c>
      <c r="E81" s="28" t="s">
        <v>1227</v>
      </c>
      <c r="F81" s="30" t="s">
        <v>1228</v>
      </c>
      <c r="G81" s="31" t="n">
        <v>8020</v>
      </c>
      <c r="H81" s="31" t="n">
        <v>12</v>
      </c>
      <c r="I81" s="31" t="n">
        <v>96246</v>
      </c>
      <c r="J81" s="29" t="n">
        <v>45355</v>
      </c>
      <c r="K81" s="31" t="n">
        <v>7632</v>
      </c>
      <c r="L81" s="30" t="s">
        <v>32</v>
      </c>
      <c r="M81" s="10" t="n">
        <v>1</v>
      </c>
      <c r="N81" s="12" t="n">
        <v>-4851</v>
      </c>
      <c r="O81" s="13" t="n">
        <v>-0.0503979648668922</v>
      </c>
      <c r="P81" s="15" t="n">
        <v>-0.000999000999000854</v>
      </c>
      <c r="Q81" s="13" t="n">
        <v>-0.0553048310692704</v>
      </c>
      <c r="R81" s="15" t="n">
        <v>0.0821078431372551</v>
      </c>
      <c r="S81" s="32" t="n">
        <v>46558161750</v>
      </c>
      <c r="T81" s="15" t="n">
        <v>0.0149425287356322</v>
      </c>
      <c r="U81" s="32" t="n">
        <v>22742454386.5</v>
      </c>
      <c r="V81" s="14" t="n">
        <v>1.8501269208349</v>
      </c>
      <c r="W81" s="13" t="n">
        <v>0.0807833537331701</v>
      </c>
      <c r="X81" s="15" t="n">
        <v>0</v>
      </c>
      <c r="Y81" s="13" t="n">
        <v>-0.00374393448680188</v>
      </c>
      <c r="Z81" s="13" t="n">
        <v>-0.00822364099734629</v>
      </c>
      <c r="AA81" s="30" t="s">
        <v>97</v>
      </c>
      <c r="AB81" s="28" t="s">
        <v>94</v>
      </c>
      <c r="AC81" s="28" t="s">
        <v>101</v>
      </c>
      <c r="AD81" s="28" t="s">
        <v>107</v>
      </c>
      <c r="AE81" s="28" t="s">
        <v>112</v>
      </c>
      <c r="AF81" s="28" t="s">
        <v>116</v>
      </c>
      <c r="AG81" s="30" t="s">
        <v>122</v>
      </c>
    </row>
    <row r="82" customFormat="false" ht="15" hidden="false" customHeight="false" outlineLevel="0" collapsed="false">
      <c r="A82" s="10" t="n">
        <v>2024</v>
      </c>
      <c r="B82" s="28" t="s">
        <v>52</v>
      </c>
      <c r="C82" s="29" t="n">
        <v>45351</v>
      </c>
      <c r="D82" s="30" t="s">
        <v>128</v>
      </c>
      <c r="E82" s="28" t="s">
        <v>709</v>
      </c>
      <c r="F82" s="30" t="s">
        <v>710</v>
      </c>
      <c r="G82" s="31" t="n">
        <v>12192</v>
      </c>
      <c r="H82" s="31" t="n">
        <v>8</v>
      </c>
      <c r="I82" s="31" t="n">
        <v>97532</v>
      </c>
      <c r="J82" s="29" t="n">
        <v>45355</v>
      </c>
      <c r="K82" s="31" t="n">
        <v>11598</v>
      </c>
      <c r="L82" s="30" t="s">
        <v>32</v>
      </c>
      <c r="M82" s="10" t="n">
        <v>1</v>
      </c>
      <c r="N82" s="12" t="n">
        <v>-4941</v>
      </c>
      <c r="O82" s="13" t="n">
        <v>-0.0506585748002003</v>
      </c>
      <c r="P82" s="15" t="n">
        <v>0.00515500926178558</v>
      </c>
      <c r="Q82" s="13" t="n">
        <v>-0.0481797463316969</v>
      </c>
      <c r="R82" s="15" t="n">
        <v>0.0428265524625267</v>
      </c>
      <c r="S82" s="32" t="n">
        <v>36154561015</v>
      </c>
      <c r="T82" s="15" t="n">
        <v>0.0145833333333334</v>
      </c>
      <c r="U82" s="32" t="n">
        <v>29557614664.6</v>
      </c>
      <c r="V82" s="14" t="n">
        <v>1.0567804655653</v>
      </c>
      <c r="W82" s="13" t="n">
        <v>0.0541125541125542</v>
      </c>
      <c r="X82" s="15" t="n">
        <v>0.0390143737166324</v>
      </c>
      <c r="Y82" s="13" t="n">
        <v>-0.00374393448680188</v>
      </c>
      <c r="Z82" s="13" t="n">
        <v>-0.00822364099734629</v>
      </c>
      <c r="AA82" s="30" t="s">
        <v>97</v>
      </c>
      <c r="AB82" s="28" t="s">
        <v>94</v>
      </c>
      <c r="AC82" s="28" t="s">
        <v>100</v>
      </c>
      <c r="AD82" s="28" t="s">
        <v>107</v>
      </c>
      <c r="AE82" s="28" t="s">
        <v>112</v>
      </c>
      <c r="AF82" s="28" t="s">
        <v>116</v>
      </c>
      <c r="AG82" s="30" t="s">
        <v>122</v>
      </c>
    </row>
    <row r="83" customFormat="false" ht="15" hidden="false" customHeight="false" outlineLevel="0" collapsed="false">
      <c r="A83" s="10" t="n">
        <v>2024</v>
      </c>
      <c r="B83" s="28" t="s">
        <v>52</v>
      </c>
      <c r="C83" s="29" t="n">
        <v>45351</v>
      </c>
      <c r="D83" s="30" t="s">
        <v>128</v>
      </c>
      <c r="E83" s="28" t="s">
        <v>1229</v>
      </c>
      <c r="F83" s="30" t="s">
        <v>1230</v>
      </c>
      <c r="G83" s="31" t="n">
        <v>10360</v>
      </c>
      <c r="H83" s="31" t="n">
        <v>9</v>
      </c>
      <c r="I83" s="31" t="n">
        <v>93243</v>
      </c>
      <c r="J83" s="29" t="n">
        <v>45358</v>
      </c>
      <c r="K83" s="31" t="n">
        <v>12440</v>
      </c>
      <c r="L83" s="30" t="s">
        <v>31</v>
      </c>
      <c r="M83" s="10" t="n">
        <v>4</v>
      </c>
      <c r="N83" s="12" t="n">
        <v>18485</v>
      </c>
      <c r="O83" s="13" t="n">
        <v>0.198240208824991</v>
      </c>
      <c r="P83" s="15" t="n">
        <v>0.273123012253447</v>
      </c>
      <c r="Q83" s="13" t="n">
        <v>0.0192705844879759</v>
      </c>
      <c r="R83" s="15" t="n">
        <v>0.0288270377733599</v>
      </c>
      <c r="S83" s="32" t="n">
        <v>22046959350</v>
      </c>
      <c r="T83" s="15" t="n">
        <v>0.00778967867575453</v>
      </c>
      <c r="U83" s="32" t="n">
        <v>4278497775</v>
      </c>
      <c r="V83" s="14" t="n">
        <v>4.62604285386668</v>
      </c>
      <c r="W83" s="13" t="n">
        <v>0.0288270377733599</v>
      </c>
      <c r="X83" s="15" t="n">
        <v>0.115942028985507</v>
      </c>
      <c r="Y83" s="13" t="n">
        <v>-0.00374393448680188</v>
      </c>
      <c r="Z83" s="13" t="n">
        <v>-0.00822364099734629</v>
      </c>
      <c r="AA83" s="30" t="s">
        <v>97</v>
      </c>
      <c r="AB83" s="28" t="s">
        <v>94</v>
      </c>
      <c r="AC83" s="28" t="s">
        <v>99</v>
      </c>
      <c r="AD83" s="28" t="s">
        <v>106</v>
      </c>
      <c r="AE83" s="28" t="s">
        <v>112</v>
      </c>
      <c r="AF83" s="28" t="s">
        <v>118</v>
      </c>
      <c r="AG83" s="30" t="s">
        <v>122</v>
      </c>
    </row>
    <row r="84" customFormat="false" ht="15" hidden="false" customHeight="false" outlineLevel="0" collapsed="false">
      <c r="A84" s="10" t="n">
        <v>2024</v>
      </c>
      <c r="B84" s="28" t="s">
        <v>53</v>
      </c>
      <c r="C84" s="29" t="n">
        <v>45355</v>
      </c>
      <c r="D84" s="30" t="s">
        <v>125</v>
      </c>
      <c r="E84" s="28" t="s">
        <v>215</v>
      </c>
      <c r="F84" s="30" t="s">
        <v>216</v>
      </c>
      <c r="G84" s="31" t="n">
        <v>35727</v>
      </c>
      <c r="H84" s="31" t="n">
        <v>2</v>
      </c>
      <c r="I84" s="31" t="n">
        <v>71454</v>
      </c>
      <c r="J84" s="29" t="n">
        <v>45365</v>
      </c>
      <c r="K84" s="31" t="n">
        <v>33858</v>
      </c>
      <c r="L84" s="30" t="s">
        <v>32</v>
      </c>
      <c r="M84" s="10" t="n">
        <v>8</v>
      </c>
      <c r="N84" s="12" t="n">
        <v>-3880</v>
      </c>
      <c r="O84" s="13" t="n">
        <v>-0.0543040079130681</v>
      </c>
      <c r="P84" s="15" t="n">
        <v>0.158242302656472</v>
      </c>
      <c r="Q84" s="13" t="n">
        <v>-0.0989936494023688</v>
      </c>
      <c r="R84" s="15" t="n">
        <v>0.201309328968904</v>
      </c>
      <c r="S84" s="32" t="n">
        <v>646484299200</v>
      </c>
      <c r="T84" s="15" t="n">
        <v>0.152276295133438</v>
      </c>
      <c r="U84" s="32" t="n">
        <v>58191476435</v>
      </c>
      <c r="V84" s="14" t="n">
        <v>9.10363111623432</v>
      </c>
      <c r="W84" s="13" t="n">
        <v>0.170653907496013</v>
      </c>
      <c r="X84" s="15" t="n">
        <v>0.0231607629427792</v>
      </c>
      <c r="Y84" s="13" t="n">
        <v>0.0120763257088359</v>
      </c>
      <c r="Z84" s="13" t="n">
        <v>0.00246279566667917</v>
      </c>
      <c r="AA84" s="30" t="s">
        <v>97</v>
      </c>
      <c r="AB84" s="28" t="s">
        <v>93</v>
      </c>
      <c r="AC84" s="28" t="s">
        <v>104</v>
      </c>
      <c r="AD84" s="28" t="s">
        <v>110</v>
      </c>
      <c r="AE84" s="28" t="s">
        <v>114</v>
      </c>
      <c r="AF84" s="28" t="s">
        <v>119</v>
      </c>
      <c r="AG84" s="30" t="s">
        <v>122</v>
      </c>
    </row>
    <row r="85" customFormat="false" ht="15" hidden="false" customHeight="false" outlineLevel="0" collapsed="false">
      <c r="A85" s="10" t="n">
        <v>2024</v>
      </c>
      <c r="B85" s="28" t="s">
        <v>53</v>
      </c>
      <c r="C85" s="29" t="n">
        <v>45355</v>
      </c>
      <c r="D85" s="30" t="s">
        <v>125</v>
      </c>
      <c r="E85" s="28" t="s">
        <v>713</v>
      </c>
      <c r="F85" s="30" t="s">
        <v>714</v>
      </c>
      <c r="G85" s="31" t="n">
        <v>23768</v>
      </c>
      <c r="H85" s="31" t="n">
        <v>4</v>
      </c>
      <c r="I85" s="31" t="n">
        <v>95073</v>
      </c>
      <c r="J85" s="29" t="n">
        <v>45369</v>
      </c>
      <c r="K85" s="31" t="n">
        <v>22627</v>
      </c>
      <c r="L85" s="30" t="s">
        <v>32</v>
      </c>
      <c r="M85" s="10" t="n">
        <v>10</v>
      </c>
      <c r="N85" s="12" t="n">
        <v>-4755</v>
      </c>
      <c r="O85" s="13" t="n">
        <v>-0.0500103216336637</v>
      </c>
      <c r="P85" s="15" t="n">
        <v>0.0685285410560137</v>
      </c>
      <c r="Q85" s="13" t="n">
        <v>-0.0558891657792756</v>
      </c>
      <c r="R85" s="15" t="n">
        <v>0.0540540540540542</v>
      </c>
      <c r="S85" s="32" t="n">
        <v>93316860000</v>
      </c>
      <c r="T85" s="15" t="n">
        <v>0.0224719101123596</v>
      </c>
      <c r="U85" s="32" t="n">
        <v>29061156407.5</v>
      </c>
      <c r="V85" s="14" t="n">
        <v>3.01004139665498</v>
      </c>
      <c r="W85" s="13" t="n">
        <v>0.0224719101123596</v>
      </c>
      <c r="X85" s="15" t="n">
        <v>0.0293040293040292</v>
      </c>
      <c r="Y85" s="13" t="n">
        <v>0.0120763257088359</v>
      </c>
      <c r="Z85" s="13" t="n">
        <v>0.00246279566667917</v>
      </c>
      <c r="AA85" s="30" t="s">
        <v>97</v>
      </c>
      <c r="AB85" s="28" t="s">
        <v>93</v>
      </c>
      <c r="AC85" s="28" t="s">
        <v>101</v>
      </c>
      <c r="AD85" s="28" t="s">
        <v>108</v>
      </c>
      <c r="AE85" s="28" t="s">
        <v>113</v>
      </c>
      <c r="AF85" s="28" t="s">
        <v>118</v>
      </c>
      <c r="AG85" s="30" t="s">
        <v>122</v>
      </c>
    </row>
    <row r="86" customFormat="false" ht="15" hidden="false" customHeight="false" outlineLevel="0" collapsed="false">
      <c r="A86" s="10" t="n">
        <v>2024</v>
      </c>
      <c r="B86" s="28" t="s">
        <v>53</v>
      </c>
      <c r="C86" s="29" t="n">
        <v>45355</v>
      </c>
      <c r="D86" s="30" t="s">
        <v>125</v>
      </c>
      <c r="E86" s="28" t="s">
        <v>209</v>
      </c>
      <c r="F86" s="30" t="s">
        <v>210</v>
      </c>
      <c r="G86" s="31" t="n">
        <v>11972</v>
      </c>
      <c r="H86" s="31" t="n">
        <v>8</v>
      </c>
      <c r="I86" s="31" t="n">
        <v>95776</v>
      </c>
      <c r="J86" s="29" t="n">
        <v>45365</v>
      </c>
      <c r="K86" s="31" t="n">
        <v>14370</v>
      </c>
      <c r="L86" s="30" t="s">
        <v>31</v>
      </c>
      <c r="M86" s="10" t="n">
        <v>8</v>
      </c>
      <c r="N86" s="12" t="n">
        <v>18946</v>
      </c>
      <c r="O86" s="13" t="n">
        <v>0.197814117821977</v>
      </c>
      <c r="P86" s="15" t="n">
        <v>0.217845699451051</v>
      </c>
      <c r="Q86" s="13" t="n">
        <v>-0.00851656704499504</v>
      </c>
      <c r="R86" s="15" t="n">
        <v>0.144497607655503</v>
      </c>
      <c r="S86" s="32" t="n">
        <v>65062160800</v>
      </c>
      <c r="T86" s="15" t="n">
        <v>0.00335570469798663</v>
      </c>
      <c r="U86" s="32" t="n">
        <v>6290474993</v>
      </c>
      <c r="V86" s="14" t="n">
        <v>9.53804400473432</v>
      </c>
      <c r="W86" s="13" t="n">
        <v>0.128301886792453</v>
      </c>
      <c r="X86" s="15" t="n">
        <v>0.0409698996655519</v>
      </c>
      <c r="Y86" s="13" t="n">
        <v>0.0120763257088359</v>
      </c>
      <c r="Z86" s="13" t="n">
        <v>0.00246279566667917</v>
      </c>
      <c r="AA86" s="30" t="s">
        <v>97</v>
      </c>
      <c r="AB86" s="28" t="s">
        <v>93</v>
      </c>
      <c r="AC86" s="28" t="s">
        <v>102</v>
      </c>
      <c r="AD86" s="28" t="s">
        <v>108</v>
      </c>
      <c r="AE86" s="28" t="s">
        <v>112</v>
      </c>
      <c r="AF86" s="28" t="s">
        <v>119</v>
      </c>
      <c r="AG86" s="30" t="s">
        <v>122</v>
      </c>
    </row>
    <row r="87" customFormat="false" ht="15" hidden="false" customHeight="false" outlineLevel="0" collapsed="false">
      <c r="A87" s="10" t="n">
        <v>2024</v>
      </c>
      <c r="B87" s="28" t="s">
        <v>53</v>
      </c>
      <c r="C87" s="29" t="n">
        <v>45356</v>
      </c>
      <c r="D87" s="30" t="s">
        <v>126</v>
      </c>
      <c r="E87" s="28" t="s">
        <v>1231</v>
      </c>
      <c r="F87" s="30" t="s">
        <v>1232</v>
      </c>
      <c r="G87" s="31" t="n">
        <v>28629</v>
      </c>
      <c r="H87" s="31" t="n">
        <v>3</v>
      </c>
      <c r="I87" s="31" t="n">
        <v>85886</v>
      </c>
      <c r="J87" s="29" t="n">
        <v>45357</v>
      </c>
      <c r="K87" s="31" t="n">
        <v>34400</v>
      </c>
      <c r="L87" s="30" t="s">
        <v>31</v>
      </c>
      <c r="M87" s="10" t="n">
        <v>1</v>
      </c>
      <c r="N87" s="12" t="n">
        <v>17100</v>
      </c>
      <c r="O87" s="13" t="n">
        <v>0.199102495755992</v>
      </c>
      <c r="P87" s="15" t="n">
        <v>0.222553670106118</v>
      </c>
      <c r="Q87" s="13" t="n">
        <v>0.019959061917104</v>
      </c>
      <c r="R87" s="15" t="n">
        <v>0.164969450101833</v>
      </c>
      <c r="S87" s="32" t="n">
        <v>44061617600</v>
      </c>
      <c r="T87" s="15" t="n">
        <v>0.055350553505535</v>
      </c>
      <c r="U87" s="32" t="n">
        <v>4117916337.5</v>
      </c>
      <c r="V87" s="14" t="n">
        <v>9.68040724395586</v>
      </c>
      <c r="W87" s="13" t="n">
        <v>0.160243407707911</v>
      </c>
      <c r="X87" s="15" t="n">
        <v>0</v>
      </c>
      <c r="Y87" s="13" t="n">
        <v>-0.00929973413305307</v>
      </c>
      <c r="Z87" s="13" t="n">
        <v>0.000876437432945076</v>
      </c>
      <c r="AA87" s="30" t="s">
        <v>97</v>
      </c>
      <c r="AB87" s="28" t="s">
        <v>93</v>
      </c>
      <c r="AC87" s="28" t="s">
        <v>103</v>
      </c>
      <c r="AD87" s="28" t="s">
        <v>107</v>
      </c>
      <c r="AE87" s="28" t="s">
        <v>101</v>
      </c>
      <c r="AF87" s="28" t="s">
        <v>119</v>
      </c>
      <c r="AG87" s="30" t="s">
        <v>122</v>
      </c>
    </row>
    <row r="88" customFormat="false" ht="15" hidden="false" customHeight="false" outlineLevel="0" collapsed="false">
      <c r="A88" s="10" t="n">
        <v>2024</v>
      </c>
      <c r="B88" s="28" t="s">
        <v>53</v>
      </c>
      <c r="C88" s="29" t="n">
        <v>45357</v>
      </c>
      <c r="D88" s="30" t="s">
        <v>127</v>
      </c>
      <c r="E88" s="28" t="s">
        <v>1233</v>
      </c>
      <c r="F88" s="30" t="s">
        <v>1234</v>
      </c>
      <c r="G88" s="31" t="n">
        <v>38568</v>
      </c>
      <c r="H88" s="31" t="n">
        <v>2</v>
      </c>
      <c r="I88" s="31" t="n">
        <v>77136</v>
      </c>
      <c r="J88" s="29" t="n">
        <v>45362</v>
      </c>
      <c r="K88" s="31" t="n">
        <v>36713</v>
      </c>
      <c r="L88" s="30" t="s">
        <v>32</v>
      </c>
      <c r="M88" s="10" t="n">
        <v>3</v>
      </c>
      <c r="N88" s="12" t="n">
        <v>-3864</v>
      </c>
      <c r="O88" s="13" t="n">
        <v>-0.0500972846533284</v>
      </c>
      <c r="P88" s="15" t="n">
        <v>0.0820445063621242</v>
      </c>
      <c r="Q88" s="13" t="n">
        <v>-0.0505772143489266</v>
      </c>
      <c r="R88" s="15" t="n">
        <v>0.0346598202824133</v>
      </c>
      <c r="S88" s="32" t="n">
        <v>44634426200</v>
      </c>
      <c r="T88" s="15" t="n">
        <v>0.00498753117206974</v>
      </c>
      <c r="U88" s="32" t="n">
        <v>26358492875</v>
      </c>
      <c r="V88" s="14" t="n">
        <v>1.54121841604286</v>
      </c>
      <c r="W88" s="13" t="n">
        <v>0.0619235836627141</v>
      </c>
      <c r="X88" s="15" t="n">
        <v>0.0173697270471465</v>
      </c>
      <c r="Y88" s="13" t="n">
        <v>-0.00298558164112639</v>
      </c>
      <c r="Z88" s="13" t="n">
        <v>0.00626273785261211</v>
      </c>
      <c r="AA88" s="30" t="s">
        <v>97</v>
      </c>
      <c r="AB88" s="28" t="s">
        <v>93</v>
      </c>
      <c r="AC88" s="28" t="s">
        <v>100</v>
      </c>
      <c r="AD88" s="28" t="s">
        <v>107</v>
      </c>
      <c r="AE88" s="28" t="s">
        <v>112</v>
      </c>
      <c r="AF88" s="28" t="s">
        <v>116</v>
      </c>
      <c r="AG88" s="30" t="s">
        <v>122</v>
      </c>
    </row>
    <row r="89" customFormat="false" ht="15" hidden="false" customHeight="false" outlineLevel="0" collapsed="false">
      <c r="A89" s="10" t="n">
        <v>2024</v>
      </c>
      <c r="B89" s="28" t="s">
        <v>53</v>
      </c>
      <c r="C89" s="29" t="n">
        <v>45357</v>
      </c>
      <c r="D89" s="30" t="s">
        <v>127</v>
      </c>
      <c r="E89" s="28" t="s">
        <v>1235</v>
      </c>
      <c r="F89" s="30" t="s">
        <v>1236</v>
      </c>
      <c r="G89" s="31" t="n">
        <v>18647</v>
      </c>
      <c r="H89" s="31" t="n">
        <v>5</v>
      </c>
      <c r="I89" s="31" t="n">
        <v>93233</v>
      </c>
      <c r="J89" s="29" t="n">
        <v>45358</v>
      </c>
      <c r="K89" s="31" t="n">
        <v>22400</v>
      </c>
      <c r="L89" s="30" t="s">
        <v>31</v>
      </c>
      <c r="M89" s="10" t="n">
        <v>1</v>
      </c>
      <c r="N89" s="12" t="n">
        <v>18534</v>
      </c>
      <c r="O89" s="13" t="n">
        <v>0.198793590628321</v>
      </c>
      <c r="P89" s="15" t="n">
        <v>0.29813689135723</v>
      </c>
      <c r="Q89" s="13" t="n">
        <v>0.0826359054402197</v>
      </c>
      <c r="R89" s="15" t="n">
        <v>0.0610354223433243</v>
      </c>
      <c r="S89" s="32" t="n">
        <v>35717948640</v>
      </c>
      <c r="T89" s="15" t="n">
        <v>0.00880829015544027</v>
      </c>
      <c r="U89" s="32" t="n">
        <v>9841806864.5</v>
      </c>
      <c r="V89" s="14" t="n">
        <v>3.34679461451454</v>
      </c>
      <c r="W89" s="13" t="n">
        <v>0.0524324324324323</v>
      </c>
      <c r="X89" s="15" t="n">
        <v>0.00667693888032872</v>
      </c>
      <c r="Y89" s="13" t="n">
        <v>-0.00298558164112639</v>
      </c>
      <c r="Z89" s="13" t="n">
        <v>0.00626273785261211</v>
      </c>
      <c r="AA89" s="30" t="s">
        <v>97</v>
      </c>
      <c r="AB89" s="28" t="s">
        <v>93</v>
      </c>
      <c r="AC89" s="28" t="s">
        <v>101</v>
      </c>
      <c r="AD89" s="28" t="s">
        <v>107</v>
      </c>
      <c r="AE89" s="28" t="s">
        <v>112</v>
      </c>
      <c r="AF89" s="28" t="s">
        <v>118</v>
      </c>
      <c r="AG89" s="30" t="s">
        <v>122</v>
      </c>
    </row>
    <row r="90" customFormat="false" ht="15" hidden="false" customHeight="false" outlineLevel="0" collapsed="false">
      <c r="A90" s="10" t="n">
        <v>2024</v>
      </c>
      <c r="B90" s="28" t="s">
        <v>53</v>
      </c>
      <c r="C90" s="29" t="n">
        <v>45357</v>
      </c>
      <c r="D90" s="30" t="s">
        <v>127</v>
      </c>
      <c r="E90" s="28" t="s">
        <v>1237</v>
      </c>
      <c r="F90" s="28" t="s">
        <v>1238</v>
      </c>
      <c r="G90" s="31" t="n">
        <v>4570</v>
      </c>
      <c r="H90" s="31" t="n">
        <v>21</v>
      </c>
      <c r="I90" s="31" t="n">
        <v>95961</v>
      </c>
      <c r="J90" s="29" t="n">
        <v>45359</v>
      </c>
      <c r="K90" s="31" t="n">
        <v>4346</v>
      </c>
      <c r="L90" s="30" t="s">
        <v>32</v>
      </c>
      <c r="M90" s="10" t="n">
        <v>2</v>
      </c>
      <c r="N90" s="12" t="n">
        <v>-4895</v>
      </c>
      <c r="O90" s="13" t="n">
        <v>-0.0510058292747779</v>
      </c>
      <c r="P90" s="15" t="n">
        <v>0.0033777832244426</v>
      </c>
      <c r="Q90" s="13" t="n">
        <v>-0.0502378235127413</v>
      </c>
      <c r="R90" s="15" t="n">
        <v>0.0678362573099416</v>
      </c>
      <c r="S90" s="32" t="n">
        <v>29266488900</v>
      </c>
      <c r="T90" s="15" t="n">
        <v>0.00995575221238942</v>
      </c>
      <c r="U90" s="32" t="n">
        <v>9762961141</v>
      </c>
      <c r="V90" s="14" t="n">
        <v>2.78122089161914</v>
      </c>
      <c r="W90" s="13" t="n">
        <v>0.0703399765533412</v>
      </c>
      <c r="X90" s="15" t="n">
        <v>0.0251916757940853</v>
      </c>
      <c r="Y90" s="13" t="n">
        <v>-0.00298558164112639</v>
      </c>
      <c r="Z90" s="13" t="n">
        <v>0.00626273785261211</v>
      </c>
      <c r="AA90" s="30" t="s">
        <v>97</v>
      </c>
      <c r="AB90" s="28" t="s">
        <v>93</v>
      </c>
      <c r="AC90" s="28" t="s">
        <v>101</v>
      </c>
      <c r="AD90" s="28" t="s">
        <v>106</v>
      </c>
      <c r="AE90" s="28" t="s">
        <v>112</v>
      </c>
      <c r="AF90" s="28" t="s">
        <v>117</v>
      </c>
      <c r="AG90" s="30" t="s">
        <v>122</v>
      </c>
    </row>
    <row r="91" customFormat="false" ht="15" hidden="false" customHeight="false" outlineLevel="0" collapsed="false">
      <c r="A91" s="10" t="n">
        <v>2024</v>
      </c>
      <c r="B91" s="28" t="s">
        <v>53</v>
      </c>
      <c r="C91" s="29" t="n">
        <v>45358</v>
      </c>
      <c r="D91" s="30" t="s">
        <v>128</v>
      </c>
      <c r="E91" s="28" t="s">
        <v>365</v>
      </c>
      <c r="F91" s="30" t="s">
        <v>366</v>
      </c>
      <c r="G91" s="31" t="n">
        <v>32432</v>
      </c>
      <c r="H91" s="31" t="n">
        <v>3</v>
      </c>
      <c r="I91" s="31" t="n">
        <v>97297</v>
      </c>
      <c r="J91" s="29" t="n">
        <v>45362</v>
      </c>
      <c r="K91" s="31" t="n">
        <v>30869</v>
      </c>
      <c r="L91" s="30" t="s">
        <v>32</v>
      </c>
      <c r="M91" s="10" t="n">
        <v>2</v>
      </c>
      <c r="N91" s="12" t="n">
        <v>-4885</v>
      </c>
      <c r="O91" s="13" t="n">
        <v>-0.0502078046953049</v>
      </c>
      <c r="P91" s="15" t="n">
        <v>0.00516767183433853</v>
      </c>
      <c r="Q91" s="13" t="n">
        <v>-0.0534157200823867</v>
      </c>
      <c r="R91" s="15" t="n">
        <v>0.165467625899281</v>
      </c>
      <c r="S91" s="32" t="n">
        <v>115865121600</v>
      </c>
      <c r="T91" s="15" t="n">
        <v>0.11340206185567</v>
      </c>
      <c r="U91" s="32" t="n">
        <v>3946073695</v>
      </c>
      <c r="V91" s="14" t="n">
        <v>25.6631390247806</v>
      </c>
      <c r="W91" s="13" t="n">
        <v>0.153024911032029</v>
      </c>
      <c r="X91" s="15" t="n">
        <v>0.0679012345679013</v>
      </c>
      <c r="Y91" s="13" t="n">
        <v>0.00232065993056962</v>
      </c>
      <c r="Z91" s="13" t="n">
        <v>-0.00176074260356152</v>
      </c>
      <c r="AA91" s="30" t="s">
        <v>97</v>
      </c>
      <c r="AB91" s="28" t="s">
        <v>94</v>
      </c>
      <c r="AC91" s="28" t="s">
        <v>103</v>
      </c>
      <c r="AD91" s="28" t="s">
        <v>109</v>
      </c>
      <c r="AE91" s="28" t="s">
        <v>114</v>
      </c>
      <c r="AF91" s="28" t="s">
        <v>120</v>
      </c>
      <c r="AG91" s="30" t="s">
        <v>122</v>
      </c>
    </row>
    <row r="92" customFormat="false" ht="15" hidden="false" customHeight="false" outlineLevel="0" collapsed="false">
      <c r="A92" s="10" t="n">
        <v>2024</v>
      </c>
      <c r="B92" s="28" t="s">
        <v>53</v>
      </c>
      <c r="C92" s="29" t="n">
        <v>45358</v>
      </c>
      <c r="D92" s="30" t="s">
        <v>128</v>
      </c>
      <c r="E92" s="28" t="s">
        <v>217</v>
      </c>
      <c r="F92" s="28" t="s">
        <v>218</v>
      </c>
      <c r="G92" s="31" t="n">
        <v>80280</v>
      </c>
      <c r="H92" s="31" t="n">
        <v>1</v>
      </c>
      <c r="I92" s="31" t="n">
        <v>80280</v>
      </c>
      <c r="J92" s="29" t="n">
        <v>45359</v>
      </c>
      <c r="K92" s="31" t="n">
        <v>96400</v>
      </c>
      <c r="L92" s="30" t="s">
        <v>31</v>
      </c>
      <c r="M92" s="10" t="n">
        <v>1</v>
      </c>
      <c r="N92" s="12" t="n">
        <v>15920</v>
      </c>
      <c r="O92" s="13" t="n">
        <v>0.198302669524989</v>
      </c>
      <c r="P92" s="15" t="n">
        <v>0.223215687056086</v>
      </c>
      <c r="Q92" s="13" t="n">
        <v>0.0139486448713382</v>
      </c>
      <c r="R92" s="15" t="n">
        <v>0.0151898734177216</v>
      </c>
      <c r="S92" s="32" t="n">
        <v>40471646800</v>
      </c>
      <c r="T92" s="15" t="n">
        <v>0.00124843945068665</v>
      </c>
      <c r="U92" s="32" t="n">
        <v>24568549505</v>
      </c>
      <c r="V92" s="14" t="n">
        <v>1.52354849968058</v>
      </c>
      <c r="W92" s="13" t="n">
        <v>-0.00987654320987652</v>
      </c>
      <c r="X92" s="15" t="n">
        <v>0.013715710723192</v>
      </c>
      <c r="Y92" s="13" t="n">
        <v>0.00232065993056962</v>
      </c>
      <c r="Z92" s="13" t="n">
        <v>-0.00176074260356152</v>
      </c>
      <c r="AA92" s="30" t="s">
        <v>97</v>
      </c>
      <c r="AB92" s="28" t="s">
        <v>94</v>
      </c>
      <c r="AC92" s="28" t="s">
        <v>99</v>
      </c>
      <c r="AD92" s="28" t="s">
        <v>107</v>
      </c>
      <c r="AE92" s="28" t="s">
        <v>112</v>
      </c>
      <c r="AF92" s="28" t="s">
        <v>116</v>
      </c>
      <c r="AG92" s="30" t="s">
        <v>123</v>
      </c>
    </row>
    <row r="93" customFormat="false" ht="15" hidden="false" customHeight="false" outlineLevel="0" collapsed="false">
      <c r="A93" s="10" t="n">
        <v>2024</v>
      </c>
      <c r="B93" s="28" t="s">
        <v>53</v>
      </c>
      <c r="C93" s="29" t="n">
        <v>45358</v>
      </c>
      <c r="D93" s="30" t="s">
        <v>128</v>
      </c>
      <c r="E93" s="28" t="s">
        <v>1239</v>
      </c>
      <c r="F93" s="30" t="s">
        <v>1240</v>
      </c>
      <c r="G93" s="31" t="n">
        <v>17613</v>
      </c>
      <c r="H93" s="31" t="n">
        <v>5</v>
      </c>
      <c r="I93" s="31" t="n">
        <v>88064</v>
      </c>
      <c r="J93" s="29" t="n">
        <v>45366</v>
      </c>
      <c r="K93" s="31" t="n">
        <v>16763</v>
      </c>
      <c r="L93" s="30" t="s">
        <v>32</v>
      </c>
      <c r="M93" s="10" t="n">
        <v>6</v>
      </c>
      <c r="N93" s="12" t="n">
        <v>-4425</v>
      </c>
      <c r="O93" s="13" t="n">
        <v>-0.0502423896903379</v>
      </c>
      <c r="P93" s="15" t="n">
        <v>0.0425041904580206</v>
      </c>
      <c r="Q93" s="13" t="n">
        <v>-0.0864329794025491</v>
      </c>
      <c r="R93" s="15" t="n">
        <v>0.0536207849640686</v>
      </c>
      <c r="S93" s="32" t="n">
        <v>37193188440</v>
      </c>
      <c r="T93" s="15" t="n">
        <v>0.0438116100766703</v>
      </c>
      <c r="U93" s="32" t="n">
        <v>5918868712</v>
      </c>
      <c r="V93" s="14" t="n">
        <v>5.82909826406221</v>
      </c>
      <c r="W93" s="13" t="n">
        <v>0.052457205963556</v>
      </c>
      <c r="X93" s="15" t="n">
        <v>0.017838405036726</v>
      </c>
      <c r="Y93" s="13" t="n">
        <v>0.00232065993056962</v>
      </c>
      <c r="Z93" s="13" t="n">
        <v>-0.00176074260356152</v>
      </c>
      <c r="AA93" s="30" t="s">
        <v>97</v>
      </c>
      <c r="AB93" s="28" t="s">
        <v>94</v>
      </c>
      <c r="AC93" s="28" t="s">
        <v>101</v>
      </c>
      <c r="AD93" s="28" t="s">
        <v>107</v>
      </c>
      <c r="AE93" s="28" t="s">
        <v>113</v>
      </c>
      <c r="AF93" s="28" t="s">
        <v>119</v>
      </c>
      <c r="AG93" s="30" t="s">
        <v>122</v>
      </c>
    </row>
    <row r="94" customFormat="false" ht="15" hidden="false" customHeight="false" outlineLevel="0" collapsed="false">
      <c r="A94" s="10" t="n">
        <v>2024</v>
      </c>
      <c r="B94" s="28" t="s">
        <v>53</v>
      </c>
      <c r="C94" s="29" t="n">
        <v>45359</v>
      </c>
      <c r="D94" s="30" t="s">
        <v>129</v>
      </c>
      <c r="E94" s="28" t="s">
        <v>1241</v>
      </c>
      <c r="F94" s="30" t="s">
        <v>1242</v>
      </c>
      <c r="G94" s="31" t="n">
        <v>23260</v>
      </c>
      <c r="H94" s="31" t="n">
        <v>4</v>
      </c>
      <c r="I94" s="31" t="n">
        <v>93040</v>
      </c>
      <c r="J94" s="29" t="n">
        <v>45365</v>
      </c>
      <c r="K94" s="31" t="n">
        <v>22128</v>
      </c>
      <c r="L94" s="30" t="s">
        <v>32</v>
      </c>
      <c r="M94" s="10" t="n">
        <v>4</v>
      </c>
      <c r="N94" s="12" t="n">
        <v>-4715</v>
      </c>
      <c r="O94" s="13" t="n">
        <v>-0.0506743989846982</v>
      </c>
      <c r="P94" s="15" t="n">
        <v>0.0720049181587645</v>
      </c>
      <c r="Q94" s="13" t="n">
        <v>-0.0522298214605904</v>
      </c>
      <c r="R94" s="15" t="n">
        <v>0.0641200545702592</v>
      </c>
      <c r="S94" s="32" t="n">
        <v>28736393400</v>
      </c>
      <c r="T94" s="15" t="n">
        <v>0.0512129380053907</v>
      </c>
      <c r="U94" s="32" t="n">
        <v>3050086094</v>
      </c>
      <c r="V94" s="14" t="n">
        <v>8.67871569764648</v>
      </c>
      <c r="W94" s="13" t="n">
        <v>0.0641200545702592</v>
      </c>
      <c r="X94" s="15" t="n">
        <v>0.082051282051282</v>
      </c>
      <c r="Y94" s="13" t="n">
        <v>0.0123620459129332</v>
      </c>
      <c r="Z94" s="13" t="n">
        <v>0.0143772990811244</v>
      </c>
      <c r="AA94" s="30" t="s">
        <v>97</v>
      </c>
      <c r="AB94" s="28" t="s">
        <v>93</v>
      </c>
      <c r="AC94" s="28" t="s">
        <v>101</v>
      </c>
      <c r="AD94" s="28" t="s">
        <v>106</v>
      </c>
      <c r="AE94" s="28" t="s">
        <v>101</v>
      </c>
      <c r="AF94" s="28" t="s">
        <v>119</v>
      </c>
      <c r="AG94" s="30" t="s">
        <v>122</v>
      </c>
    </row>
    <row r="95" customFormat="false" ht="15" hidden="false" customHeight="false" outlineLevel="0" collapsed="false">
      <c r="A95" s="10" t="n">
        <v>2024</v>
      </c>
      <c r="B95" s="28" t="s">
        <v>53</v>
      </c>
      <c r="C95" s="29" t="n">
        <v>45362</v>
      </c>
      <c r="D95" s="30" t="s">
        <v>125</v>
      </c>
      <c r="E95" s="28" t="s">
        <v>819</v>
      </c>
      <c r="F95" s="30" t="s">
        <v>820</v>
      </c>
      <c r="G95" s="31" t="n">
        <v>43844</v>
      </c>
      <c r="H95" s="31" t="n">
        <v>2</v>
      </c>
      <c r="I95" s="31" t="n">
        <v>87688</v>
      </c>
      <c r="J95" s="29" t="n">
        <v>45398</v>
      </c>
      <c r="K95" s="31" t="n">
        <v>41708</v>
      </c>
      <c r="L95" s="30" t="s">
        <v>32</v>
      </c>
      <c r="M95" s="10" t="n">
        <v>25</v>
      </c>
      <c r="N95" s="12" t="n">
        <v>-4447</v>
      </c>
      <c r="O95" s="13" t="n">
        <v>-0.0507131602986056</v>
      </c>
      <c r="P95" s="15" t="n">
        <v>0.0936552032442444</v>
      </c>
      <c r="Q95" s="13" t="n">
        <v>-0.055738781766179</v>
      </c>
      <c r="R95" s="15" t="n">
        <v>0.0814814814814815</v>
      </c>
      <c r="S95" s="32" t="n">
        <v>37463935800</v>
      </c>
      <c r="T95" s="15" t="n">
        <v>0.00689655172413795</v>
      </c>
      <c r="U95" s="32" t="n">
        <v>6289129250</v>
      </c>
      <c r="V95" s="14" t="n">
        <v>5.68361402847784</v>
      </c>
      <c r="W95" s="13" t="n">
        <v>0.0709046454767726</v>
      </c>
      <c r="X95" s="15" t="n">
        <v>0.0228310502283105</v>
      </c>
      <c r="Y95" s="13" t="n">
        <v>-0.00765198574812986</v>
      </c>
      <c r="Z95" s="13" t="n">
        <v>-0.00539586503980516</v>
      </c>
      <c r="AA95" s="30" t="s">
        <v>97</v>
      </c>
      <c r="AB95" s="28" t="s">
        <v>94</v>
      </c>
      <c r="AC95" s="28" t="s">
        <v>101</v>
      </c>
      <c r="AD95" s="28" t="s">
        <v>107</v>
      </c>
      <c r="AE95" s="28" t="s">
        <v>112</v>
      </c>
      <c r="AF95" s="28" t="s">
        <v>119</v>
      </c>
      <c r="AG95" s="30" t="s">
        <v>122</v>
      </c>
    </row>
    <row r="96" customFormat="false" ht="15" hidden="false" customHeight="false" outlineLevel="0" collapsed="false">
      <c r="A96" s="10" t="n">
        <v>2024</v>
      </c>
      <c r="B96" s="28" t="s">
        <v>53</v>
      </c>
      <c r="C96" s="29" t="n">
        <v>45363</v>
      </c>
      <c r="D96" s="30" t="s">
        <v>126</v>
      </c>
      <c r="E96" s="28" t="s">
        <v>1003</v>
      </c>
      <c r="F96" s="30" t="s">
        <v>1004</v>
      </c>
      <c r="G96" s="31" t="n">
        <v>21772</v>
      </c>
      <c r="H96" s="31" t="n">
        <v>4</v>
      </c>
      <c r="I96" s="31" t="n">
        <v>87087</v>
      </c>
      <c r="J96" s="29" t="n">
        <v>45364</v>
      </c>
      <c r="K96" s="31" t="n">
        <v>20679</v>
      </c>
      <c r="L96" s="30" t="s">
        <v>32</v>
      </c>
      <c r="M96" s="10" t="n">
        <v>1</v>
      </c>
      <c r="N96" s="12" t="n">
        <v>-4544</v>
      </c>
      <c r="O96" s="13" t="n">
        <v>-0.0521795628509422</v>
      </c>
      <c r="P96" s="15" t="n">
        <v>-0.00329555501969281</v>
      </c>
      <c r="Q96" s="13" t="n">
        <v>-0.0584128515162996</v>
      </c>
      <c r="R96" s="15" t="n">
        <v>0.0995955510616784</v>
      </c>
      <c r="S96" s="32" t="n">
        <v>64540928250</v>
      </c>
      <c r="T96" s="15" t="n">
        <v>0.0687960687960687</v>
      </c>
      <c r="U96" s="32" t="n">
        <v>8206366205.5</v>
      </c>
      <c r="V96" s="14" t="n">
        <v>6.92211682854785</v>
      </c>
      <c r="W96" s="13" t="n">
        <v>0.117677286742035</v>
      </c>
      <c r="X96" s="15" t="n">
        <v>0.0482758620689656</v>
      </c>
      <c r="Y96" s="13" t="n">
        <v>0.00825989533205007</v>
      </c>
      <c r="Z96" s="13" t="n">
        <v>0.0122329584056766</v>
      </c>
      <c r="AA96" s="30" t="s">
        <v>97</v>
      </c>
      <c r="AB96" s="28" t="s">
        <v>93</v>
      </c>
      <c r="AC96" s="28" t="s">
        <v>101</v>
      </c>
      <c r="AD96" s="28" t="s">
        <v>108</v>
      </c>
      <c r="AE96" s="28" t="s">
        <v>101</v>
      </c>
      <c r="AF96" s="28" t="s">
        <v>119</v>
      </c>
      <c r="AG96" s="30" t="s">
        <v>122</v>
      </c>
    </row>
    <row r="97" customFormat="false" ht="15" hidden="false" customHeight="false" outlineLevel="0" collapsed="false">
      <c r="A97" s="10" t="n">
        <v>2024</v>
      </c>
      <c r="B97" s="28" t="s">
        <v>53</v>
      </c>
      <c r="C97" s="29" t="n">
        <v>45363</v>
      </c>
      <c r="D97" s="30" t="s">
        <v>126</v>
      </c>
      <c r="E97" s="28" t="s">
        <v>1147</v>
      </c>
      <c r="F97" s="30" t="s">
        <v>1148</v>
      </c>
      <c r="G97" s="31" t="n">
        <v>47848</v>
      </c>
      <c r="H97" s="31" t="n">
        <v>2</v>
      </c>
      <c r="I97" s="31" t="n">
        <v>95696</v>
      </c>
      <c r="J97" s="29" t="n">
        <v>45366</v>
      </c>
      <c r="K97" s="31" t="n">
        <v>45504</v>
      </c>
      <c r="L97" s="30" t="s">
        <v>32</v>
      </c>
      <c r="M97" s="10" t="n">
        <v>3</v>
      </c>
      <c r="N97" s="12" t="n">
        <v>-4879</v>
      </c>
      <c r="O97" s="13" t="n">
        <v>-0.0509795820810989</v>
      </c>
      <c r="P97" s="15" t="n">
        <v>0.0125857406192136</v>
      </c>
      <c r="Q97" s="13" t="n">
        <v>-0.0490680867249904</v>
      </c>
      <c r="R97" s="15" t="n">
        <v>0.0290635091496232</v>
      </c>
      <c r="S97" s="32" t="n">
        <v>23372574800</v>
      </c>
      <c r="T97" s="15" t="n">
        <v>0.0279569892473119</v>
      </c>
      <c r="U97" s="32" t="n">
        <v>12901326187.5</v>
      </c>
      <c r="V97" s="14" t="n">
        <v>1.68469020045073</v>
      </c>
      <c r="W97" s="13" t="n">
        <v>0.0181043663471778</v>
      </c>
      <c r="X97" s="15" t="n">
        <v>0.00941422594142249</v>
      </c>
      <c r="Y97" s="13" t="n">
        <v>0.00825989533205007</v>
      </c>
      <c r="Z97" s="13" t="n">
        <v>0.0122329584056766</v>
      </c>
      <c r="AA97" s="30" t="s">
        <v>97</v>
      </c>
      <c r="AB97" s="28" t="s">
        <v>93</v>
      </c>
      <c r="AC97" s="28" t="s">
        <v>99</v>
      </c>
      <c r="AD97" s="28" t="s">
        <v>106</v>
      </c>
      <c r="AE97" s="28" t="s">
        <v>113</v>
      </c>
      <c r="AF97" s="28" t="s">
        <v>116</v>
      </c>
      <c r="AG97" s="30" t="s">
        <v>122</v>
      </c>
    </row>
    <row r="98" customFormat="false" ht="15" hidden="false" customHeight="false" outlineLevel="0" collapsed="false">
      <c r="A98" s="10" t="n">
        <v>2024</v>
      </c>
      <c r="B98" s="28" t="s">
        <v>53</v>
      </c>
      <c r="C98" s="29" t="n">
        <v>45363</v>
      </c>
      <c r="D98" s="30" t="s">
        <v>126</v>
      </c>
      <c r="E98" s="28" t="s">
        <v>1243</v>
      </c>
      <c r="F98" s="28" t="s">
        <v>1244</v>
      </c>
      <c r="G98" s="31" t="n">
        <v>74675</v>
      </c>
      <c r="H98" s="31" t="n">
        <v>1</v>
      </c>
      <c r="I98" s="31" t="n">
        <v>74675</v>
      </c>
      <c r="J98" s="29" t="n">
        <v>45384</v>
      </c>
      <c r="K98" s="31" t="n">
        <v>71029</v>
      </c>
      <c r="L98" s="30" t="s">
        <v>32</v>
      </c>
      <c r="M98" s="10" t="n">
        <v>15</v>
      </c>
      <c r="N98" s="12" t="n">
        <v>-3795</v>
      </c>
      <c r="O98" s="13" t="n">
        <v>-0.0508259507918356</v>
      </c>
      <c r="P98" s="15" t="n">
        <v>0.0405144453401827</v>
      </c>
      <c r="Q98" s="13" t="n">
        <v>-0.0532255947805544</v>
      </c>
      <c r="R98" s="15" t="n">
        <v>0.047752808988764</v>
      </c>
      <c r="S98" s="32" t="n">
        <v>21557758800</v>
      </c>
      <c r="T98" s="15" t="n">
        <v>0.0177353342428377</v>
      </c>
      <c r="U98" s="32" t="n">
        <v>11842238400</v>
      </c>
      <c r="V98" s="14" t="n">
        <v>1.71998479870033</v>
      </c>
      <c r="W98" s="13" t="n">
        <v>0.0375521557719054</v>
      </c>
      <c r="X98" s="15" t="n">
        <v>0.00402144772117952</v>
      </c>
      <c r="Y98" s="13" t="n">
        <v>0.00825989533205007</v>
      </c>
      <c r="Z98" s="13" t="n">
        <v>0.0122329584056766</v>
      </c>
      <c r="AA98" s="30" t="s">
        <v>97</v>
      </c>
      <c r="AB98" s="28" t="s">
        <v>93</v>
      </c>
      <c r="AC98" s="28" t="s">
        <v>100</v>
      </c>
      <c r="AD98" s="28" t="s">
        <v>106</v>
      </c>
      <c r="AE98" s="28" t="s">
        <v>112</v>
      </c>
      <c r="AF98" s="28" t="s">
        <v>116</v>
      </c>
      <c r="AG98" s="30" t="s">
        <v>122</v>
      </c>
    </row>
    <row r="99" customFormat="false" ht="15" hidden="false" customHeight="false" outlineLevel="0" collapsed="false">
      <c r="A99" s="10" t="n">
        <v>2024</v>
      </c>
      <c r="B99" s="28" t="s">
        <v>53</v>
      </c>
      <c r="C99" s="29" t="n">
        <v>45364</v>
      </c>
      <c r="D99" s="30" t="s">
        <v>127</v>
      </c>
      <c r="E99" s="28" t="s">
        <v>1167</v>
      </c>
      <c r="F99" s="28" t="s">
        <v>1168</v>
      </c>
      <c r="G99" s="31" t="n">
        <v>98799</v>
      </c>
      <c r="H99" s="31" t="n">
        <v>1</v>
      </c>
      <c r="I99" s="31" t="n">
        <v>98799</v>
      </c>
      <c r="J99" s="29" t="n">
        <v>45380</v>
      </c>
      <c r="K99" s="31" t="n">
        <v>118600</v>
      </c>
      <c r="L99" s="30" t="s">
        <v>31</v>
      </c>
      <c r="M99" s="10" t="n">
        <v>12</v>
      </c>
      <c r="N99" s="12" t="n">
        <v>19555</v>
      </c>
      <c r="O99" s="13" t="n">
        <v>0.19792983303424</v>
      </c>
      <c r="P99" s="15" t="n">
        <v>0.207505766776284</v>
      </c>
      <c r="Q99" s="13" t="n">
        <v>0.011146907803443</v>
      </c>
      <c r="R99" s="15" t="n">
        <v>0.0112704918032787</v>
      </c>
      <c r="S99" s="32" t="n">
        <v>29571605700</v>
      </c>
      <c r="T99" s="15" t="n">
        <v>0.0112704918032787</v>
      </c>
      <c r="U99" s="32" t="n">
        <v>20607009330</v>
      </c>
      <c r="V99" s="14" t="n">
        <v>1.35991145467737</v>
      </c>
      <c r="W99" s="13" t="n">
        <v>0.0164778578784759</v>
      </c>
      <c r="X99" s="15" t="n">
        <v>0.03242147922999</v>
      </c>
      <c r="Y99" s="13" t="n">
        <v>0.00438509812402832</v>
      </c>
      <c r="Z99" s="13" t="n">
        <v>0.0197161450544958</v>
      </c>
      <c r="AA99" s="30" t="s">
        <v>97</v>
      </c>
      <c r="AB99" s="28" t="s">
        <v>93</v>
      </c>
      <c r="AC99" s="28" t="s">
        <v>99</v>
      </c>
      <c r="AD99" s="28" t="s">
        <v>106</v>
      </c>
      <c r="AE99" s="28" t="s">
        <v>112</v>
      </c>
      <c r="AF99" s="28" t="s">
        <v>116</v>
      </c>
      <c r="AG99" s="30" t="s">
        <v>122</v>
      </c>
    </row>
    <row r="100" customFormat="false" ht="15" hidden="false" customHeight="false" outlineLevel="0" collapsed="false">
      <c r="A100" s="10" t="n">
        <v>2024</v>
      </c>
      <c r="B100" s="28" t="s">
        <v>53</v>
      </c>
      <c r="C100" s="29" t="n">
        <v>45365</v>
      </c>
      <c r="D100" s="30" t="s">
        <v>128</v>
      </c>
      <c r="E100" s="28" t="s">
        <v>227</v>
      </c>
      <c r="F100" s="30" t="s">
        <v>228</v>
      </c>
      <c r="G100" s="31" t="n">
        <v>10270</v>
      </c>
      <c r="H100" s="31" t="n">
        <v>9</v>
      </c>
      <c r="I100" s="31" t="n">
        <v>92432</v>
      </c>
      <c r="J100" s="29" t="n">
        <v>45380</v>
      </c>
      <c r="K100" s="31" t="n">
        <v>9770</v>
      </c>
      <c r="L100" s="30" t="s">
        <v>32</v>
      </c>
      <c r="M100" s="10" t="n">
        <v>11</v>
      </c>
      <c r="N100" s="12" t="n">
        <v>-4686</v>
      </c>
      <c r="O100" s="13" t="n">
        <v>-0.0506932120511067</v>
      </c>
      <c r="P100" s="15" t="n">
        <v>0.0973432026063608</v>
      </c>
      <c r="Q100" s="13" t="n">
        <v>-0.0555253713148448</v>
      </c>
      <c r="R100" s="15" t="n">
        <v>0.103225806451613</v>
      </c>
      <c r="S100" s="32" t="n">
        <v>175021636140</v>
      </c>
      <c r="T100" s="15" t="n">
        <v>0.0301204819277108</v>
      </c>
      <c r="U100" s="32" t="n">
        <v>7064252210.5</v>
      </c>
      <c r="V100" s="14" t="n">
        <v>22.452667947773</v>
      </c>
      <c r="W100" s="13" t="n">
        <v>0.102040816326531</v>
      </c>
      <c r="X100" s="15" t="n">
        <v>0.1364522417154</v>
      </c>
      <c r="Y100" s="13" t="n">
        <v>0.00935190100869843</v>
      </c>
      <c r="Z100" s="13" t="n">
        <v>0.0268694147951747</v>
      </c>
      <c r="AA100" s="30" t="s">
        <v>97</v>
      </c>
      <c r="AB100" s="28" t="s">
        <v>93</v>
      </c>
      <c r="AC100" s="28" t="s">
        <v>102</v>
      </c>
      <c r="AD100" s="28" t="s">
        <v>109</v>
      </c>
      <c r="AE100" s="28" t="s">
        <v>113</v>
      </c>
      <c r="AF100" s="28" t="s">
        <v>120</v>
      </c>
      <c r="AG100" s="30" t="s">
        <v>122</v>
      </c>
    </row>
    <row r="101" customFormat="false" ht="15" hidden="false" customHeight="false" outlineLevel="0" collapsed="false">
      <c r="A101" s="10" t="n">
        <v>2024</v>
      </c>
      <c r="B101" s="28" t="s">
        <v>53</v>
      </c>
      <c r="C101" s="29" t="n">
        <v>45365</v>
      </c>
      <c r="D101" s="30" t="s">
        <v>128</v>
      </c>
      <c r="E101" s="28" t="s">
        <v>1245</v>
      </c>
      <c r="F101" s="28" t="s">
        <v>1246</v>
      </c>
      <c r="G101" s="31" t="n">
        <v>65065</v>
      </c>
      <c r="H101" s="31" t="n">
        <v>1</v>
      </c>
      <c r="I101" s="31" t="n">
        <v>65065</v>
      </c>
      <c r="J101" s="29" t="n">
        <v>45380</v>
      </c>
      <c r="K101" s="31" t="n">
        <v>61938</v>
      </c>
      <c r="L101" s="30" t="s">
        <v>32</v>
      </c>
      <c r="M101" s="10" t="n">
        <v>11</v>
      </c>
      <c r="N101" s="12" t="n">
        <v>-3258</v>
      </c>
      <c r="O101" s="13" t="n">
        <v>-0.050065916391301</v>
      </c>
      <c r="P101" s="15" t="n">
        <v>0.0635518327826021</v>
      </c>
      <c r="Q101" s="13" t="n">
        <v>-0.0517175132559747</v>
      </c>
      <c r="R101" s="15" t="n">
        <v>0.0383386581469649</v>
      </c>
      <c r="S101" s="32" t="n">
        <v>56202900000</v>
      </c>
      <c r="T101" s="15" t="n">
        <v>0.0172143974960877</v>
      </c>
      <c r="U101" s="32" t="n">
        <v>25078310690</v>
      </c>
      <c r="V101" s="14" t="n">
        <v>2.15605718765522</v>
      </c>
      <c r="W101" s="13" t="n">
        <v>0.0333863275039745</v>
      </c>
      <c r="X101" s="15" t="n">
        <v>0.0307692307692307</v>
      </c>
      <c r="Y101" s="13" t="n">
        <v>0.00935190100869843</v>
      </c>
      <c r="Z101" s="13" t="n">
        <v>0.0268694147951747</v>
      </c>
      <c r="AA101" s="30" t="s">
        <v>97</v>
      </c>
      <c r="AB101" s="28" t="s">
        <v>93</v>
      </c>
      <c r="AC101" s="28" t="s">
        <v>100</v>
      </c>
      <c r="AD101" s="28" t="s">
        <v>108</v>
      </c>
      <c r="AE101" s="28" t="s">
        <v>112</v>
      </c>
      <c r="AF101" s="28" t="s">
        <v>117</v>
      </c>
      <c r="AG101" s="30" t="s">
        <v>122</v>
      </c>
    </row>
    <row r="102" customFormat="false" ht="15" hidden="false" customHeight="false" outlineLevel="0" collapsed="false">
      <c r="A102" s="10" t="n">
        <v>2024</v>
      </c>
      <c r="B102" s="28" t="s">
        <v>53</v>
      </c>
      <c r="C102" s="29" t="n">
        <v>45365</v>
      </c>
      <c r="D102" s="30" t="s">
        <v>128</v>
      </c>
      <c r="E102" s="28" t="s">
        <v>1159</v>
      </c>
      <c r="F102" s="28" t="s">
        <v>1160</v>
      </c>
      <c r="G102" s="31" t="n">
        <v>56156</v>
      </c>
      <c r="H102" s="31" t="n">
        <v>1</v>
      </c>
      <c r="I102" s="31" t="n">
        <v>56156</v>
      </c>
      <c r="J102" s="29" t="n">
        <v>45398</v>
      </c>
      <c r="K102" s="31" t="n">
        <v>53446</v>
      </c>
      <c r="L102" s="30" t="s">
        <v>32</v>
      </c>
      <c r="M102" s="10" t="n">
        <v>22</v>
      </c>
      <c r="N102" s="12" t="n">
        <v>-2822</v>
      </c>
      <c r="O102" s="13" t="n">
        <v>-0.0502571241592631</v>
      </c>
      <c r="P102" s="15" t="n">
        <v>0.0755732680866372</v>
      </c>
      <c r="Q102" s="13" t="n">
        <v>-0.0704482683092307</v>
      </c>
      <c r="R102" s="15" t="n">
        <v>0.0053763440860215</v>
      </c>
      <c r="S102" s="32" t="n">
        <v>29468208000</v>
      </c>
      <c r="T102" s="15" t="n">
        <v>0.0053763440860215</v>
      </c>
      <c r="U102" s="32" t="n">
        <v>11143698500</v>
      </c>
      <c r="V102" s="14" t="n">
        <v>2.54501919375102</v>
      </c>
      <c r="W102" s="13" t="n">
        <v>0.00357781753130593</v>
      </c>
      <c r="X102" s="15" t="n">
        <v>0.0285204991087344</v>
      </c>
      <c r="Y102" s="13" t="n">
        <v>0.00935190100869843</v>
      </c>
      <c r="Z102" s="13" t="n">
        <v>0.0268694147951747</v>
      </c>
      <c r="AA102" s="30" t="s">
        <v>97</v>
      </c>
      <c r="AB102" s="28" t="s">
        <v>93</v>
      </c>
      <c r="AC102" s="28" t="s">
        <v>99</v>
      </c>
      <c r="AD102" s="28" t="s">
        <v>106</v>
      </c>
      <c r="AE102" s="28" t="s">
        <v>112</v>
      </c>
      <c r="AF102" s="28" t="s">
        <v>117</v>
      </c>
      <c r="AG102" s="30" t="s">
        <v>122</v>
      </c>
    </row>
    <row r="103" customFormat="false" ht="15" hidden="false" customHeight="false" outlineLevel="0" collapsed="false">
      <c r="A103" s="10" t="n">
        <v>2024</v>
      </c>
      <c r="B103" s="28" t="s">
        <v>53</v>
      </c>
      <c r="C103" s="29" t="n">
        <v>45366</v>
      </c>
      <c r="D103" s="30" t="s">
        <v>129</v>
      </c>
      <c r="E103" s="28" t="s">
        <v>1247</v>
      </c>
      <c r="F103" s="30" t="s">
        <v>1248</v>
      </c>
      <c r="G103" s="31" t="n">
        <v>9670</v>
      </c>
      <c r="H103" s="31" t="n">
        <v>10</v>
      </c>
      <c r="I103" s="31" t="n">
        <v>96697</v>
      </c>
      <c r="J103" s="29" t="n">
        <v>45373</v>
      </c>
      <c r="K103" s="31" t="n">
        <v>9201</v>
      </c>
      <c r="L103" s="30" t="s">
        <v>32</v>
      </c>
      <c r="M103" s="10" t="n">
        <v>5</v>
      </c>
      <c r="N103" s="12" t="n">
        <v>-4883</v>
      </c>
      <c r="O103" s="13" t="n">
        <v>-0.050494225184753</v>
      </c>
      <c r="P103" s="15" t="n">
        <v>0.0279575496966804</v>
      </c>
      <c r="Q103" s="13" t="n">
        <v>-0.0485704771419055</v>
      </c>
      <c r="R103" s="15" t="n">
        <v>0.0287539936102237</v>
      </c>
      <c r="S103" s="32" t="n">
        <v>46067168280</v>
      </c>
      <c r="T103" s="15" t="n">
        <v>0.0222222222222221</v>
      </c>
      <c r="U103" s="32" t="n">
        <v>4924347975.5</v>
      </c>
      <c r="V103" s="14" t="n">
        <v>9.03917477780956</v>
      </c>
      <c r="W103" s="13" t="n">
        <v>-0.0435643564356436</v>
      </c>
      <c r="X103" s="15" t="n">
        <v>0.128364389233955</v>
      </c>
      <c r="Y103" s="13" t="n">
        <v>-0.01909694125263</v>
      </c>
      <c r="Z103" s="13" t="n">
        <v>-0.00504038651668615</v>
      </c>
      <c r="AA103" s="30" t="s">
        <v>97</v>
      </c>
      <c r="AB103" s="28" t="s">
        <v>94</v>
      </c>
      <c r="AC103" s="28" t="s">
        <v>99</v>
      </c>
      <c r="AD103" s="28" t="s">
        <v>107</v>
      </c>
      <c r="AE103" s="28" t="s">
        <v>113</v>
      </c>
      <c r="AF103" s="28" t="s">
        <v>119</v>
      </c>
      <c r="AG103" s="30" t="s">
        <v>123</v>
      </c>
    </row>
    <row r="104" customFormat="false" ht="15" hidden="false" customHeight="false" outlineLevel="0" collapsed="false">
      <c r="A104" s="10" t="n">
        <v>2024</v>
      </c>
      <c r="B104" s="28" t="s">
        <v>53</v>
      </c>
      <c r="C104" s="29" t="n">
        <v>45366</v>
      </c>
      <c r="D104" s="30" t="s">
        <v>129</v>
      </c>
      <c r="E104" s="28" t="s">
        <v>193</v>
      </c>
      <c r="F104" s="30" t="s">
        <v>194</v>
      </c>
      <c r="G104" s="31" t="n">
        <v>20270</v>
      </c>
      <c r="H104" s="31" t="n">
        <v>4</v>
      </c>
      <c r="I104" s="31" t="n">
        <v>81081</v>
      </c>
      <c r="J104" s="29" t="n">
        <v>45371</v>
      </c>
      <c r="K104" s="31" t="n">
        <v>19291</v>
      </c>
      <c r="L104" s="30" t="s">
        <v>32</v>
      </c>
      <c r="M104" s="10" t="n">
        <v>3</v>
      </c>
      <c r="N104" s="12" t="n">
        <v>-4081</v>
      </c>
      <c r="O104" s="13" t="n">
        <v>-0.0503307745587745</v>
      </c>
      <c r="P104" s="15" t="n">
        <v>0.0138010138010141</v>
      </c>
      <c r="Q104" s="13" t="n">
        <v>-0.0473723807057139</v>
      </c>
      <c r="R104" s="15" t="n">
        <v>0.0300101729399798</v>
      </c>
      <c r="S104" s="32" t="n">
        <v>29923890750</v>
      </c>
      <c r="T104" s="15" t="n">
        <v>0.0099750623441397</v>
      </c>
      <c r="U104" s="32" t="n">
        <v>15092432796.5</v>
      </c>
      <c r="V104" s="14" t="n">
        <v>1.90368339031498</v>
      </c>
      <c r="W104" s="13" t="n">
        <v>0.0284408329101067</v>
      </c>
      <c r="X104" s="15" t="n">
        <v>0.00493827160493821</v>
      </c>
      <c r="Y104" s="13" t="n">
        <v>-0.01909694125263</v>
      </c>
      <c r="Z104" s="13" t="n">
        <v>-0.00504038651668615</v>
      </c>
      <c r="AA104" s="30" t="s">
        <v>97</v>
      </c>
      <c r="AB104" s="28" t="s">
        <v>94</v>
      </c>
      <c r="AC104" s="28" t="s">
        <v>100</v>
      </c>
      <c r="AD104" s="28" t="s">
        <v>106</v>
      </c>
      <c r="AE104" s="28" t="s">
        <v>112</v>
      </c>
      <c r="AF104" s="28" t="s">
        <v>116</v>
      </c>
      <c r="AG104" s="30" t="s">
        <v>122</v>
      </c>
    </row>
    <row r="105" customFormat="false" ht="15" hidden="false" customHeight="false" outlineLevel="0" collapsed="false">
      <c r="A105" s="10" t="n">
        <v>2024</v>
      </c>
      <c r="B105" s="28" t="s">
        <v>53</v>
      </c>
      <c r="C105" s="29" t="n">
        <v>45372</v>
      </c>
      <c r="D105" s="30" t="s">
        <v>128</v>
      </c>
      <c r="E105" s="28" t="s">
        <v>161</v>
      </c>
      <c r="F105" s="30" t="s">
        <v>162</v>
      </c>
      <c r="G105" s="31" t="n">
        <v>31181</v>
      </c>
      <c r="H105" s="31" t="n">
        <v>3</v>
      </c>
      <c r="I105" s="31" t="n">
        <v>93543</v>
      </c>
      <c r="J105" s="29" t="n">
        <v>45397</v>
      </c>
      <c r="K105" s="31" t="n">
        <v>29670</v>
      </c>
      <c r="L105" s="30" t="s">
        <v>32</v>
      </c>
      <c r="M105" s="10" t="n">
        <v>16</v>
      </c>
      <c r="N105" s="12" t="n">
        <v>-4720</v>
      </c>
      <c r="O105" s="13" t="n">
        <v>-0.0504594685410899</v>
      </c>
      <c r="P105" s="15" t="n">
        <v>0.104834170644765</v>
      </c>
      <c r="Q105" s="13" t="n">
        <v>-0.0507085210134969</v>
      </c>
      <c r="R105" s="15" t="n">
        <v>0.064957264957265</v>
      </c>
      <c r="S105" s="32" t="n">
        <v>45140773300</v>
      </c>
      <c r="T105" s="15" t="n">
        <v>0.0331674958540631</v>
      </c>
      <c r="U105" s="32" t="n">
        <v>12237738982.5</v>
      </c>
      <c r="V105" s="14" t="n">
        <v>3.4695677615125</v>
      </c>
      <c r="W105" s="13" t="n">
        <v>0.0348837209302326</v>
      </c>
      <c r="X105" s="15" t="n">
        <v>0.00802568218298561</v>
      </c>
      <c r="Y105" s="13" t="n">
        <v>0.0240582274528465</v>
      </c>
      <c r="Z105" s="13" t="n">
        <v>0.0132781120805072</v>
      </c>
      <c r="AA105" s="30" t="s">
        <v>97</v>
      </c>
      <c r="AB105" s="28" t="s">
        <v>93</v>
      </c>
      <c r="AC105" s="28" t="s">
        <v>101</v>
      </c>
      <c r="AD105" s="28" t="s">
        <v>107</v>
      </c>
      <c r="AE105" s="28" t="s">
        <v>113</v>
      </c>
      <c r="AF105" s="28" t="s">
        <v>118</v>
      </c>
      <c r="AG105" s="30" t="s">
        <v>122</v>
      </c>
    </row>
    <row r="106" customFormat="false" ht="15" hidden="false" customHeight="false" outlineLevel="0" collapsed="false">
      <c r="A106" s="10" t="n">
        <v>2024</v>
      </c>
      <c r="B106" s="28" t="s">
        <v>53</v>
      </c>
      <c r="C106" s="29" t="n">
        <v>45372</v>
      </c>
      <c r="D106" s="30" t="s">
        <v>128</v>
      </c>
      <c r="E106" s="28" t="s">
        <v>1249</v>
      </c>
      <c r="F106" s="30" t="s">
        <v>1250</v>
      </c>
      <c r="G106" s="31" t="n">
        <v>25175</v>
      </c>
      <c r="H106" s="31" t="n">
        <v>3</v>
      </c>
      <c r="I106" s="31" t="n">
        <v>75525</v>
      </c>
      <c r="J106" s="29" t="n">
        <v>45376</v>
      </c>
      <c r="K106" s="31" t="n">
        <v>23926</v>
      </c>
      <c r="L106" s="30" t="s">
        <v>32</v>
      </c>
      <c r="M106" s="10" t="n">
        <v>2</v>
      </c>
      <c r="N106" s="12" t="n">
        <v>-3899</v>
      </c>
      <c r="O106" s="13" t="n">
        <v>-0.051619635632757</v>
      </c>
      <c r="P106" s="15" t="n">
        <v>0.0109175119115479</v>
      </c>
      <c r="Q106" s="13" t="n">
        <v>-0.0566093945815615</v>
      </c>
      <c r="R106" s="15" t="n">
        <v>0.0793991416309012</v>
      </c>
      <c r="S106" s="32" t="n">
        <v>34593397450</v>
      </c>
      <c r="T106" s="15" t="n">
        <v>0.0265306122448981</v>
      </c>
      <c r="U106" s="32" t="n">
        <v>4578798282.5</v>
      </c>
      <c r="V106" s="14" t="n">
        <v>7.02746723731802</v>
      </c>
      <c r="W106" s="13" t="n">
        <v>0.0223577235772359</v>
      </c>
      <c r="X106" s="15" t="n">
        <v>0.0218687872763419</v>
      </c>
      <c r="Y106" s="13" t="n">
        <v>0.0240582274528465</v>
      </c>
      <c r="Z106" s="13" t="n">
        <v>0.0132781120805072</v>
      </c>
      <c r="AA106" s="30" t="s">
        <v>97</v>
      </c>
      <c r="AB106" s="28" t="s">
        <v>93</v>
      </c>
      <c r="AC106" s="28" t="s">
        <v>101</v>
      </c>
      <c r="AD106" s="28" t="s">
        <v>107</v>
      </c>
      <c r="AE106" s="28" t="s">
        <v>113</v>
      </c>
      <c r="AF106" s="28" t="s">
        <v>119</v>
      </c>
      <c r="AG106" s="30" t="s">
        <v>122</v>
      </c>
    </row>
    <row r="107" customFormat="false" ht="15" hidden="false" customHeight="false" outlineLevel="0" collapsed="false">
      <c r="A107" s="10" t="n">
        <v>2024</v>
      </c>
      <c r="B107" s="28" t="s">
        <v>53</v>
      </c>
      <c r="C107" s="29" t="n">
        <v>45372</v>
      </c>
      <c r="D107" s="30" t="s">
        <v>128</v>
      </c>
      <c r="E107" s="28" t="s">
        <v>1251</v>
      </c>
      <c r="F107" s="30" t="s">
        <v>1252</v>
      </c>
      <c r="G107" s="31" t="n">
        <v>24274</v>
      </c>
      <c r="H107" s="31" t="n">
        <v>4</v>
      </c>
      <c r="I107" s="31" t="n">
        <v>97097</v>
      </c>
      <c r="J107" s="29" t="n">
        <v>45398</v>
      </c>
      <c r="K107" s="31" t="n">
        <v>23077</v>
      </c>
      <c r="L107" s="30" t="s">
        <v>32</v>
      </c>
      <c r="M107" s="10" t="n">
        <v>17</v>
      </c>
      <c r="N107" s="12" t="n">
        <v>-4984</v>
      </c>
      <c r="O107" s="13" t="n">
        <v>-0.0513297462331482</v>
      </c>
      <c r="P107" s="15" t="n">
        <v>0.155545485442393</v>
      </c>
      <c r="Q107" s="13" t="n">
        <v>-0.0566134896031801</v>
      </c>
      <c r="R107" s="15" t="n">
        <v>0.0232067510548524</v>
      </c>
      <c r="S107" s="32" t="n">
        <v>28148575500</v>
      </c>
      <c r="T107" s="15" t="n">
        <v>0.00622406639004147</v>
      </c>
      <c r="U107" s="32" t="n">
        <v>12738802555</v>
      </c>
      <c r="V107" s="14" t="n">
        <v>2.11645492532796</v>
      </c>
      <c r="W107" s="13" t="n">
        <v>0</v>
      </c>
      <c r="X107" s="15" t="n">
        <v>0.0144329896907216</v>
      </c>
      <c r="Y107" s="13" t="n">
        <v>0.0240582274528465</v>
      </c>
      <c r="Z107" s="13" t="n">
        <v>0.0132781120805072</v>
      </c>
      <c r="AA107" s="30" t="s">
        <v>97</v>
      </c>
      <c r="AB107" s="28" t="s">
        <v>93</v>
      </c>
      <c r="AC107" s="28" t="s">
        <v>99</v>
      </c>
      <c r="AD107" s="28" t="s">
        <v>106</v>
      </c>
      <c r="AE107" s="28" t="s">
        <v>112</v>
      </c>
      <c r="AF107" s="28" t="s">
        <v>117</v>
      </c>
      <c r="AG107" s="30" t="s">
        <v>123</v>
      </c>
    </row>
    <row r="108" customFormat="false" ht="15" hidden="false" customHeight="false" outlineLevel="0" collapsed="false">
      <c r="A108" s="10" t="n">
        <v>2024</v>
      </c>
      <c r="B108" s="28" t="s">
        <v>53</v>
      </c>
      <c r="C108" s="29" t="n">
        <v>45372</v>
      </c>
      <c r="D108" s="30" t="s">
        <v>128</v>
      </c>
      <c r="E108" s="28" t="s">
        <v>1253</v>
      </c>
      <c r="F108" s="28" t="s">
        <v>1254</v>
      </c>
      <c r="G108" s="31" t="n">
        <v>20120</v>
      </c>
      <c r="H108" s="31" t="n">
        <v>4</v>
      </c>
      <c r="I108" s="31" t="n">
        <v>80480</v>
      </c>
      <c r="J108" s="29" t="n">
        <v>45373</v>
      </c>
      <c r="K108" s="31" t="n">
        <v>19151</v>
      </c>
      <c r="L108" s="30" t="s">
        <v>32</v>
      </c>
      <c r="M108" s="10" t="n">
        <v>1</v>
      </c>
      <c r="N108" s="12" t="n">
        <v>-4039</v>
      </c>
      <c r="O108" s="13" t="n">
        <v>-0.0501802741288562</v>
      </c>
      <c r="P108" s="15" t="n">
        <v>-0.0121818480027435</v>
      </c>
      <c r="Q108" s="13" t="n">
        <v>-0.0482154661259138</v>
      </c>
      <c r="R108" s="15" t="n">
        <v>0.0455136540962289</v>
      </c>
      <c r="S108" s="32" t="n">
        <v>22651035720</v>
      </c>
      <c r="T108" s="15" t="n">
        <v>0.0307692307692307</v>
      </c>
      <c r="U108" s="32" t="n">
        <v>19173834708.5</v>
      </c>
      <c r="V108" s="14" t="n">
        <v>1.1178849578331</v>
      </c>
      <c r="W108" s="13" t="n">
        <v>0.0320924261874198</v>
      </c>
      <c r="X108" s="15" t="n">
        <v>0.0161691542288558</v>
      </c>
      <c r="Y108" s="13" t="n">
        <v>0.0240582274528465</v>
      </c>
      <c r="Z108" s="13" t="n">
        <v>0.0132781120805072</v>
      </c>
      <c r="AA108" s="30" t="s">
        <v>97</v>
      </c>
      <c r="AB108" s="28" t="s">
        <v>93</v>
      </c>
      <c r="AC108" s="28" t="s">
        <v>100</v>
      </c>
      <c r="AD108" s="28" t="s">
        <v>106</v>
      </c>
      <c r="AE108" s="28" t="s">
        <v>113</v>
      </c>
      <c r="AF108" s="28" t="s">
        <v>116</v>
      </c>
      <c r="AG108" s="30" t="s">
        <v>122</v>
      </c>
    </row>
    <row r="109" customFormat="false" ht="15" hidden="false" customHeight="false" outlineLevel="0" collapsed="false">
      <c r="A109" s="10" t="n">
        <v>2024</v>
      </c>
      <c r="B109" s="28" t="s">
        <v>53</v>
      </c>
      <c r="C109" s="29" t="n">
        <v>45373</v>
      </c>
      <c r="D109" s="30" t="s">
        <v>129</v>
      </c>
      <c r="E109" s="28" t="s">
        <v>1255</v>
      </c>
      <c r="F109" s="30" t="s">
        <v>1256</v>
      </c>
      <c r="G109" s="31" t="n">
        <v>10777</v>
      </c>
      <c r="H109" s="31" t="n">
        <v>9</v>
      </c>
      <c r="I109" s="31" t="n">
        <v>96995</v>
      </c>
      <c r="J109" s="29" t="n">
        <v>45376</v>
      </c>
      <c r="K109" s="31" t="n">
        <v>10260</v>
      </c>
      <c r="L109" s="30" t="s">
        <v>32</v>
      </c>
      <c r="M109" s="10" t="n">
        <v>1</v>
      </c>
      <c r="N109" s="12" t="n">
        <v>-4852</v>
      </c>
      <c r="O109" s="13" t="n">
        <v>-0.0500200779937274</v>
      </c>
      <c r="P109" s="15" t="n">
        <v>-0.00755699442789137</v>
      </c>
      <c r="Q109" s="13" t="n">
        <v>-0.0578349440493858</v>
      </c>
      <c r="R109" s="15" t="n">
        <v>0.0959232613908874</v>
      </c>
      <c r="S109" s="32" t="n">
        <v>64040232600</v>
      </c>
      <c r="T109" s="15" t="n">
        <v>0.0505747126436782</v>
      </c>
      <c r="U109" s="32" t="n">
        <v>9361234320</v>
      </c>
      <c r="V109" s="14" t="n">
        <v>6.12872720330719</v>
      </c>
      <c r="W109" s="13" t="n">
        <v>0.0933014354066986</v>
      </c>
      <c r="X109" s="15" t="n">
        <v>0.0568927789934355</v>
      </c>
      <c r="Y109" s="13" t="n">
        <v>-0.00228686757221785</v>
      </c>
      <c r="Z109" s="13" t="n">
        <v>0.0306430082044666</v>
      </c>
      <c r="AA109" s="30" t="s">
        <v>97</v>
      </c>
      <c r="AB109" s="28" t="s">
        <v>93</v>
      </c>
      <c r="AC109" s="28" t="s">
        <v>101</v>
      </c>
      <c r="AD109" s="28" t="s">
        <v>108</v>
      </c>
      <c r="AE109" s="28" t="s">
        <v>101</v>
      </c>
      <c r="AF109" s="28" t="s">
        <v>119</v>
      </c>
      <c r="AG109" s="30" t="s">
        <v>122</v>
      </c>
    </row>
    <row r="110" customFormat="false" ht="15" hidden="false" customHeight="false" outlineLevel="0" collapsed="false">
      <c r="A110" s="10" t="n">
        <v>2024</v>
      </c>
      <c r="B110" s="28" t="s">
        <v>53</v>
      </c>
      <c r="C110" s="29" t="n">
        <v>45373</v>
      </c>
      <c r="D110" s="30" t="s">
        <v>129</v>
      </c>
      <c r="E110" s="28" t="s">
        <v>609</v>
      </c>
      <c r="F110" s="28" t="s">
        <v>610</v>
      </c>
      <c r="G110" s="31" t="n">
        <v>99499</v>
      </c>
      <c r="H110" s="31" t="n">
        <v>1</v>
      </c>
      <c r="I110" s="31" t="n">
        <v>99499</v>
      </c>
      <c r="J110" s="29" t="n">
        <v>45385</v>
      </c>
      <c r="K110" s="31" t="n">
        <v>94705</v>
      </c>
      <c r="L110" s="30" t="s">
        <v>32</v>
      </c>
      <c r="M110" s="10" t="n">
        <v>8</v>
      </c>
      <c r="N110" s="12" t="n">
        <v>-4994</v>
      </c>
      <c r="O110" s="13" t="n">
        <v>-0.0501892478748618</v>
      </c>
      <c r="P110" s="15" t="n">
        <v>0.0120664044205292</v>
      </c>
      <c r="Q110" s="13" t="n">
        <v>-0.0562757162354748</v>
      </c>
      <c r="R110" s="15" t="n">
        <v>0.00201612903225801</v>
      </c>
      <c r="S110" s="32" t="n">
        <v>57184223600</v>
      </c>
      <c r="T110" s="15" t="n">
        <v>0.00100704934541795</v>
      </c>
      <c r="U110" s="32" t="n">
        <v>48865079105</v>
      </c>
      <c r="V110" s="14" t="n">
        <v>1.13756301720926</v>
      </c>
      <c r="W110" s="13" t="n">
        <v>0.0101626016260163</v>
      </c>
      <c r="X110" s="15" t="n">
        <v>0.00804828973843064</v>
      </c>
      <c r="Y110" s="13" t="n">
        <v>-0.00228686757221785</v>
      </c>
      <c r="Z110" s="13" t="n">
        <v>0.0306430082044666</v>
      </c>
      <c r="AA110" s="30" t="s">
        <v>97</v>
      </c>
      <c r="AB110" s="28" t="s">
        <v>93</v>
      </c>
      <c r="AC110" s="28" t="s">
        <v>99</v>
      </c>
      <c r="AD110" s="28" t="s">
        <v>108</v>
      </c>
      <c r="AE110" s="28" t="s">
        <v>112</v>
      </c>
      <c r="AF110" s="28" t="s">
        <v>116</v>
      </c>
      <c r="AG110" s="30" t="s">
        <v>122</v>
      </c>
    </row>
    <row r="111" customFormat="false" ht="15" hidden="false" customHeight="false" outlineLevel="0" collapsed="false">
      <c r="A111" s="10" t="n">
        <v>2024</v>
      </c>
      <c r="B111" s="28" t="s">
        <v>53</v>
      </c>
      <c r="C111" s="29" t="n">
        <v>45373</v>
      </c>
      <c r="D111" s="30" t="s">
        <v>129</v>
      </c>
      <c r="E111" s="28" t="s">
        <v>1257</v>
      </c>
      <c r="F111" s="28" t="s">
        <v>1258</v>
      </c>
      <c r="G111" s="31" t="n">
        <v>7863</v>
      </c>
      <c r="H111" s="31" t="n">
        <v>12</v>
      </c>
      <c r="I111" s="31" t="n">
        <v>94354</v>
      </c>
      <c r="J111" s="29" t="n">
        <v>45385</v>
      </c>
      <c r="K111" s="31" t="n">
        <v>7483</v>
      </c>
      <c r="L111" s="30" t="s">
        <v>32</v>
      </c>
      <c r="M111" s="10" t="n">
        <v>8</v>
      </c>
      <c r="N111" s="12" t="n">
        <v>-4753</v>
      </c>
      <c r="O111" s="13" t="n">
        <v>-0.0503747846653647</v>
      </c>
      <c r="P111" s="15" t="n">
        <v>0.14501819739335</v>
      </c>
      <c r="Q111" s="13" t="n">
        <v>-0.0533218304229266</v>
      </c>
      <c r="R111" s="15" t="n">
        <v>0.0760157273918742</v>
      </c>
      <c r="S111" s="32" t="n">
        <v>45405166910</v>
      </c>
      <c r="T111" s="15" t="n">
        <v>0.0098400984009841</v>
      </c>
      <c r="U111" s="32" t="n">
        <v>5279762725.5</v>
      </c>
      <c r="V111" s="14" t="n">
        <v>7.8403480988208</v>
      </c>
      <c r="W111" s="13" t="n">
        <v>0.0593548387096774</v>
      </c>
      <c r="X111" s="15" t="n">
        <v>0.0499390986601704</v>
      </c>
      <c r="Y111" s="13" t="n">
        <v>-0.00228686757221785</v>
      </c>
      <c r="Z111" s="13" t="n">
        <v>0.0306430082044666</v>
      </c>
      <c r="AA111" s="30" t="s">
        <v>97</v>
      </c>
      <c r="AB111" s="28" t="s">
        <v>93</v>
      </c>
      <c r="AC111" s="28" t="s">
        <v>101</v>
      </c>
      <c r="AD111" s="28" t="s">
        <v>107</v>
      </c>
      <c r="AE111" s="28" t="s">
        <v>112</v>
      </c>
      <c r="AF111" s="28" t="s">
        <v>119</v>
      </c>
      <c r="AG111" s="30" t="s">
        <v>122</v>
      </c>
    </row>
    <row r="112" customFormat="false" ht="15" hidden="false" customHeight="false" outlineLevel="0" collapsed="false">
      <c r="A112" s="10" t="n">
        <v>2024</v>
      </c>
      <c r="B112" s="28" t="s">
        <v>53</v>
      </c>
      <c r="C112" s="29" t="n">
        <v>45373</v>
      </c>
      <c r="D112" s="30" t="s">
        <v>129</v>
      </c>
      <c r="E112" s="28" t="s">
        <v>1259</v>
      </c>
      <c r="F112" s="30" t="s">
        <v>1260</v>
      </c>
      <c r="G112" s="31" t="n">
        <v>14084</v>
      </c>
      <c r="H112" s="31" t="n">
        <v>7</v>
      </c>
      <c r="I112" s="31" t="n">
        <v>98588</v>
      </c>
      <c r="J112" s="29" t="n">
        <v>45385</v>
      </c>
      <c r="K112" s="31" t="n">
        <v>13387</v>
      </c>
      <c r="L112" s="30" t="s">
        <v>32</v>
      </c>
      <c r="M112" s="10" t="n">
        <v>8</v>
      </c>
      <c r="N112" s="12" t="n">
        <v>-5080</v>
      </c>
      <c r="O112" s="13" t="n">
        <v>-0.0515253389467675</v>
      </c>
      <c r="P112" s="15" t="n">
        <v>0.0203016599605088</v>
      </c>
      <c r="Q112" s="13" t="n">
        <v>-0.0677410720054642</v>
      </c>
      <c r="R112" s="15" t="n">
        <v>0.0547226386806596</v>
      </c>
      <c r="S112" s="32" t="n">
        <v>41873515950</v>
      </c>
      <c r="T112" s="15" t="n">
        <v>0.0122302158273382</v>
      </c>
      <c r="U112" s="32" t="n">
        <v>3977845817</v>
      </c>
      <c r="V112" s="14" t="n">
        <v>10.0672875439311</v>
      </c>
      <c r="W112" s="13" t="n">
        <v>0.0531437125748504</v>
      </c>
      <c r="X112" s="15" t="n">
        <v>0.0305614783226724</v>
      </c>
      <c r="Y112" s="13" t="n">
        <v>-0.00228686757221785</v>
      </c>
      <c r="Z112" s="13" t="n">
        <v>0.0306430082044666</v>
      </c>
      <c r="AA112" s="30" t="s">
        <v>97</v>
      </c>
      <c r="AB112" s="28" t="s">
        <v>93</v>
      </c>
      <c r="AC112" s="28" t="s">
        <v>101</v>
      </c>
      <c r="AD112" s="28" t="s">
        <v>107</v>
      </c>
      <c r="AE112" s="28" t="s">
        <v>112</v>
      </c>
      <c r="AF112" s="28" t="s">
        <v>120</v>
      </c>
      <c r="AG112" s="30" t="s">
        <v>122</v>
      </c>
    </row>
    <row r="113" customFormat="false" ht="15" hidden="false" customHeight="false" outlineLevel="0" collapsed="false">
      <c r="A113" s="10" t="n">
        <v>2024</v>
      </c>
      <c r="B113" s="28" t="s">
        <v>53</v>
      </c>
      <c r="C113" s="29" t="n">
        <v>45373</v>
      </c>
      <c r="D113" s="30" t="s">
        <v>129</v>
      </c>
      <c r="E113" s="28" t="s">
        <v>171</v>
      </c>
      <c r="F113" s="30" t="s">
        <v>172</v>
      </c>
      <c r="G113" s="31" t="n">
        <v>58358</v>
      </c>
      <c r="H113" s="31" t="n">
        <v>1</v>
      </c>
      <c r="I113" s="31" t="n">
        <v>58358</v>
      </c>
      <c r="J113" s="29" t="n">
        <v>45397</v>
      </c>
      <c r="K113" s="31" t="n">
        <v>55544</v>
      </c>
      <c r="L113" s="30" t="s">
        <v>32</v>
      </c>
      <c r="M113" s="10" t="n">
        <v>15</v>
      </c>
      <c r="N113" s="12" t="n">
        <v>-2931</v>
      </c>
      <c r="O113" s="13" t="n">
        <v>-0.0502236241460085</v>
      </c>
      <c r="P113" s="15" t="n">
        <v>0.0881057193235582</v>
      </c>
      <c r="Q113" s="13" t="n">
        <v>-0.0489784657880712</v>
      </c>
      <c r="R113" s="15" t="n">
        <v>0.0697247706422017</v>
      </c>
      <c r="S113" s="32" t="n">
        <v>39140404600</v>
      </c>
      <c r="T113" s="15" t="n">
        <v>0.00171821305841924</v>
      </c>
      <c r="U113" s="32" t="n">
        <v>4681623225</v>
      </c>
      <c r="V113" s="14" t="n">
        <v>8.00309460970487</v>
      </c>
      <c r="W113" s="13" t="n">
        <v>0.0638686131386861</v>
      </c>
      <c r="X113" s="15" t="n">
        <v>0.0497427101200687</v>
      </c>
      <c r="Y113" s="13" t="n">
        <v>-0.00228686757221785</v>
      </c>
      <c r="Z113" s="13" t="n">
        <v>0.0306430082044666</v>
      </c>
      <c r="AA113" s="30" t="s">
        <v>97</v>
      </c>
      <c r="AB113" s="28" t="s">
        <v>93</v>
      </c>
      <c r="AC113" s="28" t="s">
        <v>101</v>
      </c>
      <c r="AD113" s="28" t="s">
        <v>107</v>
      </c>
      <c r="AE113" s="28" t="s">
        <v>112</v>
      </c>
      <c r="AF113" s="28" t="s">
        <v>119</v>
      </c>
      <c r="AG113" s="30" t="s">
        <v>122</v>
      </c>
    </row>
    <row r="114" customFormat="false" ht="15" hidden="false" customHeight="false" outlineLevel="0" collapsed="false">
      <c r="A114" s="10" t="n">
        <v>2024</v>
      </c>
      <c r="B114" s="28" t="s">
        <v>53</v>
      </c>
      <c r="C114" s="29" t="n">
        <v>45373</v>
      </c>
      <c r="D114" s="30" t="s">
        <v>129</v>
      </c>
      <c r="E114" s="28" t="s">
        <v>1261</v>
      </c>
      <c r="F114" s="30" t="s">
        <v>1262</v>
      </c>
      <c r="G114" s="31" t="n">
        <v>34429</v>
      </c>
      <c r="H114" s="31" t="n">
        <v>2</v>
      </c>
      <c r="I114" s="31" t="n">
        <v>68858</v>
      </c>
      <c r="J114" s="29" t="n">
        <v>45377</v>
      </c>
      <c r="K114" s="31" t="n">
        <v>32767</v>
      </c>
      <c r="L114" s="30" t="s">
        <v>32</v>
      </c>
      <c r="M114" s="10" t="n">
        <v>2</v>
      </c>
      <c r="N114" s="12" t="n">
        <v>-3462</v>
      </c>
      <c r="O114" s="13" t="n">
        <v>-0.0502773266628383</v>
      </c>
      <c r="P114" s="15" t="n">
        <v>0.0624296338582053</v>
      </c>
      <c r="Q114" s="13" t="n">
        <v>-0.0644276358562073</v>
      </c>
      <c r="R114" s="15" t="n">
        <v>0.25</v>
      </c>
      <c r="S114" s="32" t="n">
        <v>32765033700</v>
      </c>
      <c r="T114" s="15" t="n">
        <v>0.133093525179856</v>
      </c>
      <c r="U114" s="32" t="n">
        <v>3262026949.25</v>
      </c>
      <c r="V114" s="14" t="n">
        <v>8.07968169701934</v>
      </c>
      <c r="W114" s="13" t="n">
        <v>0.232876712328767</v>
      </c>
      <c r="X114" s="15" t="n">
        <v>0.0285714285714287</v>
      </c>
      <c r="Y114" s="13" t="n">
        <v>-0.00228686757221785</v>
      </c>
      <c r="Z114" s="13" t="n">
        <v>0.0306430082044666</v>
      </c>
      <c r="AA114" s="30" t="s">
        <v>97</v>
      </c>
      <c r="AB114" s="28" t="s">
        <v>93</v>
      </c>
      <c r="AC114" s="28" t="s">
        <v>104</v>
      </c>
      <c r="AD114" s="28" t="s">
        <v>107</v>
      </c>
      <c r="AE114" s="28" t="s">
        <v>114</v>
      </c>
      <c r="AF114" s="28" t="s">
        <v>119</v>
      </c>
      <c r="AG114" s="30" t="s">
        <v>122</v>
      </c>
    </row>
    <row r="115" customFormat="false" ht="15" hidden="false" customHeight="false" outlineLevel="0" collapsed="false">
      <c r="A115" s="10" t="n">
        <v>2024</v>
      </c>
      <c r="B115" s="28" t="s">
        <v>53</v>
      </c>
      <c r="C115" s="29" t="n">
        <v>45373</v>
      </c>
      <c r="D115" s="30" t="s">
        <v>129</v>
      </c>
      <c r="E115" s="28" t="s">
        <v>221</v>
      </c>
      <c r="F115" s="30" t="s">
        <v>222</v>
      </c>
      <c r="G115" s="31" t="n">
        <v>69069</v>
      </c>
      <c r="H115" s="31" t="n">
        <v>1</v>
      </c>
      <c r="I115" s="31" t="n">
        <v>69069</v>
      </c>
      <c r="J115" s="29" t="n">
        <v>45385</v>
      </c>
      <c r="K115" s="31" t="n">
        <v>65734</v>
      </c>
      <c r="L115" s="30" t="s">
        <v>32</v>
      </c>
      <c r="M115" s="10" t="n">
        <v>8</v>
      </c>
      <c r="N115" s="12" t="n">
        <v>-3473</v>
      </c>
      <c r="O115" s="13" t="n">
        <v>-0.0502880024323501</v>
      </c>
      <c r="P115" s="15" t="n">
        <v>0.0453314801140889</v>
      </c>
      <c r="Q115" s="13" t="n">
        <v>-0.0618077574599312</v>
      </c>
      <c r="R115" s="15" t="n">
        <v>0.0407239819004526</v>
      </c>
      <c r="S115" s="32" t="n">
        <v>26867979000</v>
      </c>
      <c r="T115" s="15" t="n">
        <v>0.0072992700729928</v>
      </c>
      <c r="U115" s="32" t="n">
        <v>8598916455</v>
      </c>
      <c r="V115" s="14" t="n">
        <v>2.92004887857858</v>
      </c>
      <c r="W115" s="13" t="n">
        <v>0.00145137880986934</v>
      </c>
      <c r="X115" s="15" t="n">
        <v>0.0391304347826087</v>
      </c>
      <c r="Y115" s="13" t="n">
        <v>-0.00228686757221785</v>
      </c>
      <c r="Z115" s="13" t="n">
        <v>0.0306430082044666</v>
      </c>
      <c r="AA115" s="30" t="s">
        <v>97</v>
      </c>
      <c r="AB115" s="28" t="s">
        <v>93</v>
      </c>
      <c r="AC115" s="28" t="s">
        <v>100</v>
      </c>
      <c r="AD115" s="28" t="s">
        <v>106</v>
      </c>
      <c r="AE115" s="28" t="s">
        <v>112</v>
      </c>
      <c r="AF115" s="28" t="s">
        <v>117</v>
      </c>
      <c r="AG115" s="30" t="s">
        <v>122</v>
      </c>
    </row>
    <row r="116" customFormat="false" ht="15" hidden="false" customHeight="false" outlineLevel="0" collapsed="false">
      <c r="A116" s="10" t="n">
        <v>2024</v>
      </c>
      <c r="B116" s="28" t="s">
        <v>53</v>
      </c>
      <c r="C116" s="29" t="n">
        <v>45373</v>
      </c>
      <c r="D116" s="30" t="s">
        <v>129</v>
      </c>
      <c r="E116" s="28" t="s">
        <v>1263</v>
      </c>
      <c r="F116" s="28" t="s">
        <v>1264</v>
      </c>
      <c r="G116" s="31" t="n">
        <v>4057</v>
      </c>
      <c r="H116" s="31" t="n">
        <v>24</v>
      </c>
      <c r="I116" s="31" t="n">
        <v>97374</v>
      </c>
      <c r="J116" s="29" t="n">
        <v>45376</v>
      </c>
      <c r="K116" s="31" t="n">
        <v>3861</v>
      </c>
      <c r="L116" s="30" t="s">
        <v>32</v>
      </c>
      <c r="M116" s="10" t="n">
        <v>1</v>
      </c>
      <c r="N116" s="12" t="n">
        <v>-4902</v>
      </c>
      <c r="O116" s="13" t="n">
        <v>-0.0503443298742791</v>
      </c>
      <c r="P116" s="15" t="n">
        <v>0.0234663295887787</v>
      </c>
      <c r="Q116" s="13" t="n">
        <v>-0.0845888805072478</v>
      </c>
      <c r="R116" s="15" t="n">
        <v>0.150234741784038</v>
      </c>
      <c r="S116" s="32" t="n">
        <v>21643447000</v>
      </c>
      <c r="T116" s="15" t="n">
        <v>0.131639722863741</v>
      </c>
      <c r="U116" s="32" t="n">
        <v>3864419597.55</v>
      </c>
      <c r="V116" s="14" t="n">
        <v>4.66495837973419</v>
      </c>
      <c r="W116" s="13" t="n">
        <v>0.152941176470588</v>
      </c>
      <c r="X116" s="15" t="n">
        <v>0.0244897959183674</v>
      </c>
      <c r="Y116" s="13" t="n">
        <v>-0.00228686757221785</v>
      </c>
      <c r="Z116" s="13" t="n">
        <v>0.0306430082044666</v>
      </c>
      <c r="AA116" s="30" t="s">
        <v>97</v>
      </c>
      <c r="AB116" s="28" t="s">
        <v>93</v>
      </c>
      <c r="AC116" s="28" t="s">
        <v>103</v>
      </c>
      <c r="AD116" s="28" t="s">
        <v>106</v>
      </c>
      <c r="AE116" s="28" t="s">
        <v>114</v>
      </c>
      <c r="AF116" s="28" t="s">
        <v>118</v>
      </c>
      <c r="AG116" s="30" t="s">
        <v>122</v>
      </c>
    </row>
    <row r="117" customFormat="false" ht="15" hidden="false" customHeight="false" outlineLevel="0" collapsed="false">
      <c r="A117" s="10" t="n">
        <v>2024</v>
      </c>
      <c r="B117" s="28" t="s">
        <v>53</v>
      </c>
      <c r="C117" s="29" t="n">
        <v>45377</v>
      </c>
      <c r="D117" s="30" t="s">
        <v>126</v>
      </c>
      <c r="E117" s="28" t="s">
        <v>427</v>
      </c>
      <c r="F117" s="30" t="s">
        <v>428</v>
      </c>
      <c r="G117" s="31" t="n">
        <v>87187</v>
      </c>
      <c r="H117" s="31" t="n">
        <v>1</v>
      </c>
      <c r="I117" s="31" t="n">
        <v>87187</v>
      </c>
      <c r="J117" s="29" t="n">
        <v>45383</v>
      </c>
      <c r="K117" s="31" t="n">
        <v>82917</v>
      </c>
      <c r="L117" s="30" t="s">
        <v>32</v>
      </c>
      <c r="M117" s="10" t="n">
        <v>4</v>
      </c>
      <c r="N117" s="12" t="n">
        <v>-4445</v>
      </c>
      <c r="O117" s="13" t="n">
        <v>-0.0509807782917427</v>
      </c>
      <c r="P117" s="15" t="n">
        <v>0.0632306843558279</v>
      </c>
      <c r="Q117" s="13" t="n">
        <v>-0.0663756450208803</v>
      </c>
      <c r="R117" s="15" t="n">
        <v>0.101137800252845</v>
      </c>
      <c r="S117" s="32" t="n">
        <v>51982238100</v>
      </c>
      <c r="T117" s="15" t="n">
        <v>0.0793060718711276</v>
      </c>
      <c r="U117" s="32" t="n">
        <v>8729230680</v>
      </c>
      <c r="V117" s="14" t="n">
        <v>5.16424604306026</v>
      </c>
      <c r="W117" s="13" t="n">
        <v>0.0955974842767295</v>
      </c>
      <c r="X117" s="15" t="n">
        <v>0.00344431687715274</v>
      </c>
      <c r="Y117" s="13" t="n">
        <v>0.00713041127715464</v>
      </c>
      <c r="Z117" s="13" t="n">
        <v>0.0379945560713357</v>
      </c>
      <c r="AA117" s="30" t="s">
        <v>97</v>
      </c>
      <c r="AB117" s="28" t="s">
        <v>93</v>
      </c>
      <c r="AC117" s="28" t="s">
        <v>102</v>
      </c>
      <c r="AD117" s="28" t="s">
        <v>108</v>
      </c>
      <c r="AE117" s="28" t="s">
        <v>101</v>
      </c>
      <c r="AF117" s="28" t="s">
        <v>119</v>
      </c>
      <c r="AG117" s="30" t="s">
        <v>122</v>
      </c>
    </row>
    <row r="118" customFormat="false" ht="15" hidden="false" customHeight="false" outlineLevel="0" collapsed="false">
      <c r="A118" s="10" t="n">
        <v>2024</v>
      </c>
      <c r="B118" s="28" t="s">
        <v>53</v>
      </c>
      <c r="C118" s="29" t="n">
        <v>45377</v>
      </c>
      <c r="D118" s="30" t="s">
        <v>126</v>
      </c>
      <c r="E118" s="28" t="s">
        <v>1265</v>
      </c>
      <c r="F118" s="30" t="s">
        <v>1266</v>
      </c>
      <c r="G118" s="31" t="n">
        <v>6066</v>
      </c>
      <c r="H118" s="31" t="n">
        <v>16</v>
      </c>
      <c r="I118" s="31" t="n">
        <v>97057</v>
      </c>
      <c r="J118" s="29" t="n">
        <v>45378</v>
      </c>
      <c r="K118" s="31" t="n">
        <v>5774</v>
      </c>
      <c r="L118" s="30" t="s">
        <v>32</v>
      </c>
      <c r="M118" s="10" t="n">
        <v>1</v>
      </c>
      <c r="N118" s="12" t="n">
        <v>-4864</v>
      </c>
      <c r="O118" s="13" t="n">
        <v>-0.0501164904402529</v>
      </c>
      <c r="P118" s="15" t="n">
        <v>-0.00429603399900425</v>
      </c>
      <c r="Q118" s="13" t="n">
        <v>-0.0718852104990718</v>
      </c>
      <c r="R118" s="15" t="n">
        <v>0.0539130434782609</v>
      </c>
      <c r="S118" s="32" t="n">
        <v>26619671100</v>
      </c>
      <c r="T118" s="15" t="n">
        <v>0.035897435897436</v>
      </c>
      <c r="U118" s="32" t="n">
        <v>19366263284.75</v>
      </c>
      <c r="V118" s="14" t="n">
        <v>1.26427341992697</v>
      </c>
      <c r="W118" s="13" t="n">
        <v>0.0466321243523316</v>
      </c>
      <c r="X118" s="15" t="n">
        <v>0.0231023102310231</v>
      </c>
      <c r="Y118" s="13" t="n">
        <v>0.00713041127715464</v>
      </c>
      <c r="Z118" s="13" t="n">
        <v>0.0379945560713357</v>
      </c>
      <c r="AA118" s="30" t="s">
        <v>97</v>
      </c>
      <c r="AB118" s="28" t="s">
        <v>93</v>
      </c>
      <c r="AC118" s="28" t="s">
        <v>101</v>
      </c>
      <c r="AD118" s="28" t="s">
        <v>106</v>
      </c>
      <c r="AE118" s="28" t="s">
        <v>113</v>
      </c>
      <c r="AF118" s="28" t="s">
        <v>116</v>
      </c>
      <c r="AG118" s="30" t="s">
        <v>122</v>
      </c>
    </row>
    <row r="119" customFormat="false" ht="15" hidden="false" customHeight="false" outlineLevel="0" collapsed="false">
      <c r="A119" s="10" t="n">
        <v>2024</v>
      </c>
      <c r="B119" s="28" t="s">
        <v>53</v>
      </c>
      <c r="C119" s="29" t="n">
        <v>45379</v>
      </c>
      <c r="D119" s="30" t="s">
        <v>128</v>
      </c>
      <c r="E119" s="28" t="s">
        <v>291</v>
      </c>
      <c r="F119" s="30" t="s">
        <v>292</v>
      </c>
      <c r="G119" s="31" t="n">
        <v>27502</v>
      </c>
      <c r="H119" s="31" t="n">
        <v>3</v>
      </c>
      <c r="I119" s="31" t="n">
        <v>82506</v>
      </c>
      <c r="J119" s="29" t="n">
        <v>45384</v>
      </c>
      <c r="K119" s="31" t="n">
        <v>26174</v>
      </c>
      <c r="L119" s="30" t="s">
        <v>32</v>
      </c>
      <c r="M119" s="10" t="n">
        <v>3</v>
      </c>
      <c r="N119" s="12" t="n">
        <v>-4150</v>
      </c>
      <c r="O119" s="13" t="n">
        <v>-0.0503048481567863</v>
      </c>
      <c r="P119" s="15" t="n">
        <v>0.0465724751439038</v>
      </c>
      <c r="Q119" s="13" t="n">
        <v>-0.074999074999075</v>
      </c>
      <c r="R119" s="15" t="n">
        <v>0.053903345724907</v>
      </c>
      <c r="S119" s="32" t="n">
        <v>43089278400</v>
      </c>
      <c r="T119" s="15" t="n">
        <v>0.0161290322580645</v>
      </c>
      <c r="U119" s="32" t="n">
        <v>16511039882.5</v>
      </c>
      <c r="V119" s="14" t="n">
        <v>2.32040992019576</v>
      </c>
      <c r="W119" s="13" t="n">
        <v>0.051948051948052</v>
      </c>
      <c r="X119" s="15" t="n">
        <v>0.0423280423280423</v>
      </c>
      <c r="Y119" s="13" t="n">
        <v>-0.00337191618483468</v>
      </c>
      <c r="Z119" s="13" t="n">
        <v>-0.00328147346870622</v>
      </c>
      <c r="AA119" s="30" t="s">
        <v>97</v>
      </c>
      <c r="AB119" s="28" t="s">
        <v>94</v>
      </c>
      <c r="AC119" s="28" t="s">
        <v>101</v>
      </c>
      <c r="AD119" s="28" t="s">
        <v>107</v>
      </c>
      <c r="AE119" s="28" t="s">
        <v>112</v>
      </c>
      <c r="AF119" s="28" t="s">
        <v>117</v>
      </c>
      <c r="AG119" s="30" t="s">
        <v>122</v>
      </c>
    </row>
    <row r="120" customFormat="false" ht="15" hidden="false" customHeight="false" outlineLevel="0" collapsed="false">
      <c r="A120" s="10" t="n">
        <v>2024</v>
      </c>
      <c r="B120" s="28" t="s">
        <v>53</v>
      </c>
      <c r="C120" s="29" t="n">
        <v>45380</v>
      </c>
      <c r="D120" s="30" t="s">
        <v>129</v>
      </c>
      <c r="E120" s="28" t="s">
        <v>411</v>
      </c>
      <c r="F120" s="30" t="s">
        <v>412</v>
      </c>
      <c r="G120" s="31" t="n">
        <v>8729</v>
      </c>
      <c r="H120" s="31" t="n">
        <v>11</v>
      </c>
      <c r="I120" s="31" t="n">
        <v>96016</v>
      </c>
      <c r="J120" s="29" t="n">
        <v>45384</v>
      </c>
      <c r="K120" s="31" t="n">
        <v>8302</v>
      </c>
      <c r="L120" s="30" t="s">
        <v>32</v>
      </c>
      <c r="M120" s="10" t="n">
        <v>2</v>
      </c>
      <c r="N120" s="12" t="n">
        <v>-4890</v>
      </c>
      <c r="O120" s="13" t="n">
        <v>-0.0509270091720205</v>
      </c>
      <c r="P120" s="15" t="n">
        <v>0.00931178912830299</v>
      </c>
      <c r="Q120" s="13" t="n">
        <v>-0.112126405704387</v>
      </c>
      <c r="R120" s="15" t="n">
        <v>0.151915455746367</v>
      </c>
      <c r="S120" s="32" t="n">
        <v>207611672160</v>
      </c>
      <c r="T120" s="15" t="n">
        <v>0.080545229244114</v>
      </c>
      <c r="U120" s="32" t="n">
        <v>9973032059.5</v>
      </c>
      <c r="V120" s="14" t="n">
        <v>17.7273582688441</v>
      </c>
      <c r="W120" s="13" t="n">
        <v>0.133940182054616</v>
      </c>
      <c r="X120" s="15" t="n">
        <v>0.0825688073394495</v>
      </c>
      <c r="Y120" s="13" t="n">
        <v>0.000294993845190161</v>
      </c>
      <c r="Z120" s="13" t="n">
        <v>-0.00070218587187465</v>
      </c>
      <c r="AA120" s="30" t="s">
        <v>97</v>
      </c>
      <c r="AB120" s="28" t="s">
        <v>94</v>
      </c>
      <c r="AC120" s="28" t="s">
        <v>103</v>
      </c>
      <c r="AD120" s="28" t="s">
        <v>110</v>
      </c>
      <c r="AE120" s="28" t="s">
        <v>101</v>
      </c>
      <c r="AF120" s="28" t="s">
        <v>120</v>
      </c>
      <c r="AG120" s="30" t="s">
        <v>122</v>
      </c>
    </row>
    <row r="121" customFormat="false" ht="15" hidden="false" customHeight="false" outlineLevel="0" collapsed="false">
      <c r="A121" s="10" t="n">
        <v>2024</v>
      </c>
      <c r="B121" s="28" t="s">
        <v>53</v>
      </c>
      <c r="C121" s="29" t="n">
        <v>45380</v>
      </c>
      <c r="D121" s="30" t="s">
        <v>129</v>
      </c>
      <c r="E121" s="28" t="s">
        <v>653</v>
      </c>
      <c r="F121" s="30" t="s">
        <v>654</v>
      </c>
      <c r="G121" s="31" t="n">
        <v>26768</v>
      </c>
      <c r="H121" s="31" t="n">
        <v>3</v>
      </c>
      <c r="I121" s="31" t="n">
        <v>80303</v>
      </c>
      <c r="J121" s="29" t="n">
        <v>45390</v>
      </c>
      <c r="K121" s="31" t="n">
        <v>25474</v>
      </c>
      <c r="L121" s="30" t="s">
        <v>32</v>
      </c>
      <c r="M121" s="10" t="n">
        <v>6</v>
      </c>
      <c r="N121" s="12" t="n">
        <v>-4041</v>
      </c>
      <c r="O121" s="13" t="n">
        <v>-0.0503172846187786</v>
      </c>
      <c r="P121" s="15" t="n">
        <v>0.0254295968581686</v>
      </c>
      <c r="Q121" s="13" t="n">
        <v>-0.057380009760962</v>
      </c>
      <c r="R121" s="15" t="n">
        <v>0.0253164556962024</v>
      </c>
      <c r="S121" s="32" t="n">
        <v>39656206800</v>
      </c>
      <c r="T121" s="15" t="n">
        <v>0.0197841726618704</v>
      </c>
      <c r="U121" s="32" t="n">
        <v>22842259960</v>
      </c>
      <c r="V121" s="14" t="n">
        <v>1.67744212405074</v>
      </c>
      <c r="W121" s="13" t="n">
        <v>0.0179533213644525</v>
      </c>
      <c r="X121" s="15" t="n">
        <v>0.00881834215167543</v>
      </c>
      <c r="Y121" s="13" t="n">
        <v>0.000294993845190161</v>
      </c>
      <c r="Z121" s="13" t="n">
        <v>-0.00070218587187465</v>
      </c>
      <c r="AA121" s="30" t="s">
        <v>97</v>
      </c>
      <c r="AB121" s="28" t="s">
        <v>94</v>
      </c>
      <c r="AC121" s="28" t="s">
        <v>99</v>
      </c>
      <c r="AD121" s="28" t="s">
        <v>107</v>
      </c>
      <c r="AE121" s="28" t="s">
        <v>112</v>
      </c>
      <c r="AF121" s="28" t="s">
        <v>116</v>
      </c>
      <c r="AG121" s="30" t="s">
        <v>122</v>
      </c>
    </row>
    <row r="122" customFormat="false" ht="15" hidden="false" customHeight="false" outlineLevel="0" collapsed="false">
      <c r="A122" s="10" t="n">
        <v>2024</v>
      </c>
      <c r="B122" s="28" t="s">
        <v>53</v>
      </c>
      <c r="C122" s="29" t="n">
        <v>45380</v>
      </c>
      <c r="D122" s="30" t="s">
        <v>129</v>
      </c>
      <c r="E122" s="28" t="s">
        <v>671</v>
      </c>
      <c r="F122" s="28" t="s">
        <v>672</v>
      </c>
      <c r="G122" s="31" t="n">
        <v>71972</v>
      </c>
      <c r="H122" s="31" t="n">
        <v>1</v>
      </c>
      <c r="I122" s="31" t="n">
        <v>71972</v>
      </c>
      <c r="J122" s="29" t="n">
        <v>45393</v>
      </c>
      <c r="K122" s="31" t="n">
        <v>68232</v>
      </c>
      <c r="L122" s="30" t="s">
        <v>32</v>
      </c>
      <c r="M122" s="10" t="n">
        <v>8</v>
      </c>
      <c r="N122" s="12" t="n">
        <v>-3884</v>
      </c>
      <c r="O122" s="13" t="n">
        <v>-0.0539661673514247</v>
      </c>
      <c r="P122" s="15" t="n">
        <v>0.0128953105309155</v>
      </c>
      <c r="Q122" s="13" t="n">
        <v>-0.0746388521075586</v>
      </c>
      <c r="R122" s="15" t="n">
        <v>0.0435413642960814</v>
      </c>
      <c r="S122" s="32" t="n">
        <v>32693217600</v>
      </c>
      <c r="T122" s="15" t="n">
        <v>0.0169731258840169</v>
      </c>
      <c r="U122" s="32" t="n">
        <v>15918082515</v>
      </c>
      <c r="V122" s="14" t="n">
        <v>1.9701511938006</v>
      </c>
      <c r="W122" s="13" t="n">
        <v>0.0360230547550433</v>
      </c>
      <c r="X122" s="15" t="n">
        <v>0.0125173852573017</v>
      </c>
      <c r="Y122" s="13" t="n">
        <v>0.000294993845190161</v>
      </c>
      <c r="Z122" s="13" t="n">
        <v>-0.00070218587187465</v>
      </c>
      <c r="AA122" s="30" t="s">
        <v>97</v>
      </c>
      <c r="AB122" s="28" t="s">
        <v>94</v>
      </c>
      <c r="AC122" s="28" t="s">
        <v>100</v>
      </c>
      <c r="AD122" s="28" t="s">
        <v>107</v>
      </c>
      <c r="AE122" s="28" t="s">
        <v>112</v>
      </c>
      <c r="AF122" s="28" t="s">
        <v>116</v>
      </c>
      <c r="AG122" s="30" t="s">
        <v>122</v>
      </c>
    </row>
    <row r="123" customFormat="false" ht="15" hidden="false" customHeight="false" outlineLevel="0" collapsed="false">
      <c r="A123" s="10" t="n">
        <v>2024</v>
      </c>
      <c r="B123" s="28" t="s">
        <v>54</v>
      </c>
      <c r="C123" s="29" t="n">
        <v>45383</v>
      </c>
      <c r="D123" s="30" t="s">
        <v>125</v>
      </c>
      <c r="E123" s="28" t="s">
        <v>747</v>
      </c>
      <c r="F123" s="30" t="s">
        <v>748</v>
      </c>
      <c r="G123" s="31" t="n">
        <v>62963</v>
      </c>
      <c r="H123" s="31" t="n">
        <v>1</v>
      </c>
      <c r="I123" s="31" t="n">
        <v>62963</v>
      </c>
      <c r="J123" s="29" t="n">
        <v>45386</v>
      </c>
      <c r="K123" s="31" t="n">
        <v>59940</v>
      </c>
      <c r="L123" s="30" t="s">
        <v>32</v>
      </c>
      <c r="M123" s="10" t="n">
        <v>3</v>
      </c>
      <c r="N123" s="12" t="n">
        <v>-3149</v>
      </c>
      <c r="O123" s="13" t="n">
        <v>-0.0500171916318975</v>
      </c>
      <c r="P123" s="15" t="n">
        <v>0.000589235883353689</v>
      </c>
      <c r="Q123" s="13" t="n">
        <v>-0.0565872918814094</v>
      </c>
      <c r="R123" s="15" t="n">
        <v>0.0483333333333333</v>
      </c>
      <c r="S123" s="32" t="n">
        <v>65442732500</v>
      </c>
      <c r="T123" s="15" t="n">
        <v>0.0379537953795379</v>
      </c>
      <c r="U123" s="32" t="n">
        <v>20786415195</v>
      </c>
      <c r="V123" s="14" t="n">
        <v>2.94902412294221</v>
      </c>
      <c r="W123" s="13" t="n">
        <v>0.0413907284768211</v>
      </c>
      <c r="X123" s="15" t="n">
        <v>0.00158982511923678</v>
      </c>
      <c r="Y123" s="13" t="n">
        <v>0.000447821512180369</v>
      </c>
      <c r="Z123" s="13" t="n">
        <v>0.00375880799395079</v>
      </c>
      <c r="AA123" s="30" t="s">
        <v>97</v>
      </c>
      <c r="AB123" s="28" t="s">
        <v>93</v>
      </c>
      <c r="AC123" s="28" t="s">
        <v>100</v>
      </c>
      <c r="AD123" s="28" t="s">
        <v>108</v>
      </c>
      <c r="AE123" s="28" t="s">
        <v>113</v>
      </c>
      <c r="AF123" s="28" t="s">
        <v>117</v>
      </c>
      <c r="AG123" s="30" t="s">
        <v>122</v>
      </c>
    </row>
    <row r="124" customFormat="false" ht="15" hidden="false" customHeight="false" outlineLevel="0" collapsed="false">
      <c r="A124" s="10" t="n">
        <v>2024</v>
      </c>
      <c r="B124" s="28" t="s">
        <v>54</v>
      </c>
      <c r="C124" s="29" t="n">
        <v>45383</v>
      </c>
      <c r="D124" s="30" t="s">
        <v>125</v>
      </c>
      <c r="E124" s="28" t="s">
        <v>519</v>
      </c>
      <c r="F124" s="30" t="s">
        <v>520</v>
      </c>
      <c r="G124" s="31" t="n">
        <v>95595</v>
      </c>
      <c r="H124" s="31" t="n">
        <v>1</v>
      </c>
      <c r="I124" s="31" t="n">
        <v>95595</v>
      </c>
      <c r="J124" s="29" t="n">
        <v>45399</v>
      </c>
      <c r="K124" s="31" t="n">
        <v>91009</v>
      </c>
      <c r="L124" s="30" t="s">
        <v>32</v>
      </c>
      <c r="M124" s="10" t="n">
        <v>11</v>
      </c>
      <c r="N124" s="12" t="n">
        <v>-4778</v>
      </c>
      <c r="O124" s="13" t="n">
        <v>-0.0499856863555293</v>
      </c>
      <c r="P124" s="15" t="n">
        <v>0.0314293036806128</v>
      </c>
      <c r="Q124" s="13" t="n">
        <v>-0.050164495190673</v>
      </c>
      <c r="R124" s="15" t="n">
        <v>0.0494505494505495</v>
      </c>
      <c r="S124" s="32" t="n">
        <v>50042382000</v>
      </c>
      <c r="T124" s="15" t="n">
        <v>0.0127253446447508</v>
      </c>
      <c r="U124" s="32" t="n">
        <v>26310000910</v>
      </c>
      <c r="V124" s="14" t="n">
        <v>1.83500490264743</v>
      </c>
      <c r="W124" s="13" t="n">
        <v>0.0414394765539803</v>
      </c>
      <c r="X124" s="15" t="n">
        <v>0.00628272251308903</v>
      </c>
      <c r="Y124" s="13" t="n">
        <v>0.000447821512180369</v>
      </c>
      <c r="Z124" s="13" t="n">
        <v>0.00375880799395079</v>
      </c>
      <c r="AA124" s="30" t="s">
        <v>97</v>
      </c>
      <c r="AB124" s="28" t="s">
        <v>93</v>
      </c>
      <c r="AC124" s="28" t="s">
        <v>100</v>
      </c>
      <c r="AD124" s="28" t="s">
        <v>108</v>
      </c>
      <c r="AE124" s="28" t="s">
        <v>112</v>
      </c>
      <c r="AF124" s="28" t="s">
        <v>116</v>
      </c>
      <c r="AG124" s="30" t="s">
        <v>122</v>
      </c>
    </row>
    <row r="125" customFormat="false" ht="15" hidden="false" customHeight="false" outlineLevel="0" collapsed="false">
      <c r="A125" s="10" t="n">
        <v>2024</v>
      </c>
      <c r="B125" s="28" t="s">
        <v>54</v>
      </c>
      <c r="C125" s="29" t="n">
        <v>45383</v>
      </c>
      <c r="D125" s="30" t="s">
        <v>125</v>
      </c>
      <c r="E125" s="28" t="s">
        <v>953</v>
      </c>
      <c r="F125" s="30" t="s">
        <v>954</v>
      </c>
      <c r="G125" s="31" t="n">
        <v>28078</v>
      </c>
      <c r="H125" s="31" t="n">
        <v>3</v>
      </c>
      <c r="I125" s="31" t="n">
        <v>84234</v>
      </c>
      <c r="J125" s="29" t="n">
        <v>45385</v>
      </c>
      <c r="K125" s="31" t="n">
        <v>26723</v>
      </c>
      <c r="L125" s="30" t="s">
        <v>32</v>
      </c>
      <c r="M125" s="10" t="n">
        <v>2</v>
      </c>
      <c r="N125" s="12" t="n">
        <v>-4233</v>
      </c>
      <c r="O125" s="13" t="n">
        <v>-0.0502571241592633</v>
      </c>
      <c r="P125" s="15" t="n">
        <v>0.00434325033255534</v>
      </c>
      <c r="Q125" s="13" t="n">
        <v>-0.102501776298568</v>
      </c>
      <c r="R125" s="15" t="n">
        <v>0.083011583011583</v>
      </c>
      <c r="S125" s="32" t="n">
        <v>40408998300</v>
      </c>
      <c r="T125" s="15" t="n">
        <v>0.03125</v>
      </c>
      <c r="U125" s="32" t="n">
        <v>35889881273.5</v>
      </c>
      <c r="V125" s="14" t="n">
        <v>0.991075643846487</v>
      </c>
      <c r="W125" s="13" t="n">
        <v>0.0809248554913296</v>
      </c>
      <c r="X125" s="15" t="n">
        <v>0.00891265597147961</v>
      </c>
      <c r="Y125" s="13" t="n">
        <v>0.000447821512180369</v>
      </c>
      <c r="Z125" s="13" t="n">
        <v>0.00375880799395079</v>
      </c>
      <c r="AA125" s="30" t="s">
        <v>97</v>
      </c>
      <c r="AB125" s="28" t="s">
        <v>93</v>
      </c>
      <c r="AC125" s="28" t="s">
        <v>101</v>
      </c>
      <c r="AD125" s="28" t="s">
        <v>107</v>
      </c>
      <c r="AE125" s="28" t="s">
        <v>113</v>
      </c>
      <c r="AF125" s="28" t="s">
        <v>116</v>
      </c>
      <c r="AG125" s="30" t="s">
        <v>122</v>
      </c>
    </row>
    <row r="126" customFormat="false" ht="15" hidden="false" customHeight="false" outlineLevel="0" collapsed="false">
      <c r="A126" s="10" t="n">
        <v>2024</v>
      </c>
      <c r="B126" s="28" t="s">
        <v>54</v>
      </c>
      <c r="C126" s="29" t="n">
        <v>45383</v>
      </c>
      <c r="D126" s="30" t="s">
        <v>125</v>
      </c>
      <c r="E126" s="28" t="s">
        <v>695</v>
      </c>
      <c r="F126" s="30" t="s">
        <v>696</v>
      </c>
      <c r="G126" s="31" t="n">
        <v>51551</v>
      </c>
      <c r="H126" s="31" t="n">
        <v>1</v>
      </c>
      <c r="I126" s="31" t="n">
        <v>51551</v>
      </c>
      <c r="J126" s="29" t="n">
        <v>45386</v>
      </c>
      <c r="K126" s="31" t="n">
        <v>49051</v>
      </c>
      <c r="L126" s="30" t="s">
        <v>32</v>
      </c>
      <c r="M126" s="10" t="n">
        <v>3</v>
      </c>
      <c r="N126" s="12" t="n">
        <v>-2604</v>
      </c>
      <c r="O126" s="13" t="n">
        <v>-0.0505122446485553</v>
      </c>
      <c r="P126" s="15" t="n">
        <v>0.00676023006120108</v>
      </c>
      <c r="Q126" s="13" t="n">
        <v>-0.049494195125263</v>
      </c>
      <c r="R126" s="15" t="n">
        <v>0.105150214592275</v>
      </c>
      <c r="S126" s="32" t="n">
        <v>37558435000</v>
      </c>
      <c r="T126" s="15" t="n">
        <v>0.0842105263157895</v>
      </c>
      <c r="U126" s="32" t="n">
        <v>6908301147.5</v>
      </c>
      <c r="V126" s="14" t="n">
        <v>4.80772622020057</v>
      </c>
      <c r="W126" s="13" t="n">
        <v>0.105150214592275</v>
      </c>
      <c r="X126" s="15" t="n">
        <v>0.00776699029126204</v>
      </c>
      <c r="Y126" s="13" t="n">
        <v>0.000447821512180369</v>
      </c>
      <c r="Z126" s="13" t="n">
        <v>0.00375880799395079</v>
      </c>
      <c r="AA126" s="30" t="s">
        <v>97</v>
      </c>
      <c r="AB126" s="28" t="s">
        <v>93</v>
      </c>
      <c r="AC126" s="28" t="s">
        <v>102</v>
      </c>
      <c r="AD126" s="28" t="s">
        <v>107</v>
      </c>
      <c r="AE126" s="28" t="s">
        <v>101</v>
      </c>
      <c r="AF126" s="28" t="s">
        <v>118</v>
      </c>
      <c r="AG126" s="30" t="s">
        <v>122</v>
      </c>
    </row>
    <row r="127" customFormat="false" ht="15" hidden="false" customHeight="false" outlineLevel="0" collapsed="false">
      <c r="A127" s="10" t="n">
        <v>2024</v>
      </c>
      <c r="B127" s="28" t="s">
        <v>54</v>
      </c>
      <c r="C127" s="29" t="n">
        <v>45383</v>
      </c>
      <c r="D127" s="30" t="s">
        <v>125</v>
      </c>
      <c r="E127" s="28" t="s">
        <v>483</v>
      </c>
      <c r="F127" s="28" t="s">
        <v>484</v>
      </c>
      <c r="G127" s="31" t="n">
        <v>76576</v>
      </c>
      <c r="H127" s="31" t="n">
        <v>1</v>
      </c>
      <c r="I127" s="31" t="n">
        <v>76576</v>
      </c>
      <c r="J127" s="29" t="n">
        <v>45385</v>
      </c>
      <c r="K127" s="31" t="n">
        <v>72827</v>
      </c>
      <c r="L127" s="30" t="s">
        <v>32</v>
      </c>
      <c r="M127" s="10" t="n">
        <v>2</v>
      </c>
      <c r="N127" s="12" t="n">
        <v>-3903</v>
      </c>
      <c r="O127" s="13" t="n">
        <v>-0.0509673244402656</v>
      </c>
      <c r="P127" s="15" t="n">
        <v>0.00944806827159783</v>
      </c>
      <c r="Q127" s="13" t="n">
        <v>-0.0532343473519943</v>
      </c>
      <c r="R127" s="15" t="n">
        <v>0.0881934566145093</v>
      </c>
      <c r="S127" s="32" t="n">
        <v>35242020000</v>
      </c>
      <c r="T127" s="15" t="n">
        <v>0.0654596100278551</v>
      </c>
      <c r="U127" s="32" t="n">
        <v>8360233035</v>
      </c>
      <c r="V127" s="14" t="n">
        <v>3.81749477940933</v>
      </c>
      <c r="W127" s="13" t="n">
        <v>0.0729312762973353</v>
      </c>
      <c r="X127" s="15" t="n">
        <v>0.0117647058823529</v>
      </c>
      <c r="Y127" s="13" t="n">
        <v>0.000447821512180369</v>
      </c>
      <c r="Z127" s="13" t="n">
        <v>0.00375880799395079</v>
      </c>
      <c r="AA127" s="30" t="s">
        <v>97</v>
      </c>
      <c r="AB127" s="28" t="s">
        <v>93</v>
      </c>
      <c r="AC127" s="28" t="s">
        <v>101</v>
      </c>
      <c r="AD127" s="28" t="s">
        <v>107</v>
      </c>
      <c r="AE127" s="28" t="s">
        <v>101</v>
      </c>
      <c r="AF127" s="28" t="s">
        <v>118</v>
      </c>
      <c r="AG127" s="30" t="s">
        <v>122</v>
      </c>
    </row>
    <row r="128" customFormat="false" ht="15" hidden="false" customHeight="false" outlineLevel="0" collapsed="false">
      <c r="A128" s="10" t="n">
        <v>2024</v>
      </c>
      <c r="B128" s="28" t="s">
        <v>54</v>
      </c>
      <c r="C128" s="29" t="n">
        <v>45386</v>
      </c>
      <c r="D128" s="30" t="s">
        <v>128</v>
      </c>
      <c r="E128" s="28" t="s">
        <v>1267</v>
      </c>
      <c r="F128" s="30" t="s">
        <v>1268</v>
      </c>
      <c r="G128" s="31" t="n">
        <v>8609</v>
      </c>
      <c r="H128" s="31" t="n">
        <v>11</v>
      </c>
      <c r="I128" s="31" t="n">
        <v>94695</v>
      </c>
      <c r="J128" s="29" t="n">
        <v>45397</v>
      </c>
      <c r="K128" s="31" t="n">
        <v>8192</v>
      </c>
      <c r="L128" s="30" t="s">
        <v>32</v>
      </c>
      <c r="M128" s="10" t="n">
        <v>6</v>
      </c>
      <c r="N128" s="12" t="n">
        <v>-4775</v>
      </c>
      <c r="O128" s="13" t="n">
        <v>-0.0504222870153101</v>
      </c>
      <c r="P128" s="15" t="n">
        <v>0.04314290360802</v>
      </c>
      <c r="Q128" s="13" t="n">
        <v>-0.0590804544292914</v>
      </c>
      <c r="R128" s="15" t="n">
        <v>0.127129750982962</v>
      </c>
      <c r="S128" s="32" t="n">
        <v>55742112600</v>
      </c>
      <c r="T128" s="15" t="n">
        <v>0.105398457583548</v>
      </c>
      <c r="U128" s="32" t="n">
        <v>3129151635.5</v>
      </c>
      <c r="V128" s="14" t="n">
        <v>15.6792475286038</v>
      </c>
      <c r="W128" s="13" t="n">
        <v>0.127129750982962</v>
      </c>
      <c r="X128" s="15" t="n">
        <v>0.11046511627907</v>
      </c>
      <c r="Y128" s="13" t="n">
        <v>0.0129406679793276</v>
      </c>
      <c r="Z128" s="13" t="n">
        <v>-0.00139120554151406</v>
      </c>
      <c r="AA128" s="30" t="s">
        <v>97</v>
      </c>
      <c r="AB128" s="28" t="s">
        <v>94</v>
      </c>
      <c r="AC128" s="28" t="s">
        <v>102</v>
      </c>
      <c r="AD128" s="28" t="s">
        <v>108</v>
      </c>
      <c r="AE128" s="28" t="s">
        <v>114</v>
      </c>
      <c r="AF128" s="28" t="s">
        <v>120</v>
      </c>
      <c r="AG128" s="30" t="s">
        <v>122</v>
      </c>
    </row>
    <row r="129" customFormat="false" ht="15" hidden="false" customHeight="false" outlineLevel="0" collapsed="false">
      <c r="A129" s="10" t="n">
        <v>2024</v>
      </c>
      <c r="B129" s="28" t="s">
        <v>54</v>
      </c>
      <c r="C129" s="29" t="n">
        <v>45386</v>
      </c>
      <c r="D129" s="30" t="s">
        <v>128</v>
      </c>
      <c r="E129" s="28" t="s">
        <v>167</v>
      </c>
      <c r="F129" s="30" t="s">
        <v>168</v>
      </c>
      <c r="G129" s="31" t="n">
        <v>13864</v>
      </c>
      <c r="H129" s="31" t="n">
        <v>7</v>
      </c>
      <c r="I129" s="31" t="n">
        <v>97047</v>
      </c>
      <c r="J129" s="29" t="n">
        <v>45390</v>
      </c>
      <c r="K129" s="31" t="n">
        <v>13197</v>
      </c>
      <c r="L129" s="30" t="s">
        <v>32</v>
      </c>
      <c r="M129" s="10" t="n">
        <v>2</v>
      </c>
      <c r="N129" s="12" t="n">
        <v>-4864</v>
      </c>
      <c r="O129" s="13" t="n">
        <v>-0.050121237462898</v>
      </c>
      <c r="P129" s="15" t="n">
        <v>0.0379512184566337</v>
      </c>
      <c r="Q129" s="13" t="n">
        <v>-0.0918828463954817</v>
      </c>
      <c r="R129" s="15" t="n">
        <v>0.126016260162602</v>
      </c>
      <c r="S129" s="32" t="n">
        <v>44455189850</v>
      </c>
      <c r="T129" s="15" t="n">
        <v>0.019882179675994</v>
      </c>
      <c r="U129" s="32" t="n">
        <v>4951625411</v>
      </c>
      <c r="V129" s="14" t="n">
        <v>8.27897156167861</v>
      </c>
      <c r="W129" s="13" t="n">
        <v>0.113344051446945</v>
      </c>
      <c r="X129" s="15" t="n">
        <v>0</v>
      </c>
      <c r="Y129" s="13" t="n">
        <v>0.0129406679793276</v>
      </c>
      <c r="Z129" s="13" t="n">
        <v>-0.00139120554151406</v>
      </c>
      <c r="AA129" s="30" t="s">
        <v>97</v>
      </c>
      <c r="AB129" s="28" t="s">
        <v>94</v>
      </c>
      <c r="AC129" s="28" t="s">
        <v>102</v>
      </c>
      <c r="AD129" s="28" t="s">
        <v>107</v>
      </c>
      <c r="AE129" s="28" t="s">
        <v>112</v>
      </c>
      <c r="AF129" s="28" t="s">
        <v>119</v>
      </c>
      <c r="AG129" s="30" t="s">
        <v>122</v>
      </c>
    </row>
    <row r="130" customFormat="false" ht="15" hidden="false" customHeight="false" outlineLevel="0" collapsed="false">
      <c r="A130" s="10" t="n">
        <v>2024</v>
      </c>
      <c r="B130" s="28" t="s">
        <v>54</v>
      </c>
      <c r="C130" s="29" t="n">
        <v>45386</v>
      </c>
      <c r="D130" s="30" t="s">
        <v>128</v>
      </c>
      <c r="E130" s="28" t="s">
        <v>1269</v>
      </c>
      <c r="F130" s="30" t="s">
        <v>1270</v>
      </c>
      <c r="G130" s="31" t="n">
        <v>64665</v>
      </c>
      <c r="H130" s="31" t="n">
        <v>1</v>
      </c>
      <c r="I130" s="31" t="n">
        <v>64665</v>
      </c>
      <c r="J130" s="29" t="n">
        <v>45387</v>
      </c>
      <c r="K130" s="31" t="n">
        <v>61538</v>
      </c>
      <c r="L130" s="30" t="s">
        <v>32</v>
      </c>
      <c r="M130" s="10" t="n">
        <v>1</v>
      </c>
      <c r="N130" s="12" t="n">
        <v>-3256</v>
      </c>
      <c r="O130" s="13" t="n">
        <v>-0.0503505715646583</v>
      </c>
      <c r="P130" s="15" t="n">
        <v>0.0113725284003923</v>
      </c>
      <c r="Q130" s="13" t="n">
        <v>-0.0628566479959668</v>
      </c>
      <c r="R130" s="15" t="n">
        <v>0.0286624203821657</v>
      </c>
      <c r="S130" s="32" t="n">
        <v>40329457000</v>
      </c>
      <c r="T130" s="15" t="n">
        <v>0.00937499999999991</v>
      </c>
      <c r="U130" s="32" t="n">
        <v>15459992085</v>
      </c>
      <c r="V130" s="14" t="n">
        <v>2.45390730775361</v>
      </c>
      <c r="W130" s="13" t="n">
        <v>0.027027027027027</v>
      </c>
      <c r="X130" s="15" t="n">
        <v>0.0510835913312693</v>
      </c>
      <c r="Y130" s="13" t="n">
        <v>0.0129406679793276</v>
      </c>
      <c r="Z130" s="13" t="n">
        <v>-0.00139120554151406</v>
      </c>
      <c r="AA130" s="30" t="s">
        <v>97</v>
      </c>
      <c r="AB130" s="28" t="s">
        <v>94</v>
      </c>
      <c r="AC130" s="28" t="s">
        <v>99</v>
      </c>
      <c r="AD130" s="28" t="s">
        <v>107</v>
      </c>
      <c r="AE130" s="28" t="s">
        <v>112</v>
      </c>
      <c r="AF130" s="28" t="s">
        <v>117</v>
      </c>
      <c r="AG130" s="30" t="s">
        <v>122</v>
      </c>
    </row>
    <row r="131" customFormat="false" ht="15" hidden="false" customHeight="false" outlineLevel="0" collapsed="false">
      <c r="A131" s="10" t="n">
        <v>2024</v>
      </c>
      <c r="B131" s="28" t="s">
        <v>54</v>
      </c>
      <c r="C131" s="29" t="n">
        <v>45386</v>
      </c>
      <c r="D131" s="30" t="s">
        <v>128</v>
      </c>
      <c r="E131" s="28" t="s">
        <v>419</v>
      </c>
      <c r="F131" s="30" t="s">
        <v>420</v>
      </c>
      <c r="G131" s="31" t="n">
        <v>15155</v>
      </c>
      <c r="H131" s="31" t="n">
        <v>6</v>
      </c>
      <c r="I131" s="31" t="n">
        <v>90931</v>
      </c>
      <c r="J131" s="29" t="n">
        <v>45390</v>
      </c>
      <c r="K131" s="31" t="n">
        <v>14426</v>
      </c>
      <c r="L131" s="30" t="s">
        <v>32</v>
      </c>
      <c r="M131" s="10" t="n">
        <v>2</v>
      </c>
      <c r="N131" s="12" t="n">
        <v>-4560</v>
      </c>
      <c r="O131" s="13" t="n">
        <v>-0.050146888316439</v>
      </c>
      <c r="P131" s="15" t="n">
        <v>0.0201159474607298</v>
      </c>
      <c r="Q131" s="13" t="n">
        <v>-0.0623643199600926</v>
      </c>
      <c r="R131" s="15" t="n">
        <v>0.107534747622531</v>
      </c>
      <c r="S131" s="32" t="n">
        <v>23464153680</v>
      </c>
      <c r="T131" s="15" t="n">
        <v>0.0448585231193928</v>
      </c>
      <c r="U131" s="32" t="n">
        <v>6057670030</v>
      </c>
      <c r="V131" s="14" t="n">
        <v>3.5461798948167</v>
      </c>
      <c r="W131" s="13" t="n">
        <v>0.0971014492753624</v>
      </c>
      <c r="X131" s="15" t="n">
        <v>0.00858652575957719</v>
      </c>
      <c r="Y131" s="13" t="n">
        <v>0.0129406679793276</v>
      </c>
      <c r="Z131" s="13" t="n">
        <v>-0.00139120554151406</v>
      </c>
      <c r="AA131" s="30" t="s">
        <v>97</v>
      </c>
      <c r="AB131" s="28" t="s">
        <v>94</v>
      </c>
      <c r="AC131" s="28" t="s">
        <v>102</v>
      </c>
      <c r="AD131" s="28" t="s">
        <v>106</v>
      </c>
      <c r="AE131" s="28" t="s">
        <v>113</v>
      </c>
      <c r="AF131" s="28" t="s">
        <v>118</v>
      </c>
      <c r="AG131" s="30" t="s">
        <v>122</v>
      </c>
    </row>
    <row r="132" customFormat="false" ht="15" hidden="false" customHeight="false" outlineLevel="0" collapsed="false">
      <c r="A132" s="10" t="n">
        <v>2024</v>
      </c>
      <c r="B132" s="28" t="s">
        <v>54</v>
      </c>
      <c r="C132" s="29" t="n">
        <v>45386</v>
      </c>
      <c r="D132" s="30" t="s">
        <v>128</v>
      </c>
      <c r="E132" s="28" t="s">
        <v>1271</v>
      </c>
      <c r="F132" s="28" t="s">
        <v>1272</v>
      </c>
      <c r="G132" s="31" t="n">
        <v>6186</v>
      </c>
      <c r="H132" s="31" t="n">
        <v>16</v>
      </c>
      <c r="I132" s="31" t="n">
        <v>98979</v>
      </c>
      <c r="J132" s="29" t="n">
        <v>45393</v>
      </c>
      <c r="K132" s="31" t="n">
        <v>5804</v>
      </c>
      <c r="L132" s="30" t="s">
        <v>32</v>
      </c>
      <c r="M132" s="10" t="n">
        <v>4</v>
      </c>
      <c r="N132" s="12" t="n">
        <v>-6308</v>
      </c>
      <c r="O132" s="13" t="n">
        <v>-0.0637285202661417</v>
      </c>
      <c r="P132" s="15" t="n">
        <v>0.00708353135537609</v>
      </c>
      <c r="Q132" s="13" t="n">
        <v>-0.065659259834017</v>
      </c>
      <c r="R132" s="15" t="n">
        <v>0.0510204081632653</v>
      </c>
      <c r="S132" s="32" t="n">
        <v>23063018400</v>
      </c>
      <c r="T132" s="15" t="n">
        <v>0.00651465798045603</v>
      </c>
      <c r="U132" s="32" t="n">
        <v>12086378907</v>
      </c>
      <c r="V132" s="14" t="n">
        <v>1.8492053847203</v>
      </c>
      <c r="W132" s="13" t="n">
        <v>0.0369127516778522</v>
      </c>
      <c r="X132" s="15" t="n">
        <v>0.00970873786407767</v>
      </c>
      <c r="Y132" s="13" t="n">
        <v>0.0129406679793276</v>
      </c>
      <c r="Z132" s="13" t="n">
        <v>-0.00139120554151406</v>
      </c>
      <c r="AA132" s="30" t="s">
        <v>97</v>
      </c>
      <c r="AB132" s="28" t="s">
        <v>94</v>
      </c>
      <c r="AC132" s="28" t="s">
        <v>101</v>
      </c>
      <c r="AD132" s="28" t="s">
        <v>106</v>
      </c>
      <c r="AE132" s="28" t="s">
        <v>112</v>
      </c>
      <c r="AF132" s="28" t="s">
        <v>116</v>
      </c>
      <c r="AG132" s="30" t="s">
        <v>122</v>
      </c>
    </row>
    <row r="133" customFormat="false" ht="15" hidden="false" customHeight="false" outlineLevel="0" collapsed="false">
      <c r="A133" s="10" t="n">
        <v>2024</v>
      </c>
      <c r="B133" s="28" t="s">
        <v>54</v>
      </c>
      <c r="C133" s="29" t="n">
        <v>45411</v>
      </c>
      <c r="D133" s="30" t="s">
        <v>125</v>
      </c>
      <c r="E133" s="28" t="s">
        <v>1273</v>
      </c>
      <c r="F133" s="28" t="s">
        <v>1274</v>
      </c>
      <c r="G133" s="31" t="n">
        <v>4870</v>
      </c>
      <c r="H133" s="31" t="n">
        <v>20</v>
      </c>
      <c r="I133" s="31" t="n">
        <v>97397</v>
      </c>
      <c r="J133" s="29" t="n">
        <v>45414</v>
      </c>
      <c r="K133" s="31" t="n">
        <v>4635</v>
      </c>
      <c r="L133" s="30" t="s">
        <v>32</v>
      </c>
      <c r="M133" s="10" t="n">
        <v>2</v>
      </c>
      <c r="N133" s="12" t="n">
        <v>-4885</v>
      </c>
      <c r="O133" s="13" t="n">
        <v>-0.0501604113769068</v>
      </c>
      <c r="P133" s="15" t="n">
        <v>0.0308293967081224</v>
      </c>
      <c r="Q133" s="13" t="n">
        <v>-0.0523351263330708</v>
      </c>
      <c r="R133" s="15" t="n">
        <v>0.050755939524838</v>
      </c>
      <c r="S133" s="32" t="n">
        <v>49867188945</v>
      </c>
      <c r="T133" s="15" t="n">
        <v>0.0296296296296297</v>
      </c>
      <c r="U133" s="32" t="n">
        <v>5486544319.5</v>
      </c>
      <c r="V133" s="14" t="n">
        <v>8.48801314300613</v>
      </c>
      <c r="W133" s="13" t="n">
        <v>0.0462365591397849</v>
      </c>
      <c r="X133" s="15" t="n">
        <v>0.0832476875642343</v>
      </c>
      <c r="Y133" s="13" t="n">
        <v>0.011711647272741</v>
      </c>
      <c r="Z133" s="13" t="n">
        <v>0.0220579286844347</v>
      </c>
      <c r="AA133" s="30" t="s">
        <v>97</v>
      </c>
      <c r="AB133" s="28" t="s">
        <v>93</v>
      </c>
      <c r="AC133" s="28" t="s">
        <v>101</v>
      </c>
      <c r="AD133" s="28" t="s">
        <v>107</v>
      </c>
      <c r="AE133" s="28" t="s">
        <v>113</v>
      </c>
      <c r="AF133" s="28" t="s">
        <v>119</v>
      </c>
      <c r="AG133" s="30" t="s">
        <v>122</v>
      </c>
    </row>
    <row r="134" customFormat="false" ht="15" hidden="false" customHeight="false" outlineLevel="0" collapsed="false">
      <c r="A134" s="10" t="n">
        <v>2024</v>
      </c>
      <c r="B134" s="28" t="s">
        <v>54</v>
      </c>
      <c r="C134" s="29" t="n">
        <v>45411</v>
      </c>
      <c r="D134" s="30" t="s">
        <v>125</v>
      </c>
      <c r="E134" s="28" t="s">
        <v>1275</v>
      </c>
      <c r="F134" s="30" t="s">
        <v>1276</v>
      </c>
      <c r="G134" s="31" t="n">
        <v>38538</v>
      </c>
      <c r="H134" s="31" t="n">
        <v>2</v>
      </c>
      <c r="I134" s="31" t="n">
        <v>77077</v>
      </c>
      <c r="J134" s="29" t="n">
        <v>45412</v>
      </c>
      <c r="K134" s="31" t="n">
        <v>36663</v>
      </c>
      <c r="L134" s="30" t="s">
        <v>32</v>
      </c>
      <c r="M134" s="10" t="n">
        <v>1</v>
      </c>
      <c r="N134" s="12" t="n">
        <v>-3905</v>
      </c>
      <c r="O134" s="13" t="n">
        <v>-0.0506629528912644</v>
      </c>
      <c r="P134" s="15" t="n">
        <v>-0.00618861657822678</v>
      </c>
      <c r="Q134" s="13" t="n">
        <v>-0.0632743879497124</v>
      </c>
      <c r="R134" s="15" t="n">
        <v>0.208791208791209</v>
      </c>
      <c r="S134" s="32" t="n">
        <v>43233732850</v>
      </c>
      <c r="T134" s="15" t="n">
        <v>0.152694610778443</v>
      </c>
      <c r="U134" s="32" t="n">
        <v>3194351345.75</v>
      </c>
      <c r="V134" s="14" t="n">
        <v>10.9491779907457</v>
      </c>
      <c r="W134" s="13" t="n">
        <v>0.226114649681529</v>
      </c>
      <c r="X134" s="15" t="n">
        <v>0.0051948051948052</v>
      </c>
      <c r="Y134" s="13" t="n">
        <v>0.011711647272741</v>
      </c>
      <c r="Z134" s="13" t="n">
        <v>0.0220579286844347</v>
      </c>
      <c r="AA134" s="30" t="s">
        <v>97</v>
      </c>
      <c r="AB134" s="28" t="s">
        <v>93</v>
      </c>
      <c r="AC134" s="28" t="s">
        <v>104</v>
      </c>
      <c r="AD134" s="28" t="s">
        <v>107</v>
      </c>
      <c r="AE134" s="28" t="s">
        <v>114</v>
      </c>
      <c r="AF134" s="28" t="s">
        <v>120</v>
      </c>
      <c r="AG134" s="30" t="s">
        <v>122</v>
      </c>
    </row>
    <row r="135" customFormat="false" ht="15" hidden="false" customHeight="false" outlineLevel="0" collapsed="false">
      <c r="A135" s="10" t="n">
        <v>2024</v>
      </c>
      <c r="B135" s="28" t="s">
        <v>54</v>
      </c>
      <c r="C135" s="29" t="n">
        <v>45412</v>
      </c>
      <c r="D135" s="30" t="s">
        <v>126</v>
      </c>
      <c r="E135" s="28" t="s">
        <v>593</v>
      </c>
      <c r="F135" s="30" t="s">
        <v>594</v>
      </c>
      <c r="G135" s="31" t="n">
        <v>23373</v>
      </c>
      <c r="H135" s="31" t="n">
        <v>4</v>
      </c>
      <c r="I135" s="31" t="n">
        <v>93493</v>
      </c>
      <c r="J135" s="29" t="n">
        <v>45420</v>
      </c>
      <c r="K135" s="31" t="n">
        <v>22228</v>
      </c>
      <c r="L135" s="30" t="s">
        <v>32</v>
      </c>
      <c r="M135" s="10" t="n">
        <v>4</v>
      </c>
      <c r="N135" s="12" t="n">
        <v>-4770</v>
      </c>
      <c r="O135" s="13" t="n">
        <v>-0.0510175098990945</v>
      </c>
      <c r="P135" s="15" t="n">
        <v>0.112377986039656</v>
      </c>
      <c r="Q135" s="13" t="n">
        <v>-0.0523395234316004</v>
      </c>
      <c r="R135" s="15" t="n">
        <v>0.187086934417895</v>
      </c>
      <c r="S135" s="32" t="n">
        <v>306443368550</v>
      </c>
      <c r="T135" s="15" t="n">
        <v>0.153086419753086</v>
      </c>
      <c r="U135" s="32" t="n">
        <v>7213522132</v>
      </c>
      <c r="V135" s="14" t="n">
        <v>35.2593936117852</v>
      </c>
      <c r="W135" s="13" t="n">
        <v>0.186483739837398</v>
      </c>
      <c r="X135" s="15" t="n">
        <v>0.0321199143468951</v>
      </c>
      <c r="Y135" s="13" t="n">
        <v>0.00171910814753074</v>
      </c>
      <c r="Z135" s="13" t="n">
        <v>0.0263208057887474</v>
      </c>
      <c r="AA135" s="30" t="s">
        <v>97</v>
      </c>
      <c r="AB135" s="28" t="s">
        <v>93</v>
      </c>
      <c r="AC135" s="28" t="s">
        <v>103</v>
      </c>
      <c r="AD135" s="28" t="s">
        <v>110</v>
      </c>
      <c r="AE135" s="28" t="s">
        <v>114</v>
      </c>
      <c r="AF135" s="28" t="s">
        <v>120</v>
      </c>
      <c r="AG135" s="30" t="s">
        <v>122</v>
      </c>
    </row>
    <row r="136" customFormat="false" ht="15" hidden="false" customHeight="false" outlineLevel="0" collapsed="false">
      <c r="A136" s="10" t="n">
        <v>2024</v>
      </c>
      <c r="B136" s="28" t="s">
        <v>54</v>
      </c>
      <c r="C136" s="29" t="n">
        <v>45412</v>
      </c>
      <c r="D136" s="30" t="s">
        <v>126</v>
      </c>
      <c r="E136" s="28" t="s">
        <v>1277</v>
      </c>
      <c r="F136" s="30" t="s">
        <v>1278</v>
      </c>
      <c r="G136" s="31" t="n">
        <v>6236</v>
      </c>
      <c r="H136" s="31" t="n">
        <v>15</v>
      </c>
      <c r="I136" s="31" t="n">
        <v>93543</v>
      </c>
      <c r="J136" s="29" t="n">
        <v>45421</v>
      </c>
      <c r="K136" s="31" t="n">
        <v>5934</v>
      </c>
      <c r="L136" s="30" t="s">
        <v>32</v>
      </c>
      <c r="M136" s="10" t="n">
        <v>5</v>
      </c>
      <c r="N136" s="12" t="n">
        <v>-4720</v>
      </c>
      <c r="O136" s="13" t="n">
        <v>-0.0504594685410898</v>
      </c>
      <c r="P136" s="15" t="n">
        <v>0.0936094403189107</v>
      </c>
      <c r="Q136" s="13" t="n">
        <v>-0.0507085210134969</v>
      </c>
      <c r="R136" s="15" t="n">
        <v>0.188931297709924</v>
      </c>
      <c r="S136" s="32" t="n">
        <v>150139293150</v>
      </c>
      <c r="T136" s="15" t="n">
        <v>0.143119266055046</v>
      </c>
      <c r="U136" s="32" t="n">
        <v>5106833450</v>
      </c>
      <c r="V136" s="14" t="n">
        <v>24.2353970836555</v>
      </c>
      <c r="W136" s="13" t="n">
        <v>0.0853658536585367</v>
      </c>
      <c r="X136" s="15" t="n">
        <v>0.0497592295345104</v>
      </c>
      <c r="Y136" s="13" t="n">
        <v>0.00171910814753074</v>
      </c>
      <c r="Z136" s="13" t="n">
        <v>0.0263208057887474</v>
      </c>
      <c r="AA136" s="30" t="s">
        <v>97</v>
      </c>
      <c r="AB136" s="28" t="s">
        <v>93</v>
      </c>
      <c r="AC136" s="28" t="s">
        <v>103</v>
      </c>
      <c r="AD136" s="28" t="s">
        <v>109</v>
      </c>
      <c r="AE136" s="28" t="s">
        <v>114</v>
      </c>
      <c r="AF136" s="28" t="s">
        <v>120</v>
      </c>
      <c r="AG136" s="30" t="s">
        <v>122</v>
      </c>
    </row>
    <row r="137" customFormat="false" ht="15" hidden="false" customHeight="false" outlineLevel="0" collapsed="false">
      <c r="A137" s="10" t="n">
        <v>2024</v>
      </c>
      <c r="B137" s="28" t="s">
        <v>54</v>
      </c>
      <c r="C137" s="29" t="n">
        <v>45412</v>
      </c>
      <c r="D137" s="30" t="s">
        <v>126</v>
      </c>
      <c r="E137" s="28" t="s">
        <v>1279</v>
      </c>
      <c r="F137" s="30" t="s">
        <v>1280</v>
      </c>
      <c r="G137" s="31" t="n">
        <v>93493</v>
      </c>
      <c r="H137" s="31" t="n">
        <v>1</v>
      </c>
      <c r="I137" s="31" t="n">
        <v>93493</v>
      </c>
      <c r="J137" s="29" t="n">
        <v>45414</v>
      </c>
      <c r="K137" s="31" t="n">
        <v>88911</v>
      </c>
      <c r="L137" s="30" t="s">
        <v>32</v>
      </c>
      <c r="M137" s="10" t="n">
        <v>1</v>
      </c>
      <c r="N137" s="12" t="n">
        <v>-4770</v>
      </c>
      <c r="O137" s="13" t="n">
        <v>-0.0510175098990945</v>
      </c>
      <c r="P137" s="15" t="n">
        <v>0.0203928833479155</v>
      </c>
      <c r="Q137" s="13" t="n">
        <v>-0.0908449152560501</v>
      </c>
      <c r="R137" s="15" t="n">
        <v>0.0506186726659168</v>
      </c>
      <c r="S137" s="32" t="n">
        <v>75397430200</v>
      </c>
      <c r="T137" s="15" t="n">
        <v>0.0366259711431742</v>
      </c>
      <c r="U137" s="32" t="n">
        <v>14174728500</v>
      </c>
      <c r="V137" s="14" t="n">
        <v>4.72740582190527</v>
      </c>
      <c r="W137" s="13" t="n">
        <v>0.0400890868596882</v>
      </c>
      <c r="X137" s="15" t="n">
        <v>0.0599571734475375</v>
      </c>
      <c r="Y137" s="13" t="n">
        <v>0.00171910814753074</v>
      </c>
      <c r="Z137" s="13" t="n">
        <v>0.0263208057887474</v>
      </c>
      <c r="AA137" s="30" t="s">
        <v>97</v>
      </c>
      <c r="AB137" s="28" t="s">
        <v>93</v>
      </c>
      <c r="AC137" s="28" t="s">
        <v>101</v>
      </c>
      <c r="AD137" s="28" t="s">
        <v>108</v>
      </c>
      <c r="AE137" s="28" t="s">
        <v>113</v>
      </c>
      <c r="AF137" s="28" t="s">
        <v>118</v>
      </c>
      <c r="AG137" s="30" t="s">
        <v>122</v>
      </c>
    </row>
    <row r="138" customFormat="false" ht="15" hidden="false" customHeight="false" outlineLevel="0" collapsed="false">
      <c r="A138" s="10" t="n">
        <v>2024</v>
      </c>
      <c r="B138" s="28" t="s">
        <v>55</v>
      </c>
      <c r="C138" s="29" t="n">
        <v>45414</v>
      </c>
      <c r="D138" s="30" t="s">
        <v>128</v>
      </c>
      <c r="E138" s="28" t="s">
        <v>1281</v>
      </c>
      <c r="F138" s="30" t="s">
        <v>1282</v>
      </c>
      <c r="G138" s="31" t="n">
        <v>15415</v>
      </c>
      <c r="H138" s="31" t="n">
        <v>6</v>
      </c>
      <c r="I138" s="31" t="n">
        <v>92492</v>
      </c>
      <c r="J138" s="29" t="n">
        <v>45432</v>
      </c>
      <c r="K138" s="31" t="n">
        <v>14675</v>
      </c>
      <c r="L138" s="30" t="s">
        <v>32</v>
      </c>
      <c r="M138" s="10" t="n">
        <v>10</v>
      </c>
      <c r="N138" s="12" t="n">
        <v>-4626</v>
      </c>
      <c r="O138" s="13" t="n">
        <v>-0.0500161633496375</v>
      </c>
      <c r="P138" s="15" t="n">
        <v>0.0106776340542576</v>
      </c>
      <c r="Q138" s="13" t="n">
        <v>-0.0535438587386639</v>
      </c>
      <c r="R138" s="15" t="n">
        <v>0.0225763612217795</v>
      </c>
      <c r="S138" s="32" t="n">
        <v>20074562200</v>
      </c>
      <c r="T138" s="15" t="n">
        <v>0.0144927536231885</v>
      </c>
      <c r="U138" s="32" t="n">
        <v>9756276840.5</v>
      </c>
      <c r="V138" s="14" t="n">
        <v>1.9870587066923</v>
      </c>
      <c r="W138" s="13" t="n">
        <v>0.0225763612217795</v>
      </c>
      <c r="X138" s="15" t="n">
        <v>0.0201298701298702</v>
      </c>
      <c r="Y138" s="13" t="n">
        <v>-0.00312400169387006</v>
      </c>
      <c r="Z138" s="13" t="n">
        <v>0.00295244324021304</v>
      </c>
      <c r="AA138" s="30" t="s">
        <v>97</v>
      </c>
      <c r="AB138" s="28" t="s">
        <v>93</v>
      </c>
      <c r="AC138" s="28" t="s">
        <v>99</v>
      </c>
      <c r="AD138" s="28" t="s">
        <v>106</v>
      </c>
      <c r="AE138" s="28" t="s">
        <v>112</v>
      </c>
      <c r="AF138" s="28" t="s">
        <v>116</v>
      </c>
      <c r="AG138" s="30" t="s">
        <v>122</v>
      </c>
    </row>
    <row r="139" customFormat="false" ht="15" hidden="false" customHeight="false" outlineLevel="0" collapsed="false">
      <c r="A139" s="10" t="n">
        <v>2024</v>
      </c>
      <c r="B139" s="28" t="s">
        <v>55</v>
      </c>
      <c r="C139" s="29" t="n">
        <v>45415</v>
      </c>
      <c r="D139" s="30" t="s">
        <v>129</v>
      </c>
      <c r="E139" s="28" t="s">
        <v>1283</v>
      </c>
      <c r="F139" s="30" t="s">
        <v>1284</v>
      </c>
      <c r="G139" s="31" t="n">
        <v>64765</v>
      </c>
      <c r="H139" s="31" t="n">
        <v>1</v>
      </c>
      <c r="I139" s="31" t="n">
        <v>64765</v>
      </c>
      <c r="J139" s="29" t="n">
        <v>45419</v>
      </c>
      <c r="K139" s="31" t="n">
        <v>61638</v>
      </c>
      <c r="L139" s="30" t="s">
        <v>32</v>
      </c>
      <c r="M139" s="10" t="n">
        <v>1</v>
      </c>
      <c r="N139" s="12" t="n">
        <v>-3256</v>
      </c>
      <c r="O139" s="13" t="n">
        <v>-0.0502790778000978</v>
      </c>
      <c r="P139" s="15" t="n">
        <v>0.0190736620412046</v>
      </c>
      <c r="Q139" s="13" t="n">
        <v>-0.0565848371103392</v>
      </c>
      <c r="R139" s="15" t="n">
        <v>0.0892255892255893</v>
      </c>
      <c r="S139" s="32" t="n">
        <v>51531544300</v>
      </c>
      <c r="T139" s="15" t="n">
        <v>0.0783333333333334</v>
      </c>
      <c r="U139" s="32" t="n">
        <v>4374857925</v>
      </c>
      <c r="V139" s="14" t="n">
        <v>10.2497286257816</v>
      </c>
      <c r="W139" s="13" t="n">
        <v>0.0641447368421053</v>
      </c>
      <c r="X139" s="15" t="n">
        <v>0.0463678516228747</v>
      </c>
      <c r="Y139" s="13" t="n">
        <v>-0.00261584036666485</v>
      </c>
      <c r="Z139" s="13" t="n">
        <v>0.0182643364198707</v>
      </c>
      <c r="AA139" s="30" t="s">
        <v>97</v>
      </c>
      <c r="AB139" s="28" t="s">
        <v>93</v>
      </c>
      <c r="AC139" s="28" t="s">
        <v>101</v>
      </c>
      <c r="AD139" s="28" t="s">
        <v>108</v>
      </c>
      <c r="AE139" s="28" t="s">
        <v>101</v>
      </c>
      <c r="AF139" s="28" t="s">
        <v>120</v>
      </c>
      <c r="AG139" s="30" t="s">
        <v>122</v>
      </c>
    </row>
    <row r="140" customFormat="false" ht="15" hidden="false" customHeight="false" outlineLevel="0" collapsed="false">
      <c r="A140" s="10" t="n">
        <v>2024</v>
      </c>
      <c r="B140" s="28" t="s">
        <v>55</v>
      </c>
      <c r="C140" s="29" t="n">
        <v>45415</v>
      </c>
      <c r="D140" s="30" t="s">
        <v>129</v>
      </c>
      <c r="E140" s="28" t="s">
        <v>851</v>
      </c>
      <c r="F140" s="30" t="s">
        <v>852</v>
      </c>
      <c r="G140" s="31" t="n">
        <v>6039</v>
      </c>
      <c r="H140" s="31" t="n">
        <v>16</v>
      </c>
      <c r="I140" s="31" t="n">
        <v>96621</v>
      </c>
      <c r="J140" s="29" t="n">
        <v>45419</v>
      </c>
      <c r="K140" s="31" t="n">
        <v>5744</v>
      </c>
      <c r="L140" s="30" t="s">
        <v>32</v>
      </c>
      <c r="M140" s="10" t="n">
        <v>1</v>
      </c>
      <c r="N140" s="12" t="n">
        <v>-4906</v>
      </c>
      <c r="O140" s="13" t="n">
        <v>-0.0507784213486567</v>
      </c>
      <c r="P140" s="15" t="n">
        <v>0.0467190744540516</v>
      </c>
      <c r="Q140" s="13" t="n">
        <v>-0.136456763575408</v>
      </c>
      <c r="R140" s="15" t="n">
        <v>0.105621805792164</v>
      </c>
      <c r="S140" s="32" t="n">
        <v>33696670590</v>
      </c>
      <c r="T140" s="15" t="n">
        <v>0.0981387478849409</v>
      </c>
      <c r="U140" s="32" t="n">
        <v>6022654575.5</v>
      </c>
      <c r="V140" s="14" t="n">
        <v>4.68497860846663</v>
      </c>
      <c r="W140" s="13" t="n">
        <v>0.0925925925925926</v>
      </c>
      <c r="X140" s="15" t="n">
        <v>0.00154083204930666</v>
      </c>
      <c r="Y140" s="13" t="n">
        <v>-0.00261584036666485</v>
      </c>
      <c r="Z140" s="13" t="n">
        <v>0.0182643364198707</v>
      </c>
      <c r="AA140" s="30" t="s">
        <v>97</v>
      </c>
      <c r="AB140" s="28" t="s">
        <v>93</v>
      </c>
      <c r="AC140" s="28" t="s">
        <v>102</v>
      </c>
      <c r="AD140" s="28" t="s">
        <v>107</v>
      </c>
      <c r="AE140" s="28" t="s">
        <v>101</v>
      </c>
      <c r="AF140" s="28" t="s">
        <v>118</v>
      </c>
      <c r="AG140" s="30" t="s">
        <v>122</v>
      </c>
    </row>
    <row r="141" customFormat="false" ht="15" hidden="false" customHeight="false" outlineLevel="0" collapsed="false">
      <c r="A141" s="10" t="n">
        <v>2024</v>
      </c>
      <c r="B141" s="28" t="s">
        <v>55</v>
      </c>
      <c r="C141" s="29" t="n">
        <v>45415</v>
      </c>
      <c r="D141" s="30" t="s">
        <v>129</v>
      </c>
      <c r="E141" s="28" t="s">
        <v>1285</v>
      </c>
      <c r="F141" s="30" t="s">
        <v>1286</v>
      </c>
      <c r="G141" s="31" t="n">
        <v>23774</v>
      </c>
      <c r="H141" s="31" t="n">
        <v>4</v>
      </c>
      <c r="I141" s="31" t="n">
        <v>95095</v>
      </c>
      <c r="J141" s="29" t="n">
        <v>45462</v>
      </c>
      <c r="K141" s="31" t="n">
        <v>28550</v>
      </c>
      <c r="L141" s="30" t="s">
        <v>31</v>
      </c>
      <c r="M141" s="10" t="n">
        <v>30</v>
      </c>
      <c r="N141" s="12" t="n">
        <v>18868</v>
      </c>
      <c r="O141" s="13" t="n">
        <v>0.198412595299438</v>
      </c>
      <c r="P141" s="15" t="n">
        <v>0.25768967874231</v>
      </c>
      <c r="Q141" s="13" t="n">
        <v>-0.0451653609548345</v>
      </c>
      <c r="R141" s="15" t="n">
        <v>0.0795454545454546</v>
      </c>
      <c r="S141" s="32" t="n">
        <v>25679853750</v>
      </c>
      <c r="T141" s="15" t="n">
        <v>0.0416666666666667</v>
      </c>
      <c r="U141" s="32" t="n">
        <v>4645878412.5</v>
      </c>
      <c r="V141" s="14" t="n">
        <v>4.97335677906112</v>
      </c>
      <c r="W141" s="13" t="n">
        <v>0.0579064587973275</v>
      </c>
      <c r="X141" s="15" t="n">
        <v>0.016842105263158</v>
      </c>
      <c r="Y141" s="13" t="n">
        <v>-0.00261584036666485</v>
      </c>
      <c r="Z141" s="13" t="n">
        <v>0.0182643364198707</v>
      </c>
      <c r="AA141" s="30" t="s">
        <v>97</v>
      </c>
      <c r="AB141" s="28" t="s">
        <v>93</v>
      </c>
      <c r="AC141" s="28" t="s">
        <v>101</v>
      </c>
      <c r="AD141" s="28" t="s">
        <v>106</v>
      </c>
      <c r="AE141" s="28" t="s">
        <v>113</v>
      </c>
      <c r="AF141" s="28" t="s">
        <v>118</v>
      </c>
      <c r="AG141" s="30" t="s">
        <v>122</v>
      </c>
    </row>
    <row r="142" customFormat="false" ht="15" hidden="false" customHeight="false" outlineLevel="0" collapsed="false">
      <c r="A142" s="10" t="n">
        <v>2024</v>
      </c>
      <c r="B142" s="28" t="s">
        <v>55</v>
      </c>
      <c r="C142" s="29" t="n">
        <v>45419</v>
      </c>
      <c r="D142" s="30" t="s">
        <v>126</v>
      </c>
      <c r="E142" s="28" t="s">
        <v>297</v>
      </c>
      <c r="F142" s="30" t="s">
        <v>298</v>
      </c>
      <c r="G142" s="31" t="n">
        <v>7077</v>
      </c>
      <c r="H142" s="31" t="n">
        <v>14</v>
      </c>
      <c r="I142" s="31" t="n">
        <v>99079</v>
      </c>
      <c r="J142" s="29" t="n">
        <v>45421</v>
      </c>
      <c r="K142" s="31" t="n">
        <v>8500</v>
      </c>
      <c r="L142" s="30" t="s">
        <v>31</v>
      </c>
      <c r="M142" s="10" t="n">
        <v>2</v>
      </c>
      <c r="N142" s="12" t="n">
        <v>19674</v>
      </c>
      <c r="O142" s="13" t="n">
        <v>0.198569950487985</v>
      </c>
      <c r="P142" s="15" t="n">
        <v>0.431383326715717</v>
      </c>
      <c r="Q142" s="13" t="n">
        <v>-0.0250202414275963</v>
      </c>
      <c r="R142" s="15" t="n">
        <v>0.0712121212121213</v>
      </c>
      <c r="S142" s="32" t="n">
        <v>84206068450</v>
      </c>
      <c r="T142" s="15" t="n">
        <v>0.0663650075414781</v>
      </c>
      <c r="U142" s="32" t="n">
        <v>17978648376</v>
      </c>
      <c r="V142" s="14" t="n">
        <v>4.30719278975232</v>
      </c>
      <c r="W142" s="13" t="n">
        <v>0.0520833333333333</v>
      </c>
      <c r="X142" s="15" t="n">
        <v>0.0452616690240453</v>
      </c>
      <c r="Y142" s="13" t="n">
        <v>0.0215681659400067</v>
      </c>
      <c r="Z142" s="13" t="n">
        <v>0.0293751152906454</v>
      </c>
      <c r="AA142" s="30" t="s">
        <v>97</v>
      </c>
      <c r="AB142" s="28" t="s">
        <v>93</v>
      </c>
      <c r="AC142" s="28" t="s">
        <v>101</v>
      </c>
      <c r="AD142" s="28" t="s">
        <v>108</v>
      </c>
      <c r="AE142" s="28" t="s">
        <v>101</v>
      </c>
      <c r="AF142" s="28" t="s">
        <v>118</v>
      </c>
      <c r="AG142" s="30" t="s">
        <v>122</v>
      </c>
    </row>
    <row r="143" customFormat="false" ht="15" hidden="false" customHeight="false" outlineLevel="0" collapsed="false">
      <c r="A143" s="10" t="n">
        <v>2024</v>
      </c>
      <c r="B143" s="28" t="s">
        <v>55</v>
      </c>
      <c r="C143" s="29" t="n">
        <v>45419</v>
      </c>
      <c r="D143" s="30" t="s">
        <v>126</v>
      </c>
      <c r="E143" s="28" t="s">
        <v>477</v>
      </c>
      <c r="F143" s="30" t="s">
        <v>478</v>
      </c>
      <c r="G143" s="31" t="n">
        <v>17097</v>
      </c>
      <c r="H143" s="31" t="n">
        <v>5</v>
      </c>
      <c r="I143" s="31" t="n">
        <v>85485</v>
      </c>
      <c r="J143" s="29" t="n">
        <v>45439</v>
      </c>
      <c r="K143" s="31" t="n">
        <v>20550</v>
      </c>
      <c r="L143" s="30" t="s">
        <v>31</v>
      </c>
      <c r="M143" s="10" t="n">
        <v>13</v>
      </c>
      <c r="N143" s="12" t="n">
        <v>17051</v>
      </c>
      <c r="O143" s="13" t="n">
        <v>0.199465811588879</v>
      </c>
      <c r="P143" s="15" t="n">
        <v>0.272147056690382</v>
      </c>
      <c r="Q143" s="13" t="n">
        <v>-0.00743284818226264</v>
      </c>
      <c r="R143" s="15" t="n">
        <v>0.03202416918429</v>
      </c>
      <c r="S143" s="32" t="n">
        <v>83845822480</v>
      </c>
      <c r="T143" s="15" t="n">
        <v>0.00588928150765611</v>
      </c>
      <c r="U143" s="32" t="n">
        <v>51487860043.5</v>
      </c>
      <c r="V143" s="14" t="n">
        <v>1.50263208231585</v>
      </c>
      <c r="W143" s="13" t="n">
        <v>0.0245950809838031</v>
      </c>
      <c r="X143" s="15" t="n">
        <v>0.00409836065573765</v>
      </c>
      <c r="Y143" s="13" t="n">
        <v>0.0215681659400067</v>
      </c>
      <c r="Z143" s="13" t="n">
        <v>0.0293751152906454</v>
      </c>
      <c r="AA143" s="30" t="s">
        <v>97</v>
      </c>
      <c r="AB143" s="28" t="s">
        <v>93</v>
      </c>
      <c r="AC143" s="28" t="s">
        <v>100</v>
      </c>
      <c r="AD143" s="28" t="s">
        <v>108</v>
      </c>
      <c r="AE143" s="28" t="s">
        <v>112</v>
      </c>
      <c r="AF143" s="28" t="s">
        <v>116</v>
      </c>
      <c r="AG143" s="30" t="s">
        <v>122</v>
      </c>
    </row>
    <row r="144" customFormat="false" ht="15" hidden="false" customHeight="false" outlineLevel="0" collapsed="false">
      <c r="A144" s="10" t="n">
        <v>2024</v>
      </c>
      <c r="B144" s="28" t="s">
        <v>55</v>
      </c>
      <c r="C144" s="29" t="n">
        <v>45419</v>
      </c>
      <c r="D144" s="30" t="s">
        <v>126</v>
      </c>
      <c r="E144" s="28" t="s">
        <v>1287</v>
      </c>
      <c r="F144" s="30" t="s">
        <v>1288</v>
      </c>
      <c r="G144" s="31" t="n">
        <v>13343</v>
      </c>
      <c r="H144" s="31" t="n">
        <v>7</v>
      </c>
      <c r="I144" s="31" t="n">
        <v>93403</v>
      </c>
      <c r="J144" s="29" t="n">
        <v>45421</v>
      </c>
      <c r="K144" s="31" t="n">
        <v>12697</v>
      </c>
      <c r="L144" s="30" t="s">
        <v>32</v>
      </c>
      <c r="M144" s="10" t="n">
        <v>2</v>
      </c>
      <c r="N144" s="12" t="n">
        <v>-4710</v>
      </c>
      <c r="O144" s="13" t="n">
        <v>-0.0504222870153102</v>
      </c>
      <c r="P144" s="15" t="n">
        <v>0.0746942479875714</v>
      </c>
      <c r="Q144" s="13" t="n">
        <v>-0.0856855072909085</v>
      </c>
      <c r="R144" s="15" t="n">
        <v>0.284200385356455</v>
      </c>
      <c r="S144" s="32" t="n">
        <v>76558775520</v>
      </c>
      <c r="T144" s="15" t="n">
        <v>0.075867635189669</v>
      </c>
      <c r="U144" s="32" t="n">
        <v>3613677787.5</v>
      </c>
      <c r="V144" s="14" t="n">
        <v>17.4837216757005</v>
      </c>
      <c r="W144" s="13" t="n">
        <v>0.263507109004739</v>
      </c>
      <c r="X144" s="15" t="n">
        <v>0.010502625656414</v>
      </c>
      <c r="Y144" s="13" t="n">
        <v>0.0215681659400067</v>
      </c>
      <c r="Z144" s="13" t="n">
        <v>0.0293751152906454</v>
      </c>
      <c r="AA144" s="30" t="s">
        <v>97</v>
      </c>
      <c r="AB144" s="28" t="s">
        <v>93</v>
      </c>
      <c r="AC144" s="28" t="s">
        <v>104</v>
      </c>
      <c r="AD144" s="28" t="s">
        <v>108</v>
      </c>
      <c r="AE144" s="28" t="s">
        <v>101</v>
      </c>
      <c r="AF144" s="28" t="s">
        <v>120</v>
      </c>
      <c r="AG144" s="30" t="s">
        <v>122</v>
      </c>
    </row>
    <row r="145" customFormat="false" ht="15" hidden="false" customHeight="false" outlineLevel="0" collapsed="false">
      <c r="A145" s="10" t="n">
        <v>2024</v>
      </c>
      <c r="B145" s="28" t="s">
        <v>55</v>
      </c>
      <c r="C145" s="29" t="n">
        <v>45419</v>
      </c>
      <c r="D145" s="30" t="s">
        <v>126</v>
      </c>
      <c r="E145" s="28" t="s">
        <v>613</v>
      </c>
      <c r="F145" s="30" t="s">
        <v>614</v>
      </c>
      <c r="G145" s="31" t="n">
        <v>49750</v>
      </c>
      <c r="H145" s="31" t="n">
        <v>2</v>
      </c>
      <c r="I145" s="31" t="n">
        <v>99499</v>
      </c>
      <c r="J145" s="29" t="n">
        <v>45425</v>
      </c>
      <c r="K145" s="31" t="n">
        <v>47353</v>
      </c>
      <c r="L145" s="30" t="s">
        <v>32</v>
      </c>
      <c r="M145" s="10" t="n">
        <v>4</v>
      </c>
      <c r="N145" s="12" t="n">
        <v>-4994</v>
      </c>
      <c r="O145" s="13" t="n">
        <v>-0.0501892478748618</v>
      </c>
      <c r="P145" s="15" t="n">
        <v>0.0170915603511177</v>
      </c>
      <c r="Q145" s="13" t="n">
        <v>-0.0552706850493571</v>
      </c>
      <c r="R145" s="15" t="n">
        <v>0.0101626016260163</v>
      </c>
      <c r="S145" s="32" t="n">
        <v>72859007200</v>
      </c>
      <c r="T145" s="15" t="n">
        <v>0.00811359026369174</v>
      </c>
      <c r="U145" s="32" t="n">
        <v>58696264325</v>
      </c>
      <c r="V145" s="14" t="n">
        <v>1.20807744018538</v>
      </c>
      <c r="W145" s="13" t="n">
        <v>-0.00400801603206413</v>
      </c>
      <c r="X145" s="15" t="n">
        <v>0.0160965794768613</v>
      </c>
      <c r="Y145" s="13" t="n">
        <v>0.0215681659400067</v>
      </c>
      <c r="Z145" s="13" t="n">
        <v>0.0293751152906454</v>
      </c>
      <c r="AA145" s="30" t="s">
        <v>97</v>
      </c>
      <c r="AB145" s="28" t="s">
        <v>93</v>
      </c>
      <c r="AC145" s="28" t="s">
        <v>99</v>
      </c>
      <c r="AD145" s="28" t="s">
        <v>108</v>
      </c>
      <c r="AE145" s="28" t="s">
        <v>112</v>
      </c>
      <c r="AF145" s="28" t="s">
        <v>116</v>
      </c>
      <c r="AG145" s="30" t="s">
        <v>123</v>
      </c>
    </row>
    <row r="146" customFormat="false" ht="15" hidden="false" customHeight="false" outlineLevel="0" collapsed="false">
      <c r="A146" s="10" t="n">
        <v>2024</v>
      </c>
      <c r="B146" s="28" t="s">
        <v>55</v>
      </c>
      <c r="C146" s="29" t="n">
        <v>45419</v>
      </c>
      <c r="D146" s="30" t="s">
        <v>126</v>
      </c>
      <c r="E146" s="28" t="s">
        <v>793</v>
      </c>
      <c r="F146" s="30" t="s">
        <v>794</v>
      </c>
      <c r="G146" s="31" t="n">
        <v>16016</v>
      </c>
      <c r="H146" s="31" t="n">
        <v>6</v>
      </c>
      <c r="I146" s="31" t="n">
        <v>96096</v>
      </c>
      <c r="J146" s="29" t="n">
        <v>45420</v>
      </c>
      <c r="K146" s="31" t="n">
        <v>15245</v>
      </c>
      <c r="L146" s="30" t="s">
        <v>32</v>
      </c>
      <c r="M146" s="10" t="n">
        <v>1</v>
      </c>
      <c r="N146" s="12" t="n">
        <v>-4820</v>
      </c>
      <c r="O146" s="13" t="n">
        <v>-0.0501616909965035</v>
      </c>
      <c r="P146" s="15" t="n">
        <v>-0.00536963036963023</v>
      </c>
      <c r="Q146" s="13" t="n">
        <v>-0.0603146853146852</v>
      </c>
      <c r="R146" s="15" t="n">
        <v>0.191362620997766</v>
      </c>
      <c r="S146" s="32" t="n">
        <v>69605152000</v>
      </c>
      <c r="T146" s="15" t="n">
        <v>0.08843537414966</v>
      </c>
      <c r="U146" s="32" t="n">
        <v>10852345331.5</v>
      </c>
      <c r="V146" s="14" t="n">
        <v>5.52861322143062</v>
      </c>
      <c r="W146" s="13" t="n">
        <v>0.171303074670571</v>
      </c>
      <c r="X146" s="15" t="n">
        <v>0.0162500000000001</v>
      </c>
      <c r="Y146" s="13" t="n">
        <v>0.0215681659400067</v>
      </c>
      <c r="Z146" s="13" t="n">
        <v>0.0293751152906454</v>
      </c>
      <c r="AA146" s="30" t="s">
        <v>97</v>
      </c>
      <c r="AB146" s="28" t="s">
        <v>93</v>
      </c>
      <c r="AC146" s="28" t="s">
        <v>103</v>
      </c>
      <c r="AD146" s="28" t="s">
        <v>108</v>
      </c>
      <c r="AE146" s="28" t="s">
        <v>101</v>
      </c>
      <c r="AF146" s="28" t="s">
        <v>119</v>
      </c>
      <c r="AG146" s="30" t="s">
        <v>122</v>
      </c>
    </row>
    <row r="147" customFormat="false" ht="15" hidden="false" customHeight="false" outlineLevel="0" collapsed="false">
      <c r="A147" s="10" t="n">
        <v>2024</v>
      </c>
      <c r="B147" s="28" t="s">
        <v>55</v>
      </c>
      <c r="C147" s="29" t="n">
        <v>45419</v>
      </c>
      <c r="D147" s="30" t="s">
        <v>126</v>
      </c>
      <c r="E147" s="28" t="s">
        <v>653</v>
      </c>
      <c r="F147" s="30" t="s">
        <v>654</v>
      </c>
      <c r="G147" s="31" t="n">
        <v>26437</v>
      </c>
      <c r="H147" s="31" t="n">
        <v>3</v>
      </c>
      <c r="I147" s="31" t="n">
        <v>79312</v>
      </c>
      <c r="J147" s="29" t="n">
        <v>45435</v>
      </c>
      <c r="K147" s="31" t="n">
        <v>31750</v>
      </c>
      <c r="L147" s="30" t="s">
        <v>31</v>
      </c>
      <c r="M147" s="10" t="n">
        <v>11</v>
      </c>
      <c r="N147" s="12" t="n">
        <v>15741</v>
      </c>
      <c r="O147" s="13" t="n">
        <v>0.198466403551422</v>
      </c>
      <c r="P147" s="15" t="n">
        <v>0.209504780933353</v>
      </c>
      <c r="Q147" s="13" t="n">
        <v>-0.00991865277579551</v>
      </c>
      <c r="R147" s="15" t="n">
        <v>0.0566037735849057</v>
      </c>
      <c r="S147" s="32" t="n">
        <v>67214028000</v>
      </c>
      <c r="T147" s="15" t="n">
        <v>0.0256410256410256</v>
      </c>
      <c r="U147" s="32" t="n">
        <v>27079139197.5</v>
      </c>
      <c r="V147" s="14" t="n">
        <v>2.26289503197416</v>
      </c>
      <c r="W147" s="13" t="n">
        <v>0.021897810218978</v>
      </c>
      <c r="X147" s="15" t="n">
        <v>0.00892857142857162</v>
      </c>
      <c r="Y147" s="13" t="n">
        <v>0.0215681659400067</v>
      </c>
      <c r="Z147" s="13" t="n">
        <v>0.0293751152906454</v>
      </c>
      <c r="AA147" s="30" t="s">
        <v>97</v>
      </c>
      <c r="AB147" s="28" t="s">
        <v>93</v>
      </c>
      <c r="AC147" s="28" t="s">
        <v>101</v>
      </c>
      <c r="AD147" s="28" t="s">
        <v>108</v>
      </c>
      <c r="AE147" s="28" t="s">
        <v>113</v>
      </c>
      <c r="AF147" s="28" t="s">
        <v>117</v>
      </c>
      <c r="AG147" s="30" t="s">
        <v>122</v>
      </c>
    </row>
    <row r="148" customFormat="false" ht="15" hidden="false" customHeight="false" outlineLevel="0" collapsed="false">
      <c r="A148" s="10" t="n">
        <v>2024</v>
      </c>
      <c r="B148" s="28" t="s">
        <v>55</v>
      </c>
      <c r="C148" s="29" t="n">
        <v>45419</v>
      </c>
      <c r="D148" s="30" t="s">
        <v>126</v>
      </c>
      <c r="E148" s="28" t="s">
        <v>659</v>
      </c>
      <c r="F148" s="30" t="s">
        <v>660</v>
      </c>
      <c r="G148" s="31" t="n">
        <v>4114</v>
      </c>
      <c r="H148" s="31" t="n">
        <v>24</v>
      </c>
      <c r="I148" s="31" t="n">
        <v>98744</v>
      </c>
      <c r="J148" s="29" t="n">
        <v>45421</v>
      </c>
      <c r="K148" s="31" t="n">
        <v>4940</v>
      </c>
      <c r="L148" s="30" t="s">
        <v>31</v>
      </c>
      <c r="M148" s="10" t="n">
        <v>2</v>
      </c>
      <c r="N148" s="12" t="n">
        <v>19570</v>
      </c>
      <c r="O148" s="13" t="n">
        <v>0.198187628393656</v>
      </c>
      <c r="P148" s="15" t="n">
        <v>0.243511733022223</v>
      </c>
      <c r="Q148" s="13" t="n">
        <v>0.019959061917104</v>
      </c>
      <c r="R148" s="15" t="n">
        <v>0.0592592592592593</v>
      </c>
      <c r="S148" s="32" t="n">
        <v>63440678730</v>
      </c>
      <c r="T148" s="15" t="n">
        <v>0.0501835985312118</v>
      </c>
      <c r="U148" s="32" t="n">
        <v>4208306143.75</v>
      </c>
      <c r="V148" s="14" t="n">
        <v>13.5921525276878</v>
      </c>
      <c r="W148" s="13" t="n">
        <v>0.0238663484486874</v>
      </c>
      <c r="X148" s="15" t="n">
        <v>0.0815850815850816</v>
      </c>
      <c r="Y148" s="13" t="n">
        <v>0.0215681659400067</v>
      </c>
      <c r="Z148" s="13" t="n">
        <v>0.0293751152906454</v>
      </c>
      <c r="AA148" s="30" t="s">
        <v>97</v>
      </c>
      <c r="AB148" s="28" t="s">
        <v>93</v>
      </c>
      <c r="AC148" s="28" t="s">
        <v>101</v>
      </c>
      <c r="AD148" s="28" t="s">
        <v>108</v>
      </c>
      <c r="AE148" s="28" t="s">
        <v>101</v>
      </c>
      <c r="AF148" s="28" t="s">
        <v>120</v>
      </c>
      <c r="AG148" s="30" t="s">
        <v>122</v>
      </c>
    </row>
    <row r="149" customFormat="false" ht="15" hidden="false" customHeight="false" outlineLevel="0" collapsed="false">
      <c r="A149" s="10" t="n">
        <v>2024</v>
      </c>
      <c r="B149" s="28" t="s">
        <v>55</v>
      </c>
      <c r="C149" s="29" t="n">
        <v>45419</v>
      </c>
      <c r="D149" s="30" t="s">
        <v>126</v>
      </c>
      <c r="E149" s="28" t="s">
        <v>1289</v>
      </c>
      <c r="F149" s="30" t="s">
        <v>1290</v>
      </c>
      <c r="G149" s="31" t="n">
        <v>15726</v>
      </c>
      <c r="H149" s="31" t="n">
        <v>6</v>
      </c>
      <c r="I149" s="31" t="n">
        <v>94354</v>
      </c>
      <c r="J149" s="29" t="n">
        <v>45433</v>
      </c>
      <c r="K149" s="31" t="n">
        <v>14965</v>
      </c>
      <c r="L149" s="30" t="s">
        <v>32</v>
      </c>
      <c r="M149" s="10" t="n">
        <v>9</v>
      </c>
      <c r="N149" s="12" t="n">
        <v>-4753</v>
      </c>
      <c r="O149" s="13" t="n">
        <v>-0.0503780525966713</v>
      </c>
      <c r="P149" s="15" t="n">
        <v>0.100109311439674</v>
      </c>
      <c r="Q149" s="13" t="n">
        <v>-0.0773071613300767</v>
      </c>
      <c r="R149" s="15" t="n">
        <v>0.0207927225471085</v>
      </c>
      <c r="S149" s="32" t="n">
        <v>47317011840</v>
      </c>
      <c r="T149" s="15" t="n">
        <v>0.000636942675159347</v>
      </c>
      <c r="U149" s="32" t="n">
        <v>27146138926.5</v>
      </c>
      <c r="V149" s="14" t="n">
        <v>1.65020228771789</v>
      </c>
      <c r="W149" s="13" t="n">
        <v>0.0201298701298702</v>
      </c>
      <c r="X149" s="15" t="n">
        <v>0.0502864417568427</v>
      </c>
      <c r="Y149" s="13" t="n">
        <v>0.0215681659400067</v>
      </c>
      <c r="Z149" s="13" t="n">
        <v>0.0293751152906454</v>
      </c>
      <c r="AA149" s="30" t="s">
        <v>97</v>
      </c>
      <c r="AB149" s="28" t="s">
        <v>93</v>
      </c>
      <c r="AC149" s="28" t="s">
        <v>99</v>
      </c>
      <c r="AD149" s="28" t="s">
        <v>107</v>
      </c>
      <c r="AE149" s="28" t="s">
        <v>112</v>
      </c>
      <c r="AF149" s="28" t="s">
        <v>116</v>
      </c>
      <c r="AG149" s="30" t="s">
        <v>122</v>
      </c>
    </row>
    <row r="150" customFormat="false" ht="15" hidden="false" customHeight="false" outlineLevel="0" collapsed="false">
      <c r="A150" s="10" t="n">
        <v>2024</v>
      </c>
      <c r="B150" s="28" t="s">
        <v>55</v>
      </c>
      <c r="C150" s="29" t="n">
        <v>45419</v>
      </c>
      <c r="D150" s="30" t="s">
        <v>126</v>
      </c>
      <c r="E150" s="28" t="s">
        <v>1227</v>
      </c>
      <c r="F150" s="30" t="s">
        <v>1228</v>
      </c>
      <c r="G150" s="31" t="n">
        <v>8720</v>
      </c>
      <c r="H150" s="31" t="n">
        <v>11</v>
      </c>
      <c r="I150" s="31" t="n">
        <v>95919</v>
      </c>
      <c r="J150" s="29" t="n">
        <v>45422</v>
      </c>
      <c r="K150" s="31" t="n">
        <v>10470</v>
      </c>
      <c r="L150" s="30" t="s">
        <v>31</v>
      </c>
      <c r="M150" s="10" t="n">
        <v>3</v>
      </c>
      <c r="N150" s="12" t="n">
        <v>19012</v>
      </c>
      <c r="O150" s="13" t="n">
        <v>0.198210645539455</v>
      </c>
      <c r="P150" s="15" t="n">
        <v>0.310148185148185</v>
      </c>
      <c r="Q150" s="13" t="n">
        <v>-0.029095904095904</v>
      </c>
      <c r="R150" s="15" t="n">
        <v>0.0256410256410256</v>
      </c>
      <c r="S150" s="32" t="n">
        <v>38401536000</v>
      </c>
      <c r="T150" s="15" t="n">
        <v>0.00840336134453779</v>
      </c>
      <c r="U150" s="32" t="n">
        <v>26921478260</v>
      </c>
      <c r="V150" s="14" t="n">
        <v>1.33851147014948</v>
      </c>
      <c r="W150" s="13" t="n">
        <v>-0.00723888314374355</v>
      </c>
      <c r="X150" s="15" t="n">
        <v>0.03125</v>
      </c>
      <c r="Y150" s="13" t="n">
        <v>0.0215681659400067</v>
      </c>
      <c r="Z150" s="13" t="n">
        <v>0.0293751152906454</v>
      </c>
      <c r="AA150" s="30" t="s">
        <v>97</v>
      </c>
      <c r="AB150" s="28" t="s">
        <v>93</v>
      </c>
      <c r="AC150" s="28" t="s">
        <v>99</v>
      </c>
      <c r="AD150" s="28" t="s">
        <v>107</v>
      </c>
      <c r="AE150" s="28" t="s">
        <v>112</v>
      </c>
      <c r="AF150" s="28" t="s">
        <v>116</v>
      </c>
      <c r="AG150" s="30" t="s">
        <v>123</v>
      </c>
    </row>
    <row r="151" customFormat="false" ht="15" hidden="false" customHeight="false" outlineLevel="0" collapsed="false">
      <c r="A151" s="10" t="n">
        <v>2024</v>
      </c>
      <c r="B151" s="28" t="s">
        <v>55</v>
      </c>
      <c r="C151" s="29" t="n">
        <v>45419</v>
      </c>
      <c r="D151" s="30" t="s">
        <v>126</v>
      </c>
      <c r="E151" s="28" t="s">
        <v>485</v>
      </c>
      <c r="F151" s="28" t="s">
        <v>486</v>
      </c>
      <c r="G151" s="31" t="n">
        <v>70070</v>
      </c>
      <c r="H151" s="31" t="n">
        <v>1</v>
      </c>
      <c r="I151" s="31" t="n">
        <v>70070</v>
      </c>
      <c r="J151" s="29" t="n">
        <v>45425</v>
      </c>
      <c r="K151" s="31" t="n">
        <v>65734</v>
      </c>
      <c r="L151" s="30" t="s">
        <v>32</v>
      </c>
      <c r="M151" s="10" t="n">
        <v>4</v>
      </c>
      <c r="N151" s="12" t="n">
        <v>-4474</v>
      </c>
      <c r="O151" s="13" t="n">
        <v>-0.0638574595404594</v>
      </c>
      <c r="P151" s="15" t="n">
        <v>0.00899100899100924</v>
      </c>
      <c r="Q151" s="13" t="n">
        <v>-0.143713429427715</v>
      </c>
      <c r="R151" s="15" t="n">
        <v>0.0014306151645207</v>
      </c>
      <c r="S151" s="32" t="n">
        <v>35313740000</v>
      </c>
      <c r="T151" s="15" t="n">
        <v>0.0014306151645207</v>
      </c>
      <c r="U151" s="32" t="n">
        <v>24733691280</v>
      </c>
      <c r="V151" s="14" t="n">
        <v>1.36218992872347</v>
      </c>
      <c r="W151" s="13" t="n">
        <v>-0.00990099009900991</v>
      </c>
      <c r="X151" s="15" t="n">
        <v>0.01</v>
      </c>
      <c r="Y151" s="13" t="n">
        <v>0.0215681659400067</v>
      </c>
      <c r="Z151" s="13" t="n">
        <v>0.0293751152906454</v>
      </c>
      <c r="AA151" s="30" t="s">
        <v>97</v>
      </c>
      <c r="AB151" s="28" t="s">
        <v>93</v>
      </c>
      <c r="AC151" s="28" t="s">
        <v>99</v>
      </c>
      <c r="AD151" s="28" t="s">
        <v>107</v>
      </c>
      <c r="AE151" s="28" t="s">
        <v>112</v>
      </c>
      <c r="AF151" s="28" t="s">
        <v>116</v>
      </c>
      <c r="AG151" s="30" t="s">
        <v>123</v>
      </c>
    </row>
    <row r="152" customFormat="false" ht="15" hidden="false" customHeight="false" outlineLevel="0" collapsed="false">
      <c r="A152" s="10" t="n">
        <v>2024</v>
      </c>
      <c r="B152" s="28" t="s">
        <v>55</v>
      </c>
      <c r="C152" s="29" t="n">
        <v>45419</v>
      </c>
      <c r="D152" s="30" t="s">
        <v>126</v>
      </c>
      <c r="E152" s="28" t="s">
        <v>271</v>
      </c>
      <c r="F152" s="30" t="s">
        <v>272</v>
      </c>
      <c r="G152" s="31" t="n">
        <v>68468</v>
      </c>
      <c r="H152" s="31" t="n">
        <v>1</v>
      </c>
      <c r="I152" s="31" t="n">
        <v>68468</v>
      </c>
      <c r="J152" s="29" t="n">
        <v>45425</v>
      </c>
      <c r="K152" s="31" t="n">
        <v>65135</v>
      </c>
      <c r="L152" s="30" t="s">
        <v>32</v>
      </c>
      <c r="M152" s="10" t="n">
        <v>4</v>
      </c>
      <c r="N152" s="12" t="n">
        <v>-3471</v>
      </c>
      <c r="O152" s="13" t="n">
        <v>-0.0506932120511068</v>
      </c>
      <c r="P152" s="15" t="n">
        <v>0.0121457489878543</v>
      </c>
      <c r="Q152" s="13" t="n">
        <v>-0.0506569453937874</v>
      </c>
      <c r="R152" s="15" t="n">
        <v>0.00588235294117645</v>
      </c>
      <c r="S152" s="32" t="n">
        <v>29089220400</v>
      </c>
      <c r="T152" s="15" t="n">
        <v>0.00293255131964809</v>
      </c>
      <c r="U152" s="32" t="n">
        <v>37429245500</v>
      </c>
      <c r="V152" s="14" t="n">
        <v>0.734770222007101</v>
      </c>
      <c r="W152" s="13" t="n">
        <v>-0.0186513629842181</v>
      </c>
      <c r="X152" s="15" t="n">
        <v>0.0292397660818713</v>
      </c>
      <c r="Y152" s="13" t="n">
        <v>0.0215681659400067</v>
      </c>
      <c r="Z152" s="13" t="n">
        <v>0.0293751152906454</v>
      </c>
      <c r="AA152" s="30" t="s">
        <v>97</v>
      </c>
      <c r="AB152" s="28" t="s">
        <v>93</v>
      </c>
      <c r="AC152" s="28" t="s">
        <v>99</v>
      </c>
      <c r="AD152" s="28" t="s">
        <v>106</v>
      </c>
      <c r="AE152" s="28" t="s">
        <v>112</v>
      </c>
      <c r="AF152" s="28" t="s">
        <v>116</v>
      </c>
      <c r="AG152" s="30" t="s">
        <v>123</v>
      </c>
    </row>
    <row r="153" customFormat="false" ht="15" hidden="false" customHeight="false" outlineLevel="0" collapsed="false">
      <c r="A153" s="10" t="n">
        <v>2024</v>
      </c>
      <c r="B153" s="28" t="s">
        <v>55</v>
      </c>
      <c r="C153" s="29" t="n">
        <v>45419</v>
      </c>
      <c r="D153" s="30" t="s">
        <v>126</v>
      </c>
      <c r="E153" s="28" t="s">
        <v>685</v>
      </c>
      <c r="F153" s="30" t="s">
        <v>686</v>
      </c>
      <c r="G153" s="31" t="n">
        <v>94640</v>
      </c>
      <c r="H153" s="31" t="n">
        <v>1</v>
      </c>
      <c r="I153" s="31" t="n">
        <v>94640</v>
      </c>
      <c r="J153" s="29" t="n">
        <v>45432</v>
      </c>
      <c r="K153" s="31" t="n">
        <v>90010</v>
      </c>
      <c r="L153" s="30" t="s">
        <v>32</v>
      </c>
      <c r="M153" s="10" t="n">
        <v>8</v>
      </c>
      <c r="N153" s="12" t="n">
        <v>-4819</v>
      </c>
      <c r="O153" s="13" t="n">
        <v>-0.0509231617896385</v>
      </c>
      <c r="P153" s="15" t="n">
        <v>0.0120927459637137</v>
      </c>
      <c r="Q153" s="13" t="n">
        <v>-0.056387161225871</v>
      </c>
      <c r="R153" s="15" t="n">
        <v>0.0376569037656904</v>
      </c>
      <c r="S153" s="32" t="n">
        <v>29051712000</v>
      </c>
      <c r="T153" s="15" t="n">
        <v>0.0122448979591836</v>
      </c>
      <c r="U153" s="32" t="n">
        <v>12326560355</v>
      </c>
      <c r="V153" s="14" t="n">
        <v>2.2239941677678</v>
      </c>
      <c r="W153" s="13" t="n">
        <v>0.0174358974358975</v>
      </c>
      <c r="X153" s="15" t="n">
        <v>0.0171370967741935</v>
      </c>
      <c r="Y153" s="13" t="n">
        <v>0.0215681659400067</v>
      </c>
      <c r="Z153" s="13" t="n">
        <v>0.0293751152906454</v>
      </c>
      <c r="AA153" s="30" t="s">
        <v>97</v>
      </c>
      <c r="AB153" s="28" t="s">
        <v>93</v>
      </c>
      <c r="AC153" s="28" t="s">
        <v>100</v>
      </c>
      <c r="AD153" s="28" t="s">
        <v>106</v>
      </c>
      <c r="AE153" s="28" t="s">
        <v>112</v>
      </c>
      <c r="AF153" s="28" t="s">
        <v>117</v>
      </c>
      <c r="AG153" s="30" t="s">
        <v>122</v>
      </c>
    </row>
    <row r="154" customFormat="false" ht="15" hidden="false" customHeight="false" outlineLevel="0" collapsed="false">
      <c r="A154" s="10" t="n">
        <v>2024</v>
      </c>
      <c r="B154" s="28" t="s">
        <v>55</v>
      </c>
      <c r="C154" s="29" t="n">
        <v>45419</v>
      </c>
      <c r="D154" s="30" t="s">
        <v>126</v>
      </c>
      <c r="E154" s="28" t="s">
        <v>1291</v>
      </c>
      <c r="F154" s="30" t="s">
        <v>1292</v>
      </c>
      <c r="G154" s="31" t="n">
        <v>42042</v>
      </c>
      <c r="H154" s="31" t="n">
        <v>2</v>
      </c>
      <c r="I154" s="31" t="n">
        <v>84084</v>
      </c>
      <c r="J154" s="29" t="n">
        <v>45422</v>
      </c>
      <c r="K154" s="31" t="n">
        <v>40010</v>
      </c>
      <c r="L154" s="30" t="s">
        <v>32</v>
      </c>
      <c r="M154" s="10" t="n">
        <v>3</v>
      </c>
      <c r="N154" s="12" t="n">
        <v>-4233</v>
      </c>
      <c r="O154" s="13" t="n">
        <v>-0.050339558120451</v>
      </c>
      <c r="P154" s="15" t="n">
        <v>0.027543884686742</v>
      </c>
      <c r="Q154" s="13" t="n">
        <v>-0.0997098139955281</v>
      </c>
      <c r="R154" s="15" t="n">
        <v>0.129032258064516</v>
      </c>
      <c r="S154" s="32" t="n">
        <v>28603680000</v>
      </c>
      <c r="T154" s="15" t="n">
        <v>0.106719367588933</v>
      </c>
      <c r="U154" s="32" t="n">
        <v>6847557667.5</v>
      </c>
      <c r="V154" s="14" t="n">
        <v>3.2087861865392</v>
      </c>
      <c r="W154" s="13" t="n">
        <v>0.0755441741357235</v>
      </c>
      <c r="X154" s="15" t="n">
        <v>0.0452380952380953</v>
      </c>
      <c r="Y154" s="13" t="n">
        <v>0.0215681659400067</v>
      </c>
      <c r="Z154" s="13" t="n">
        <v>0.0293751152906454</v>
      </c>
      <c r="AA154" s="30" t="s">
        <v>97</v>
      </c>
      <c r="AB154" s="28" t="s">
        <v>93</v>
      </c>
      <c r="AC154" s="28" t="s">
        <v>102</v>
      </c>
      <c r="AD154" s="28" t="s">
        <v>106</v>
      </c>
      <c r="AE154" s="28" t="s">
        <v>114</v>
      </c>
      <c r="AF154" s="28" t="s">
        <v>118</v>
      </c>
      <c r="AG154" s="30" t="s">
        <v>122</v>
      </c>
    </row>
    <row r="155" customFormat="false" ht="15" hidden="false" customHeight="false" outlineLevel="0" collapsed="false">
      <c r="A155" s="10" t="n">
        <v>2024</v>
      </c>
      <c r="B155" s="28" t="s">
        <v>55</v>
      </c>
      <c r="C155" s="29" t="n">
        <v>45420</v>
      </c>
      <c r="D155" s="30" t="s">
        <v>127</v>
      </c>
      <c r="E155" s="28" t="s">
        <v>1085</v>
      </c>
      <c r="F155" s="30" t="s">
        <v>1086</v>
      </c>
      <c r="G155" s="31" t="n">
        <v>2047</v>
      </c>
      <c r="H155" s="31" t="n">
        <v>48</v>
      </c>
      <c r="I155" s="31" t="n">
        <v>98258</v>
      </c>
      <c r="J155" s="29" t="n">
        <v>45436</v>
      </c>
      <c r="K155" s="31" t="n">
        <v>1948</v>
      </c>
      <c r="L155" s="30" t="s">
        <v>32</v>
      </c>
      <c r="M155" s="10" t="n">
        <v>11</v>
      </c>
      <c r="N155" s="12" t="n">
        <v>-4949</v>
      </c>
      <c r="O155" s="13" t="n">
        <v>-0.0503656510970693</v>
      </c>
      <c r="P155" s="15" t="n">
        <v>0.191962072157671</v>
      </c>
      <c r="Q155" s="13" t="n">
        <v>-0.0718328126641085</v>
      </c>
      <c r="R155" s="15" t="n">
        <v>0.0780179230363731</v>
      </c>
      <c r="S155" s="32" t="n">
        <v>48969510695</v>
      </c>
      <c r="T155" s="15" t="n">
        <v>0.060134784862623</v>
      </c>
      <c r="U155" s="32" t="n">
        <v>8386447051.9</v>
      </c>
      <c r="V155" s="14" t="n">
        <v>5.16656100404444</v>
      </c>
      <c r="W155" s="13" t="n">
        <v>0.0701203558346415</v>
      </c>
      <c r="X155" s="15" t="n">
        <v>0.0537897310513447</v>
      </c>
      <c r="Y155" s="13" t="n">
        <v>0.00390950716072491</v>
      </c>
      <c r="Z155" s="13" t="n">
        <v>0.0214367576578454</v>
      </c>
      <c r="AA155" s="30" t="s">
        <v>97</v>
      </c>
      <c r="AB155" s="28" t="s">
        <v>93</v>
      </c>
      <c r="AC155" s="28" t="s">
        <v>101</v>
      </c>
      <c r="AD155" s="28" t="s">
        <v>107</v>
      </c>
      <c r="AE155" s="28" t="s">
        <v>101</v>
      </c>
      <c r="AF155" s="28" t="s">
        <v>119</v>
      </c>
      <c r="AG155" s="30" t="s">
        <v>122</v>
      </c>
    </row>
    <row r="156" customFormat="false" ht="15" hidden="false" customHeight="false" outlineLevel="0" collapsed="false">
      <c r="A156" s="10" t="n">
        <v>2024</v>
      </c>
      <c r="B156" s="28" t="s">
        <v>55</v>
      </c>
      <c r="C156" s="29" t="n">
        <v>45420</v>
      </c>
      <c r="D156" s="30" t="s">
        <v>127</v>
      </c>
      <c r="E156" s="28" t="s">
        <v>573</v>
      </c>
      <c r="F156" s="30" t="s">
        <v>574</v>
      </c>
      <c r="G156" s="31" t="n">
        <v>14514</v>
      </c>
      <c r="H156" s="31" t="n">
        <v>6</v>
      </c>
      <c r="I156" s="31" t="n">
        <v>87087</v>
      </c>
      <c r="J156" s="29" t="n">
        <v>45509</v>
      </c>
      <c r="K156" s="31" t="n">
        <v>13816</v>
      </c>
      <c r="L156" s="30" t="s">
        <v>32</v>
      </c>
      <c r="M156" s="10" t="n">
        <v>61</v>
      </c>
      <c r="N156" s="12" t="n">
        <v>-4365</v>
      </c>
      <c r="O156" s="13" t="n">
        <v>-0.050118757552792</v>
      </c>
      <c r="P156" s="15" t="n">
        <v>0.168486685728065</v>
      </c>
      <c r="Q156" s="13" t="n">
        <v>-0.0533604326707774</v>
      </c>
      <c r="R156" s="15" t="n">
        <v>0.0218463706835801</v>
      </c>
      <c r="S156" s="32" t="n">
        <v>29965975500</v>
      </c>
      <c r="T156" s="15" t="n">
        <v>0.0104529616724738</v>
      </c>
      <c r="U156" s="32" t="n">
        <v>25964375731.5</v>
      </c>
      <c r="V156" s="14" t="n">
        <v>1.10560240921315</v>
      </c>
      <c r="W156" s="13" t="n">
        <v>0.0175438596491229</v>
      </c>
      <c r="X156" s="15" t="n">
        <v>0.00275862068965527</v>
      </c>
      <c r="Y156" s="13" t="n">
        <v>0.00390950716072491</v>
      </c>
      <c r="Z156" s="13" t="n">
        <v>0.0214367576578454</v>
      </c>
      <c r="AA156" s="30" t="s">
        <v>97</v>
      </c>
      <c r="AB156" s="28" t="s">
        <v>93</v>
      </c>
      <c r="AC156" s="28" t="s">
        <v>99</v>
      </c>
      <c r="AD156" s="28" t="s">
        <v>106</v>
      </c>
      <c r="AE156" s="28" t="s">
        <v>112</v>
      </c>
      <c r="AF156" s="28" t="s">
        <v>116</v>
      </c>
      <c r="AG156" s="30" t="s">
        <v>122</v>
      </c>
    </row>
    <row r="157" customFormat="false" ht="15" hidden="false" customHeight="false" outlineLevel="0" collapsed="false">
      <c r="A157" s="10" t="n">
        <v>2024</v>
      </c>
      <c r="B157" s="28" t="s">
        <v>55</v>
      </c>
      <c r="C157" s="29" t="n">
        <v>45420</v>
      </c>
      <c r="D157" s="30" t="s">
        <v>127</v>
      </c>
      <c r="E157" s="28" t="s">
        <v>479</v>
      </c>
      <c r="F157" s="30" t="s">
        <v>480</v>
      </c>
      <c r="G157" s="31" t="n">
        <v>60761</v>
      </c>
      <c r="H157" s="31" t="n">
        <v>1</v>
      </c>
      <c r="I157" s="31" t="n">
        <v>60761</v>
      </c>
      <c r="J157" s="29" t="n">
        <v>45453</v>
      </c>
      <c r="K157" s="31" t="n">
        <v>57842</v>
      </c>
      <c r="L157" s="30" t="s">
        <v>32</v>
      </c>
      <c r="M157" s="10" t="n">
        <v>21</v>
      </c>
      <c r="N157" s="12" t="n">
        <v>-3041</v>
      </c>
      <c r="O157" s="13" t="n">
        <v>-0.050040671025844</v>
      </c>
      <c r="P157" s="15" t="n">
        <v>0.191559675908935</v>
      </c>
      <c r="Q157" s="13" t="n">
        <v>-0.0602478246629811</v>
      </c>
      <c r="R157" s="15" t="n">
        <v>0.046551724137931</v>
      </c>
      <c r="S157" s="32" t="n">
        <v>25674157600</v>
      </c>
      <c r="T157" s="15" t="n">
        <v>0.0218855218855218</v>
      </c>
      <c r="U157" s="32" t="n">
        <v>6416072770</v>
      </c>
      <c r="V157" s="14" t="n">
        <v>3.69218790031735</v>
      </c>
      <c r="W157" s="13" t="n">
        <v>0.0201680672268907</v>
      </c>
      <c r="X157" s="15" t="n">
        <v>0.0313014827018121</v>
      </c>
      <c r="Y157" s="13" t="n">
        <v>0.00390950716072491</v>
      </c>
      <c r="Z157" s="13" t="n">
        <v>0.0214367576578454</v>
      </c>
      <c r="AA157" s="30" t="s">
        <v>97</v>
      </c>
      <c r="AB157" s="28" t="s">
        <v>93</v>
      </c>
      <c r="AC157" s="28" t="s">
        <v>100</v>
      </c>
      <c r="AD157" s="28" t="s">
        <v>106</v>
      </c>
      <c r="AE157" s="28" t="s">
        <v>113</v>
      </c>
      <c r="AF157" s="28" t="s">
        <v>118</v>
      </c>
      <c r="AG157" s="30" t="s">
        <v>122</v>
      </c>
    </row>
    <row r="158" customFormat="false" ht="15" hidden="false" customHeight="false" outlineLevel="0" collapsed="false">
      <c r="A158" s="10" t="n">
        <v>2024</v>
      </c>
      <c r="B158" s="28" t="s">
        <v>55</v>
      </c>
      <c r="C158" s="29" t="n">
        <v>45420</v>
      </c>
      <c r="D158" s="30" t="s">
        <v>127</v>
      </c>
      <c r="E158" s="28" t="s">
        <v>995</v>
      </c>
      <c r="F158" s="30" t="s">
        <v>996</v>
      </c>
      <c r="G158" s="31" t="n">
        <v>9870</v>
      </c>
      <c r="H158" s="31" t="n">
        <v>10</v>
      </c>
      <c r="I158" s="31" t="n">
        <v>98696</v>
      </c>
      <c r="J158" s="29" t="n">
        <v>45429</v>
      </c>
      <c r="K158" s="31" t="n">
        <v>11850</v>
      </c>
      <c r="L158" s="30" t="s">
        <v>31</v>
      </c>
      <c r="M158" s="10" t="n">
        <v>6</v>
      </c>
      <c r="N158" s="12" t="n">
        <v>19558</v>
      </c>
      <c r="O158" s="13" t="n">
        <v>0.198167436472138</v>
      </c>
      <c r="P158" s="15" t="n">
        <v>0.240354641449247</v>
      </c>
      <c r="Q158" s="13" t="n">
        <v>-0.0275557124657985</v>
      </c>
      <c r="R158" s="15" t="n">
        <v>0.142984807864165</v>
      </c>
      <c r="S158" s="32" t="n">
        <v>24568349370</v>
      </c>
      <c r="T158" s="15" t="n">
        <v>0.0667222685571309</v>
      </c>
      <c r="U158" s="32" t="n">
        <v>3517496685</v>
      </c>
      <c r="V158" s="14" t="n">
        <v>5.91491787748728</v>
      </c>
      <c r="W158" s="13" t="n">
        <v>0.137900355871886</v>
      </c>
      <c r="X158" s="15" t="n">
        <v>0.0414386239249411</v>
      </c>
      <c r="Y158" s="13" t="n">
        <v>0.00390950716072491</v>
      </c>
      <c r="Z158" s="13" t="n">
        <v>0.0214367576578454</v>
      </c>
      <c r="AA158" s="30" t="s">
        <v>97</v>
      </c>
      <c r="AB158" s="28" t="s">
        <v>93</v>
      </c>
      <c r="AC158" s="28" t="s">
        <v>102</v>
      </c>
      <c r="AD158" s="28" t="s">
        <v>106</v>
      </c>
      <c r="AE158" s="28" t="s">
        <v>101</v>
      </c>
      <c r="AF158" s="28" t="s">
        <v>119</v>
      </c>
      <c r="AG158" s="30" t="s">
        <v>122</v>
      </c>
    </row>
    <row r="159" customFormat="false" ht="15" hidden="false" customHeight="false" outlineLevel="0" collapsed="false">
      <c r="A159" s="10" t="n">
        <v>2024</v>
      </c>
      <c r="B159" s="28" t="s">
        <v>55</v>
      </c>
      <c r="C159" s="29" t="n">
        <v>45420</v>
      </c>
      <c r="D159" s="30" t="s">
        <v>127</v>
      </c>
      <c r="E159" s="28" t="s">
        <v>303</v>
      </c>
      <c r="F159" s="30" t="s">
        <v>304</v>
      </c>
      <c r="G159" s="31" t="n">
        <v>14867</v>
      </c>
      <c r="H159" s="31" t="n">
        <v>6</v>
      </c>
      <c r="I159" s="31" t="n">
        <v>89200</v>
      </c>
      <c r="J159" s="29" t="n">
        <v>45421</v>
      </c>
      <c r="K159" s="31" t="n">
        <v>14146</v>
      </c>
      <c r="L159" s="30" t="s">
        <v>32</v>
      </c>
      <c r="M159" s="10" t="n">
        <v>1</v>
      </c>
      <c r="N159" s="12" t="n">
        <v>-4504</v>
      </c>
      <c r="O159" s="13" t="n">
        <v>-0.050495955556182</v>
      </c>
      <c r="P159" s="15" t="n">
        <v>0.0438999203044148</v>
      </c>
      <c r="Q159" s="13" t="n">
        <v>-0.0731579816652046</v>
      </c>
      <c r="R159" s="15" t="n">
        <v>0.0595238095238095</v>
      </c>
      <c r="S159" s="32" t="n">
        <v>23223259500</v>
      </c>
      <c r="T159" s="15" t="n">
        <v>0.0348837209302326</v>
      </c>
      <c r="U159" s="32" t="n">
        <v>14843224095</v>
      </c>
      <c r="V159" s="14" t="n">
        <v>1.41535358590224</v>
      </c>
      <c r="W159" s="13" t="n">
        <v>0.0470588235294118</v>
      </c>
      <c r="X159" s="15" t="n">
        <v>0.00160513643659721</v>
      </c>
      <c r="Y159" s="13" t="n">
        <v>0.00390950716072491</v>
      </c>
      <c r="Z159" s="13" t="n">
        <v>0.0214367576578454</v>
      </c>
      <c r="AA159" s="30" t="s">
        <v>97</v>
      </c>
      <c r="AB159" s="28" t="s">
        <v>93</v>
      </c>
      <c r="AC159" s="28" t="s">
        <v>101</v>
      </c>
      <c r="AD159" s="28" t="s">
        <v>106</v>
      </c>
      <c r="AE159" s="28" t="s">
        <v>113</v>
      </c>
      <c r="AF159" s="28" t="s">
        <v>116</v>
      </c>
      <c r="AG159" s="30" t="s">
        <v>122</v>
      </c>
    </row>
    <row r="160" customFormat="false" ht="15" hidden="false" customHeight="false" outlineLevel="0" collapsed="false">
      <c r="A160" s="10" t="n">
        <v>2024</v>
      </c>
      <c r="B160" s="28" t="s">
        <v>55</v>
      </c>
      <c r="C160" s="29" t="n">
        <v>45421</v>
      </c>
      <c r="D160" s="30" t="s">
        <v>128</v>
      </c>
      <c r="E160" s="28" t="s">
        <v>215</v>
      </c>
      <c r="F160" s="30" t="s">
        <v>216</v>
      </c>
      <c r="G160" s="31" t="n">
        <v>42006</v>
      </c>
      <c r="H160" s="31" t="n">
        <v>2</v>
      </c>
      <c r="I160" s="31" t="n">
        <v>84012</v>
      </c>
      <c r="J160" s="29" t="n">
        <v>45422</v>
      </c>
      <c r="K160" s="31" t="n">
        <v>39960</v>
      </c>
      <c r="L160" s="30" t="s">
        <v>32</v>
      </c>
      <c r="M160" s="10" t="n">
        <v>1</v>
      </c>
      <c r="N160" s="12" t="n">
        <v>-4261</v>
      </c>
      <c r="O160" s="13" t="n">
        <v>-0.050717805732664</v>
      </c>
      <c r="P160" s="15" t="n">
        <v>-0.0021565919596046</v>
      </c>
      <c r="Q160" s="13" t="n">
        <v>-0.0496178213443566</v>
      </c>
      <c r="R160" s="15" t="n">
        <v>0.0422705314009662</v>
      </c>
      <c r="S160" s="32" t="n">
        <v>164054056200</v>
      </c>
      <c r="T160" s="15" t="n">
        <v>0.0164899882214369</v>
      </c>
      <c r="U160" s="32" t="n">
        <v>103139078857.5</v>
      </c>
      <c r="V160" s="14" t="n">
        <v>1.45467863205308</v>
      </c>
      <c r="W160" s="13" t="n">
        <v>0.0422705314009662</v>
      </c>
      <c r="X160" s="15" t="n">
        <v>0.00115874855156428</v>
      </c>
      <c r="Y160" s="13" t="n">
        <v>-0.0119888526620645</v>
      </c>
      <c r="Z160" s="13" t="n">
        <v>0.00745897193970424</v>
      </c>
      <c r="AA160" s="30" t="s">
        <v>97</v>
      </c>
      <c r="AB160" s="28" t="s">
        <v>93</v>
      </c>
      <c r="AC160" s="28" t="s">
        <v>100</v>
      </c>
      <c r="AD160" s="28" t="s">
        <v>109</v>
      </c>
      <c r="AE160" s="28" t="s">
        <v>112</v>
      </c>
      <c r="AF160" s="28" t="s">
        <v>116</v>
      </c>
      <c r="AG160" s="30" t="s">
        <v>122</v>
      </c>
    </row>
    <row r="161" customFormat="false" ht="15" hidden="false" customHeight="false" outlineLevel="0" collapsed="false">
      <c r="A161" s="10" t="n">
        <v>2024</v>
      </c>
      <c r="B161" s="28" t="s">
        <v>55</v>
      </c>
      <c r="C161" s="29" t="n">
        <v>45421</v>
      </c>
      <c r="D161" s="30" t="s">
        <v>128</v>
      </c>
      <c r="E161" s="28" t="s">
        <v>601</v>
      </c>
      <c r="F161" s="30" t="s">
        <v>602</v>
      </c>
      <c r="G161" s="31" t="n">
        <v>19409</v>
      </c>
      <c r="H161" s="31" t="n">
        <v>5</v>
      </c>
      <c r="I161" s="31" t="n">
        <v>97047</v>
      </c>
      <c r="J161" s="29" t="n">
        <v>45422</v>
      </c>
      <c r="K161" s="31" t="n">
        <v>18472</v>
      </c>
      <c r="L161" s="30" t="s">
        <v>32</v>
      </c>
      <c r="M161" s="10" t="n">
        <v>1</v>
      </c>
      <c r="N161" s="12" t="n">
        <v>-4884</v>
      </c>
      <c r="O161" s="13" t="n">
        <v>-0.0503267157288304</v>
      </c>
      <c r="P161" s="15" t="n">
        <v>0.0103357189484059</v>
      </c>
      <c r="Q161" s="13" t="n">
        <v>-0.0576726007360354</v>
      </c>
      <c r="R161" s="15" t="n">
        <v>0.196913580246914</v>
      </c>
      <c r="S161" s="32" t="n">
        <v>100606585590</v>
      </c>
      <c r="T161" s="15" t="n">
        <v>0.169481302774427</v>
      </c>
      <c r="U161" s="32" t="n">
        <v>4040290592</v>
      </c>
      <c r="V161" s="14" t="n">
        <v>20.0452009617374</v>
      </c>
      <c r="W161" s="13" t="n">
        <v>0.14801657785672</v>
      </c>
      <c r="X161" s="15" t="n">
        <v>0.0263022176379577</v>
      </c>
      <c r="Y161" s="13" t="n">
        <v>-0.0119888526620645</v>
      </c>
      <c r="Z161" s="13" t="n">
        <v>0.00745897193970424</v>
      </c>
      <c r="AA161" s="30" t="s">
        <v>97</v>
      </c>
      <c r="AB161" s="28" t="s">
        <v>93</v>
      </c>
      <c r="AC161" s="28" t="s">
        <v>103</v>
      </c>
      <c r="AD161" s="28" t="s">
        <v>109</v>
      </c>
      <c r="AE161" s="28" t="s">
        <v>114</v>
      </c>
      <c r="AF161" s="28" t="s">
        <v>120</v>
      </c>
      <c r="AG161" s="30" t="s">
        <v>122</v>
      </c>
    </row>
    <row r="162" customFormat="false" ht="15" hidden="false" customHeight="false" outlineLevel="0" collapsed="false">
      <c r="A162" s="10" t="n">
        <v>2024</v>
      </c>
      <c r="B162" s="28" t="s">
        <v>55</v>
      </c>
      <c r="C162" s="29" t="n">
        <v>45421</v>
      </c>
      <c r="D162" s="30" t="s">
        <v>128</v>
      </c>
      <c r="E162" s="28" t="s">
        <v>1293</v>
      </c>
      <c r="F162" s="30" t="s">
        <v>1294</v>
      </c>
      <c r="G162" s="31" t="n">
        <v>3574</v>
      </c>
      <c r="H162" s="31" t="n">
        <v>27</v>
      </c>
      <c r="I162" s="31" t="n">
        <v>96486</v>
      </c>
      <c r="J162" s="29" t="n">
        <v>45442</v>
      </c>
      <c r="K162" s="31" t="n">
        <v>3402</v>
      </c>
      <c r="L162" s="30" t="s">
        <v>32</v>
      </c>
      <c r="M162" s="10" t="n">
        <v>14</v>
      </c>
      <c r="N162" s="12" t="n">
        <v>-4837</v>
      </c>
      <c r="O162" s="13" t="n">
        <v>-0.0501303026805127</v>
      </c>
      <c r="P162" s="15" t="n">
        <v>0.197681869950778</v>
      </c>
      <c r="Q162" s="13" t="n">
        <v>-0.054167121394012</v>
      </c>
      <c r="R162" s="15" t="n">
        <v>0.05</v>
      </c>
      <c r="S162" s="32" t="n">
        <v>62477584680</v>
      </c>
      <c r="T162" s="15" t="n">
        <v>0.02</v>
      </c>
      <c r="U162" s="32" t="n">
        <v>5390359164</v>
      </c>
      <c r="V162" s="14" t="n">
        <v>11.1157414904341</v>
      </c>
      <c r="W162" s="13" t="n">
        <v>0.0377906976744187</v>
      </c>
      <c r="X162" s="15" t="n">
        <v>0.128851540616247</v>
      </c>
      <c r="Y162" s="13" t="n">
        <v>-0.0119888526620645</v>
      </c>
      <c r="Z162" s="13" t="n">
        <v>0.00745897193970424</v>
      </c>
      <c r="AA162" s="30" t="s">
        <v>97</v>
      </c>
      <c r="AB162" s="28" t="s">
        <v>93</v>
      </c>
      <c r="AC162" s="28" t="s">
        <v>101</v>
      </c>
      <c r="AD162" s="28" t="s">
        <v>108</v>
      </c>
      <c r="AE162" s="28" t="s">
        <v>113</v>
      </c>
      <c r="AF162" s="28" t="s">
        <v>120</v>
      </c>
      <c r="AG162" s="30" t="s">
        <v>122</v>
      </c>
    </row>
    <row r="163" customFormat="false" ht="15" hidden="false" customHeight="false" outlineLevel="0" collapsed="false">
      <c r="A163" s="10" t="n">
        <v>2024</v>
      </c>
      <c r="B163" s="28" t="s">
        <v>55</v>
      </c>
      <c r="C163" s="29" t="n">
        <v>45421</v>
      </c>
      <c r="D163" s="30" t="s">
        <v>128</v>
      </c>
      <c r="E163" s="28" t="s">
        <v>1295</v>
      </c>
      <c r="F163" s="30" t="s">
        <v>1296</v>
      </c>
      <c r="G163" s="31" t="n">
        <v>29680</v>
      </c>
      <c r="H163" s="31" t="n">
        <v>3</v>
      </c>
      <c r="I163" s="31" t="n">
        <v>89039</v>
      </c>
      <c r="J163" s="29" t="n">
        <v>45422</v>
      </c>
      <c r="K163" s="31" t="n">
        <v>28222</v>
      </c>
      <c r="L163" s="30" t="s">
        <v>32</v>
      </c>
      <c r="M163" s="10" t="n">
        <v>1</v>
      </c>
      <c r="N163" s="12" t="n">
        <v>-4552</v>
      </c>
      <c r="O163" s="13" t="n">
        <v>-0.0511254128670655</v>
      </c>
      <c r="P163" s="15" t="n">
        <v>0.00910893490994669</v>
      </c>
      <c r="Q163" s="13" t="n">
        <v>-0.0532233365285642</v>
      </c>
      <c r="R163" s="15" t="n">
        <v>0.0295138888888888</v>
      </c>
      <c r="S163" s="32" t="n">
        <v>22988267650</v>
      </c>
      <c r="T163" s="15" t="n">
        <v>0.0136752136752136</v>
      </c>
      <c r="U163" s="32" t="n">
        <v>4979226530</v>
      </c>
      <c r="V163" s="14" t="n">
        <v>4.32781184324736</v>
      </c>
      <c r="W163" s="13" t="n">
        <v>0.00679117147707986</v>
      </c>
      <c r="X163" s="15" t="n">
        <v>0.0708263069139967</v>
      </c>
      <c r="Y163" s="13" t="n">
        <v>-0.0119888526620645</v>
      </c>
      <c r="Z163" s="13" t="n">
        <v>0.00745897193970424</v>
      </c>
      <c r="AA163" s="30" t="s">
        <v>97</v>
      </c>
      <c r="AB163" s="28" t="s">
        <v>93</v>
      </c>
      <c r="AC163" s="28" t="s">
        <v>99</v>
      </c>
      <c r="AD163" s="28" t="s">
        <v>106</v>
      </c>
      <c r="AE163" s="28" t="s">
        <v>112</v>
      </c>
      <c r="AF163" s="28" t="s">
        <v>118</v>
      </c>
      <c r="AG163" s="30" t="s">
        <v>122</v>
      </c>
    </row>
    <row r="164" customFormat="false" ht="15" hidden="false" customHeight="false" outlineLevel="0" collapsed="false">
      <c r="A164" s="10" t="n">
        <v>2024</v>
      </c>
      <c r="B164" s="28" t="s">
        <v>55</v>
      </c>
      <c r="C164" s="29" t="n">
        <v>45422</v>
      </c>
      <c r="D164" s="30" t="s">
        <v>129</v>
      </c>
      <c r="E164" s="28" t="s">
        <v>609</v>
      </c>
      <c r="F164" s="28" t="s">
        <v>610</v>
      </c>
      <c r="G164" s="31" t="n">
        <v>97597</v>
      </c>
      <c r="H164" s="31" t="n">
        <v>1</v>
      </c>
      <c r="I164" s="31" t="n">
        <v>97597</v>
      </c>
      <c r="J164" s="29" t="n">
        <v>45509</v>
      </c>
      <c r="K164" s="31" t="n">
        <v>92907</v>
      </c>
      <c r="L164" s="30" t="s">
        <v>32</v>
      </c>
      <c r="M164" s="10" t="n">
        <v>59</v>
      </c>
      <c r="N164" s="12" t="n">
        <v>-4886</v>
      </c>
      <c r="O164" s="13" t="n">
        <v>-0.050065916391301</v>
      </c>
      <c r="P164" s="15" t="n">
        <v>0.18240733625349</v>
      </c>
      <c r="Q164" s="13" t="n">
        <v>-0.113706806014498</v>
      </c>
      <c r="R164" s="15" t="n">
        <v>0.045016077170418</v>
      </c>
      <c r="S164" s="32" t="n">
        <v>160110015000</v>
      </c>
      <c r="T164" s="15" t="n">
        <v>0.0114107883817427</v>
      </c>
      <c r="U164" s="32" t="n">
        <v>48989432425</v>
      </c>
      <c r="V164" s="14" t="n">
        <v>3.10730062017191</v>
      </c>
      <c r="W164" s="13" t="n">
        <v>0.0328389830508475</v>
      </c>
      <c r="X164" s="15" t="n">
        <v>0.00307692307692298</v>
      </c>
      <c r="Y164" s="13" t="n">
        <v>0.00571135708333648</v>
      </c>
      <c r="Z164" s="13" t="n">
        <v>0.0163881281091052</v>
      </c>
      <c r="AA164" s="30" t="s">
        <v>97</v>
      </c>
      <c r="AB164" s="28" t="s">
        <v>93</v>
      </c>
      <c r="AC164" s="28" t="s">
        <v>100</v>
      </c>
      <c r="AD164" s="28" t="s">
        <v>109</v>
      </c>
      <c r="AE164" s="28" t="s">
        <v>112</v>
      </c>
      <c r="AF164" s="28" t="s">
        <v>118</v>
      </c>
      <c r="AG164" s="30" t="s">
        <v>122</v>
      </c>
    </row>
    <row r="165" customFormat="false" ht="15" hidden="false" customHeight="false" outlineLevel="0" collapsed="false">
      <c r="A165" s="10" t="n">
        <v>2024</v>
      </c>
      <c r="B165" s="28" t="s">
        <v>55</v>
      </c>
      <c r="C165" s="29" t="n">
        <v>45422</v>
      </c>
      <c r="D165" s="30" t="s">
        <v>129</v>
      </c>
      <c r="E165" s="28" t="s">
        <v>323</v>
      </c>
      <c r="F165" s="30" t="s">
        <v>324</v>
      </c>
      <c r="G165" s="31" t="n">
        <v>7357</v>
      </c>
      <c r="H165" s="31" t="n">
        <v>13</v>
      </c>
      <c r="I165" s="31" t="n">
        <v>95646</v>
      </c>
      <c r="J165" s="29" t="n">
        <v>45429</v>
      </c>
      <c r="K165" s="31" t="n">
        <v>7003</v>
      </c>
      <c r="L165" s="30" t="s">
        <v>32</v>
      </c>
      <c r="M165" s="10" t="n">
        <v>4</v>
      </c>
      <c r="N165" s="12" t="n">
        <v>-4799</v>
      </c>
      <c r="O165" s="13" t="n">
        <v>-0.0501701608595488</v>
      </c>
      <c r="P165" s="15" t="n">
        <v>0.0547275853398304</v>
      </c>
      <c r="Q165" s="13" t="n">
        <v>-0.0621623274684499</v>
      </c>
      <c r="R165" s="15" t="n">
        <v>0.106927710843374</v>
      </c>
      <c r="S165" s="32" t="n">
        <v>111749767500</v>
      </c>
      <c r="T165" s="15" t="n">
        <v>0.0208333333333333</v>
      </c>
      <c r="U165" s="32" t="n">
        <v>7644108212.5</v>
      </c>
      <c r="V165" s="14" t="n">
        <v>13.3773377434527</v>
      </c>
      <c r="W165" s="13" t="n">
        <v>-0.0892193308550185</v>
      </c>
      <c r="X165" s="15" t="n">
        <v>0.115646258503401</v>
      </c>
      <c r="Y165" s="13" t="n">
        <v>0.00571135708333648</v>
      </c>
      <c r="Z165" s="13" t="n">
        <v>0.0163881281091052</v>
      </c>
      <c r="AA165" s="30" t="s">
        <v>97</v>
      </c>
      <c r="AB165" s="28" t="s">
        <v>93</v>
      </c>
      <c r="AC165" s="28" t="s">
        <v>102</v>
      </c>
      <c r="AD165" s="28" t="s">
        <v>109</v>
      </c>
      <c r="AE165" s="28" t="s">
        <v>113</v>
      </c>
      <c r="AF165" s="28" t="s">
        <v>120</v>
      </c>
      <c r="AG165" s="30" t="s">
        <v>123</v>
      </c>
    </row>
    <row r="166" customFormat="false" ht="15" hidden="false" customHeight="false" outlineLevel="0" collapsed="false">
      <c r="A166" s="10" t="n">
        <v>2024</v>
      </c>
      <c r="B166" s="28" t="s">
        <v>55</v>
      </c>
      <c r="C166" s="29" t="n">
        <v>45422</v>
      </c>
      <c r="D166" s="30" t="s">
        <v>129</v>
      </c>
      <c r="E166" s="28" t="s">
        <v>695</v>
      </c>
      <c r="F166" s="30" t="s">
        <v>696</v>
      </c>
      <c r="G166" s="31" t="n">
        <v>55255</v>
      </c>
      <c r="H166" s="31" t="n">
        <v>1</v>
      </c>
      <c r="I166" s="31" t="n">
        <v>55255</v>
      </c>
      <c r="J166" s="29" t="n">
        <v>45429</v>
      </c>
      <c r="K166" s="31" t="n">
        <v>52547</v>
      </c>
      <c r="L166" s="30" t="s">
        <v>32</v>
      </c>
      <c r="M166" s="10" t="n">
        <v>4</v>
      </c>
      <c r="N166" s="12" t="n">
        <v>-2819</v>
      </c>
      <c r="O166" s="13" t="n">
        <v>-0.0510097820657603</v>
      </c>
      <c r="P166" s="15" t="n">
        <v>0.0351966873706004</v>
      </c>
      <c r="Q166" s="13" t="n">
        <v>-0.0498631802979629</v>
      </c>
      <c r="R166" s="15" t="n">
        <v>0.0802348336594911</v>
      </c>
      <c r="S166" s="32" t="n">
        <v>66238564800</v>
      </c>
      <c r="T166" s="15" t="n">
        <v>0.0802348336594911</v>
      </c>
      <c r="U166" s="32" t="n">
        <v>7199197007.5</v>
      </c>
      <c r="V166" s="14" t="n">
        <v>8.2747354440802</v>
      </c>
      <c r="W166" s="13" t="n">
        <v>0.067698259187621</v>
      </c>
      <c r="X166" s="15" t="n">
        <v>0</v>
      </c>
      <c r="Y166" s="13" t="n">
        <v>0.00571135708333648</v>
      </c>
      <c r="Z166" s="13" t="n">
        <v>0.0163881281091052</v>
      </c>
      <c r="AA166" s="30" t="s">
        <v>97</v>
      </c>
      <c r="AB166" s="28" t="s">
        <v>93</v>
      </c>
      <c r="AC166" s="28" t="s">
        <v>101</v>
      </c>
      <c r="AD166" s="28" t="s">
        <v>108</v>
      </c>
      <c r="AE166" s="28" t="s">
        <v>101</v>
      </c>
      <c r="AF166" s="28" t="s">
        <v>119</v>
      </c>
      <c r="AG166" s="30" t="s">
        <v>122</v>
      </c>
    </row>
    <row r="167" customFormat="false" ht="15" hidden="false" customHeight="false" outlineLevel="0" collapsed="false">
      <c r="A167" s="10" t="n">
        <v>2024</v>
      </c>
      <c r="B167" s="28" t="s">
        <v>55</v>
      </c>
      <c r="C167" s="29" t="n">
        <v>45422</v>
      </c>
      <c r="D167" s="30" t="s">
        <v>129</v>
      </c>
      <c r="E167" s="28" t="s">
        <v>1165</v>
      </c>
      <c r="F167" s="30" t="s">
        <v>1166</v>
      </c>
      <c r="G167" s="31" t="n">
        <v>91992</v>
      </c>
      <c r="H167" s="31" t="n">
        <v>1</v>
      </c>
      <c r="I167" s="31" t="n">
        <v>91992</v>
      </c>
      <c r="J167" s="29" t="n">
        <v>45429</v>
      </c>
      <c r="K167" s="31" t="n">
        <v>87512</v>
      </c>
      <c r="L167" s="30" t="s">
        <v>32</v>
      </c>
      <c r="M167" s="10" t="n">
        <v>4</v>
      </c>
      <c r="N167" s="12" t="n">
        <v>-4664</v>
      </c>
      <c r="O167" s="13" t="n">
        <v>-0.0506995503408454</v>
      </c>
      <c r="P167" s="15" t="n">
        <v>0.0598759238585136</v>
      </c>
      <c r="Q167" s="13" t="n">
        <v>-0.0499163513309323</v>
      </c>
      <c r="R167" s="15" t="n">
        <v>0.0372460496613996</v>
      </c>
      <c r="S167" s="32" t="n">
        <v>61121771000</v>
      </c>
      <c r="T167" s="15" t="n">
        <v>0.0268156424581005</v>
      </c>
      <c r="U167" s="32" t="n">
        <v>32632130050</v>
      </c>
      <c r="V167" s="14" t="n">
        <v>1.72754934570455</v>
      </c>
      <c r="W167" s="13" t="n">
        <v>0.00218102508178841</v>
      </c>
      <c r="X167" s="15" t="n">
        <v>0.00979325353645266</v>
      </c>
      <c r="Y167" s="13" t="n">
        <v>0.00571135708333648</v>
      </c>
      <c r="Z167" s="13" t="n">
        <v>0.0163881281091052</v>
      </c>
      <c r="AA167" s="30" t="s">
        <v>97</v>
      </c>
      <c r="AB167" s="28" t="s">
        <v>93</v>
      </c>
      <c r="AC167" s="28" t="s">
        <v>100</v>
      </c>
      <c r="AD167" s="28" t="s">
        <v>108</v>
      </c>
      <c r="AE167" s="28" t="s">
        <v>113</v>
      </c>
      <c r="AF167" s="28" t="s">
        <v>116</v>
      </c>
      <c r="AG167" s="30" t="s">
        <v>122</v>
      </c>
    </row>
    <row r="168" customFormat="false" ht="15" hidden="false" customHeight="false" outlineLevel="0" collapsed="false">
      <c r="A168" s="10" t="n">
        <v>2024</v>
      </c>
      <c r="B168" s="28" t="s">
        <v>55</v>
      </c>
      <c r="C168" s="29" t="n">
        <v>45422</v>
      </c>
      <c r="D168" s="30" t="s">
        <v>129</v>
      </c>
      <c r="E168" s="28" t="s">
        <v>1297</v>
      </c>
      <c r="F168" s="30" t="s">
        <v>1298</v>
      </c>
      <c r="G168" s="31" t="n">
        <v>8458</v>
      </c>
      <c r="H168" s="31" t="n">
        <v>11</v>
      </c>
      <c r="I168" s="31" t="n">
        <v>93043</v>
      </c>
      <c r="J168" s="29" t="n">
        <v>45453</v>
      </c>
      <c r="K168" s="31" t="n">
        <v>8052</v>
      </c>
      <c r="L168" s="30" t="s">
        <v>32</v>
      </c>
      <c r="M168" s="10" t="n">
        <v>19</v>
      </c>
      <c r="N168" s="12" t="n">
        <v>-4658</v>
      </c>
      <c r="O168" s="13" t="n">
        <v>-0.050065916391301</v>
      </c>
      <c r="P168" s="15" t="n">
        <v>0.19407219998936</v>
      </c>
      <c r="Q168" s="13" t="n">
        <v>-0.0482889891173913</v>
      </c>
      <c r="R168" s="15" t="n">
        <v>0.0483870967741935</v>
      </c>
      <c r="S168" s="32" t="n">
        <v>34332721800</v>
      </c>
      <c r="T168" s="15" t="n">
        <v>0.0180722891566265</v>
      </c>
      <c r="U168" s="32" t="n">
        <v>4464272818</v>
      </c>
      <c r="V168" s="14" t="n">
        <v>6.96921981261012</v>
      </c>
      <c r="W168" s="13" t="n">
        <v>-0.092373791621912</v>
      </c>
      <c r="X168" s="15" t="n">
        <v>0.123076923076923</v>
      </c>
      <c r="Y168" s="13" t="n">
        <v>0.00571135708333648</v>
      </c>
      <c r="Z168" s="13" t="n">
        <v>0.0163881281091052</v>
      </c>
      <c r="AA168" s="30" t="s">
        <v>97</v>
      </c>
      <c r="AB168" s="28" t="s">
        <v>93</v>
      </c>
      <c r="AC168" s="28" t="s">
        <v>100</v>
      </c>
      <c r="AD168" s="28" t="s">
        <v>107</v>
      </c>
      <c r="AE168" s="28" t="s">
        <v>112</v>
      </c>
      <c r="AF168" s="28" t="s">
        <v>119</v>
      </c>
      <c r="AG168" s="30" t="s">
        <v>123</v>
      </c>
    </row>
    <row r="169" customFormat="false" ht="15" hidden="false" customHeight="false" outlineLevel="0" collapsed="false">
      <c r="A169" s="10" t="n">
        <v>2024</v>
      </c>
      <c r="B169" s="28" t="s">
        <v>55</v>
      </c>
      <c r="C169" s="29" t="n">
        <v>45422</v>
      </c>
      <c r="D169" s="30" t="s">
        <v>129</v>
      </c>
      <c r="E169" s="28" t="s">
        <v>465</v>
      </c>
      <c r="F169" s="28" t="s">
        <v>466</v>
      </c>
      <c r="G169" s="31" t="n">
        <v>52452</v>
      </c>
      <c r="H169" s="31" t="n">
        <v>1</v>
      </c>
      <c r="I169" s="31" t="n">
        <v>52452</v>
      </c>
      <c r="J169" s="29"/>
      <c r="K169" s="31"/>
      <c r="L169" s="30" t="s">
        <v>33</v>
      </c>
      <c r="M169" s="10" t="n">
        <v>156</v>
      </c>
      <c r="N169" s="12" t="n">
        <v>34448</v>
      </c>
      <c r="O169" s="13" t="n">
        <v>0.660553187270745</v>
      </c>
      <c r="P169" s="15" t="n">
        <v>1.65955418627174</v>
      </c>
      <c r="Q169" s="13" t="n">
        <v>-0.0391288101211764</v>
      </c>
      <c r="R169" s="15" t="n">
        <v>0.0115830115830116</v>
      </c>
      <c r="S169" s="32" t="n">
        <v>23263661200</v>
      </c>
      <c r="T169" s="15" t="n">
        <v>0.0115830115830116</v>
      </c>
      <c r="U169" s="32" t="n">
        <v>19654083305</v>
      </c>
      <c r="V169" s="14" t="n">
        <v>1.15221391440206</v>
      </c>
      <c r="W169" s="13" t="n">
        <v>0.00575815738963525</v>
      </c>
      <c r="X169" s="15" t="n">
        <v>0.00763358778625944</v>
      </c>
      <c r="Y169" s="13" t="n">
        <v>0.00571135708333648</v>
      </c>
      <c r="Z169" s="13" t="n">
        <v>0.0163881281091052</v>
      </c>
      <c r="AA169" s="30" t="s">
        <v>97</v>
      </c>
      <c r="AB169" s="28" t="s">
        <v>93</v>
      </c>
      <c r="AC169" s="28" t="s">
        <v>99</v>
      </c>
      <c r="AD169" s="28" t="s">
        <v>106</v>
      </c>
      <c r="AE169" s="28" t="s">
        <v>112</v>
      </c>
      <c r="AF169" s="28" t="s">
        <v>116</v>
      </c>
      <c r="AG169" s="30" t="s">
        <v>122</v>
      </c>
    </row>
    <row r="170" customFormat="false" ht="15" hidden="false" customHeight="false" outlineLevel="0" collapsed="false">
      <c r="A170" s="10" t="n">
        <v>2024</v>
      </c>
      <c r="B170" s="28" t="s">
        <v>55</v>
      </c>
      <c r="C170" s="29" t="n">
        <v>45428</v>
      </c>
      <c r="D170" s="30" t="s">
        <v>128</v>
      </c>
      <c r="E170" s="28" t="s">
        <v>1299</v>
      </c>
      <c r="F170" s="30" t="s">
        <v>1300</v>
      </c>
      <c r="G170" s="31" t="n">
        <v>49600</v>
      </c>
      <c r="H170" s="31" t="n">
        <v>2</v>
      </c>
      <c r="I170" s="31" t="n">
        <v>99199</v>
      </c>
      <c r="J170" s="29" t="n">
        <v>45435</v>
      </c>
      <c r="K170" s="31" t="n">
        <v>47203</v>
      </c>
      <c r="L170" s="30" t="s">
        <v>32</v>
      </c>
      <c r="M170" s="10" t="n">
        <v>5</v>
      </c>
      <c r="N170" s="12" t="n">
        <v>-4993</v>
      </c>
      <c r="O170" s="13" t="n">
        <v>-0.0503287891724824</v>
      </c>
      <c r="P170" s="15" t="n">
        <v>0.0221866932260475</v>
      </c>
      <c r="Q170" s="13" t="n">
        <v>-0.0503946104349736</v>
      </c>
      <c r="R170" s="15" t="n">
        <v>0.0854326396495071</v>
      </c>
      <c r="S170" s="32" t="n">
        <v>39537580150</v>
      </c>
      <c r="T170" s="15" t="n">
        <v>0.0366108786610879</v>
      </c>
      <c r="U170" s="32" t="n">
        <v>10601229317.5</v>
      </c>
      <c r="V170" s="14" t="n">
        <v>3.40995697025097</v>
      </c>
      <c r="W170" s="13" t="n">
        <v>0.0542553191489361</v>
      </c>
      <c r="X170" s="15" t="n">
        <v>0.029263370332997</v>
      </c>
      <c r="Y170" s="13" t="n">
        <v>0.00829933268384142</v>
      </c>
      <c r="Z170" s="13" t="n">
        <v>0.00289612211070822</v>
      </c>
      <c r="AA170" s="30" t="s">
        <v>97</v>
      </c>
      <c r="AB170" s="28" t="s">
        <v>93</v>
      </c>
      <c r="AC170" s="28" t="s">
        <v>101</v>
      </c>
      <c r="AD170" s="28" t="s">
        <v>107</v>
      </c>
      <c r="AE170" s="28" t="s">
        <v>113</v>
      </c>
      <c r="AF170" s="28" t="s">
        <v>118</v>
      </c>
      <c r="AG170" s="30" t="s">
        <v>122</v>
      </c>
    </row>
    <row r="171" customFormat="false" ht="15" hidden="false" customHeight="false" outlineLevel="0" collapsed="false">
      <c r="A171" s="10" t="n">
        <v>2024</v>
      </c>
      <c r="B171" s="28" t="s">
        <v>55</v>
      </c>
      <c r="C171" s="29" t="n">
        <v>45428</v>
      </c>
      <c r="D171" s="30" t="s">
        <v>128</v>
      </c>
      <c r="E171" s="28" t="s">
        <v>1301</v>
      </c>
      <c r="F171" s="30" t="s">
        <v>1302</v>
      </c>
      <c r="G171" s="31" t="n">
        <v>5776</v>
      </c>
      <c r="H171" s="31" t="n">
        <v>17</v>
      </c>
      <c r="I171" s="31" t="n">
        <v>98188</v>
      </c>
      <c r="J171" s="29" t="n">
        <v>45429</v>
      </c>
      <c r="K171" s="31" t="n">
        <v>5494</v>
      </c>
      <c r="L171" s="30" t="s">
        <v>32</v>
      </c>
      <c r="M171" s="10" t="n">
        <v>1</v>
      </c>
      <c r="N171" s="12" t="n">
        <v>-4978</v>
      </c>
      <c r="O171" s="13" t="n">
        <v>-0.0507033071780906</v>
      </c>
      <c r="P171" s="15" t="n">
        <v>-0.00965585540975478</v>
      </c>
      <c r="Q171" s="13" t="n">
        <v>-0.0564028692278258</v>
      </c>
      <c r="R171" s="15" t="n">
        <v>0.129158512720157</v>
      </c>
      <c r="S171" s="32" t="n">
        <v>38796406780</v>
      </c>
      <c r="T171" s="15" t="n">
        <v>0.0230496453900708</v>
      </c>
      <c r="U171" s="32" t="n">
        <v>9677811363</v>
      </c>
      <c r="V171" s="14" t="n">
        <v>3.72840088405026</v>
      </c>
      <c r="W171" s="13" t="n">
        <v>0.138067061143984</v>
      </c>
      <c r="X171" s="15" t="n">
        <v>0.0259965337954939</v>
      </c>
      <c r="Y171" s="13" t="n">
        <v>0.00829933268384142</v>
      </c>
      <c r="Z171" s="13" t="n">
        <v>0.00289612211070822</v>
      </c>
      <c r="AA171" s="30" t="s">
        <v>97</v>
      </c>
      <c r="AB171" s="28" t="s">
        <v>93</v>
      </c>
      <c r="AC171" s="28" t="s">
        <v>102</v>
      </c>
      <c r="AD171" s="28" t="s">
        <v>107</v>
      </c>
      <c r="AE171" s="28" t="s">
        <v>113</v>
      </c>
      <c r="AF171" s="28" t="s">
        <v>118</v>
      </c>
      <c r="AG171" s="30" t="s">
        <v>122</v>
      </c>
    </row>
    <row r="172" customFormat="false" ht="15" hidden="false" customHeight="false" outlineLevel="0" collapsed="false">
      <c r="A172" s="10" t="n">
        <v>2024</v>
      </c>
      <c r="B172" s="28" t="s">
        <v>55</v>
      </c>
      <c r="C172" s="29" t="n">
        <v>45428</v>
      </c>
      <c r="D172" s="30" t="s">
        <v>128</v>
      </c>
      <c r="E172" s="28" t="s">
        <v>1251</v>
      </c>
      <c r="F172" s="30" t="s">
        <v>1252</v>
      </c>
      <c r="G172" s="31" t="n">
        <v>24524</v>
      </c>
      <c r="H172" s="31" t="n">
        <v>4</v>
      </c>
      <c r="I172" s="31" t="n">
        <v>98098</v>
      </c>
      <c r="J172" s="29" t="n">
        <v>45439</v>
      </c>
      <c r="K172" s="31" t="n">
        <v>23327</v>
      </c>
      <c r="L172" s="30" t="s">
        <v>32</v>
      </c>
      <c r="M172" s="10" t="n">
        <v>7</v>
      </c>
      <c r="N172" s="12" t="n">
        <v>-4988</v>
      </c>
      <c r="O172" s="13" t="n">
        <v>-0.050847749903158</v>
      </c>
      <c r="P172" s="15" t="n">
        <v>0.0153112193928522</v>
      </c>
      <c r="Q172" s="13" t="n">
        <v>-0.0642011050174314</v>
      </c>
      <c r="R172" s="15" t="n">
        <v>0.0492505353319057</v>
      </c>
      <c r="S172" s="32" t="n">
        <v>38092722500</v>
      </c>
      <c r="T172" s="15" t="n">
        <v>0.00823045267489708</v>
      </c>
      <c r="U172" s="32" t="n">
        <v>9609008127.5</v>
      </c>
      <c r="V172" s="14" t="n">
        <v>3.76300593213663</v>
      </c>
      <c r="W172" s="13" t="n">
        <v>0.0359408033826638</v>
      </c>
      <c r="X172" s="15" t="n">
        <v>0.0306122448979591</v>
      </c>
      <c r="Y172" s="13" t="n">
        <v>0.00829933268384142</v>
      </c>
      <c r="Z172" s="13" t="n">
        <v>0.00289612211070822</v>
      </c>
      <c r="AA172" s="30" t="s">
        <v>97</v>
      </c>
      <c r="AB172" s="28" t="s">
        <v>93</v>
      </c>
      <c r="AC172" s="28" t="s">
        <v>100</v>
      </c>
      <c r="AD172" s="28" t="s">
        <v>107</v>
      </c>
      <c r="AE172" s="28" t="s">
        <v>112</v>
      </c>
      <c r="AF172" s="28" t="s">
        <v>118</v>
      </c>
      <c r="AG172" s="30" t="s">
        <v>122</v>
      </c>
    </row>
    <row r="173" customFormat="false" ht="15" hidden="false" customHeight="false" outlineLevel="0" collapsed="false">
      <c r="A173" s="10" t="n">
        <v>2024</v>
      </c>
      <c r="B173" s="28" t="s">
        <v>55</v>
      </c>
      <c r="C173" s="29" t="n">
        <v>45428</v>
      </c>
      <c r="D173" s="30" t="s">
        <v>128</v>
      </c>
      <c r="E173" s="28" t="s">
        <v>565</v>
      </c>
      <c r="F173" s="30" t="s">
        <v>566</v>
      </c>
      <c r="G173" s="31" t="n">
        <v>36587</v>
      </c>
      <c r="H173" s="31" t="n">
        <v>2</v>
      </c>
      <c r="I173" s="31" t="n">
        <v>73173</v>
      </c>
      <c r="J173" s="29" t="n">
        <v>45436</v>
      </c>
      <c r="K173" s="31" t="n">
        <v>34815</v>
      </c>
      <c r="L173" s="30" t="s">
        <v>32</v>
      </c>
      <c r="M173" s="10" t="n">
        <v>6</v>
      </c>
      <c r="N173" s="12" t="n">
        <v>-3690</v>
      </c>
      <c r="O173" s="13" t="n">
        <v>-0.0504222870153102</v>
      </c>
      <c r="P173" s="15" t="n">
        <v>0.0358998047096544</v>
      </c>
      <c r="Q173" s="13" t="n">
        <v>-0.0515640310441951</v>
      </c>
      <c r="R173" s="15" t="n">
        <v>0.0398293029871977</v>
      </c>
      <c r="S173" s="32" t="n">
        <v>26616294800</v>
      </c>
      <c r="T173" s="15" t="n">
        <v>0.0124653739612188</v>
      </c>
      <c r="U173" s="32" t="n">
        <v>8612405640</v>
      </c>
      <c r="V173" s="14" t="n">
        <v>2.91741341447854</v>
      </c>
      <c r="W173" s="13" t="n">
        <v>0.0252454417952315</v>
      </c>
      <c r="X173" s="15" t="n">
        <v>0.0300957592339262</v>
      </c>
      <c r="Y173" s="13" t="n">
        <v>0.00829933268384142</v>
      </c>
      <c r="Z173" s="13" t="n">
        <v>0.00289612211070822</v>
      </c>
      <c r="AA173" s="30" t="s">
        <v>97</v>
      </c>
      <c r="AB173" s="28" t="s">
        <v>93</v>
      </c>
      <c r="AC173" s="28" t="s">
        <v>100</v>
      </c>
      <c r="AD173" s="28" t="s">
        <v>106</v>
      </c>
      <c r="AE173" s="28" t="s">
        <v>112</v>
      </c>
      <c r="AF173" s="28" t="s">
        <v>117</v>
      </c>
      <c r="AG173" s="30" t="s">
        <v>122</v>
      </c>
    </row>
    <row r="174" customFormat="false" ht="15" hidden="false" customHeight="false" outlineLevel="0" collapsed="false">
      <c r="A174" s="10" t="n">
        <v>2024</v>
      </c>
      <c r="B174" s="28" t="s">
        <v>55</v>
      </c>
      <c r="C174" s="29" t="n">
        <v>45428</v>
      </c>
      <c r="D174" s="30" t="s">
        <v>128</v>
      </c>
      <c r="E174" s="28" t="s">
        <v>1015</v>
      </c>
      <c r="F174" s="30" t="s">
        <v>1016</v>
      </c>
      <c r="G174" s="31" t="n">
        <v>4570</v>
      </c>
      <c r="H174" s="31" t="n">
        <v>21</v>
      </c>
      <c r="I174" s="31" t="n">
        <v>95961</v>
      </c>
      <c r="J174" s="29" t="n">
        <v>45440</v>
      </c>
      <c r="K174" s="31" t="n">
        <v>4346</v>
      </c>
      <c r="L174" s="30" t="s">
        <v>32</v>
      </c>
      <c r="M174" s="10" t="n">
        <v>8</v>
      </c>
      <c r="N174" s="12" t="n">
        <v>-4895</v>
      </c>
      <c r="O174" s="13" t="n">
        <v>-0.0510058292747779</v>
      </c>
      <c r="P174" s="15" t="n">
        <v>0.053710801794044</v>
      </c>
      <c r="Q174" s="13" t="n">
        <v>-0.0655565682947938</v>
      </c>
      <c r="R174" s="15" t="n">
        <v>0.0715962441314555</v>
      </c>
      <c r="S174" s="32" t="n">
        <v>20262998745</v>
      </c>
      <c r="T174" s="15" t="n">
        <v>0.0220635071540618</v>
      </c>
      <c r="U174" s="32" t="n">
        <v>3782547147.75</v>
      </c>
      <c r="V174" s="14" t="n">
        <v>4.98809887496123</v>
      </c>
      <c r="W174" s="13" t="n">
        <v>-0.087</v>
      </c>
      <c r="X174" s="15" t="n">
        <v>0.11500547645126</v>
      </c>
      <c r="Y174" s="13" t="n">
        <v>0.00829933268384142</v>
      </c>
      <c r="Z174" s="13" t="n">
        <v>0.00289612211070822</v>
      </c>
      <c r="AA174" s="30" t="s">
        <v>97</v>
      </c>
      <c r="AB174" s="28" t="s">
        <v>93</v>
      </c>
      <c r="AC174" s="28" t="s">
        <v>101</v>
      </c>
      <c r="AD174" s="28" t="s">
        <v>106</v>
      </c>
      <c r="AE174" s="28" t="s">
        <v>113</v>
      </c>
      <c r="AF174" s="28" t="s">
        <v>118</v>
      </c>
      <c r="AG174" s="30" t="s">
        <v>123</v>
      </c>
    </row>
    <row r="175" customFormat="false" ht="15" hidden="false" customHeight="false" outlineLevel="0" collapsed="false">
      <c r="A175" s="10" t="n">
        <v>2024</v>
      </c>
      <c r="B175" s="28" t="s">
        <v>55</v>
      </c>
      <c r="C175" s="29" t="n">
        <v>45432</v>
      </c>
      <c r="D175" s="30" t="s">
        <v>125</v>
      </c>
      <c r="E175" s="28" t="s">
        <v>681</v>
      </c>
      <c r="F175" s="30" t="s">
        <v>682</v>
      </c>
      <c r="G175" s="31" t="n">
        <v>47648</v>
      </c>
      <c r="H175" s="31" t="n">
        <v>2</v>
      </c>
      <c r="I175" s="31" t="n">
        <v>95295</v>
      </c>
      <c r="J175" s="29" t="n">
        <v>45435</v>
      </c>
      <c r="K175" s="31" t="n">
        <v>45355</v>
      </c>
      <c r="L175" s="30" t="s">
        <v>32</v>
      </c>
      <c r="M175" s="10" t="n">
        <v>3</v>
      </c>
      <c r="N175" s="12" t="n">
        <v>-4777</v>
      </c>
      <c r="O175" s="13" t="n">
        <v>-0.0501303026805126</v>
      </c>
      <c r="P175" s="15" t="n">
        <v>0.0210377857436683</v>
      </c>
      <c r="Q175" s="13" t="n">
        <v>-0.0660599904297382</v>
      </c>
      <c r="R175" s="15" t="n">
        <v>0.0404371584699454</v>
      </c>
      <c r="S175" s="32" t="n">
        <v>45927098000</v>
      </c>
      <c r="T175" s="15" t="n">
        <v>0.00634249471458781</v>
      </c>
      <c r="U175" s="32" t="n">
        <v>19019873935</v>
      </c>
      <c r="V175" s="14" t="n">
        <v>2.28814981214787</v>
      </c>
      <c r="W175" s="13" t="n">
        <v>0.0325379609544469</v>
      </c>
      <c r="X175" s="15" t="n">
        <v>0.0210084033613445</v>
      </c>
      <c r="Y175" s="13" t="n">
        <v>0.00643025449420476</v>
      </c>
      <c r="Z175" s="13" t="n">
        <v>0.0053196364609569</v>
      </c>
      <c r="AA175" s="30" t="s">
        <v>97</v>
      </c>
      <c r="AB175" s="28" t="s">
        <v>93</v>
      </c>
      <c r="AC175" s="28" t="s">
        <v>100</v>
      </c>
      <c r="AD175" s="28" t="s">
        <v>107</v>
      </c>
      <c r="AE175" s="28" t="s">
        <v>112</v>
      </c>
      <c r="AF175" s="28" t="s">
        <v>117</v>
      </c>
      <c r="AG175" s="30" t="s">
        <v>122</v>
      </c>
    </row>
    <row r="176" customFormat="false" ht="15" hidden="false" customHeight="false" outlineLevel="0" collapsed="false">
      <c r="A176" s="10" t="n">
        <v>2024</v>
      </c>
      <c r="B176" s="28" t="s">
        <v>55</v>
      </c>
      <c r="C176" s="29" t="n">
        <v>45432</v>
      </c>
      <c r="D176" s="30" t="s">
        <v>125</v>
      </c>
      <c r="E176" s="28" t="s">
        <v>519</v>
      </c>
      <c r="F176" s="30" t="s">
        <v>520</v>
      </c>
      <c r="G176" s="31" t="n">
        <v>94895</v>
      </c>
      <c r="H176" s="31" t="n">
        <v>1</v>
      </c>
      <c r="I176" s="31" t="n">
        <v>94895</v>
      </c>
      <c r="J176" s="29" t="n">
        <v>45475</v>
      </c>
      <c r="K176" s="31" t="n">
        <v>90310</v>
      </c>
      <c r="L176" s="30" t="s">
        <v>32</v>
      </c>
      <c r="M176" s="10" t="n">
        <v>30</v>
      </c>
      <c r="N176" s="12" t="n">
        <v>-4776</v>
      </c>
      <c r="O176" s="13" t="n">
        <v>-0.0503245482365735</v>
      </c>
      <c r="P176" s="15" t="n">
        <v>0.1244030231372</v>
      </c>
      <c r="Q176" s="13" t="n">
        <v>-0.0494737330180367</v>
      </c>
      <c r="R176" s="15" t="n">
        <v>0.0315560391730141</v>
      </c>
      <c r="S176" s="32" t="n">
        <v>43760912400</v>
      </c>
      <c r="T176" s="15" t="n">
        <v>0.013903743315508</v>
      </c>
      <c r="U176" s="32" t="n">
        <v>21072964055</v>
      </c>
      <c r="V176" s="14" t="n">
        <v>2.01357686632839</v>
      </c>
      <c r="W176" s="13" t="n">
        <v>0.0237580993520519</v>
      </c>
      <c r="X176" s="15" t="n">
        <v>0.0073839662447257</v>
      </c>
      <c r="Y176" s="13" t="n">
        <v>0.00643025449420476</v>
      </c>
      <c r="Z176" s="13" t="n">
        <v>0.0053196364609569</v>
      </c>
      <c r="AA176" s="30" t="s">
        <v>97</v>
      </c>
      <c r="AB176" s="28" t="s">
        <v>93</v>
      </c>
      <c r="AC176" s="28" t="s">
        <v>100</v>
      </c>
      <c r="AD176" s="28" t="s">
        <v>107</v>
      </c>
      <c r="AE176" s="28" t="s">
        <v>112</v>
      </c>
      <c r="AF176" s="28" t="s">
        <v>117</v>
      </c>
      <c r="AG176" s="30" t="s">
        <v>122</v>
      </c>
    </row>
    <row r="177" customFormat="false" ht="15" hidden="false" customHeight="false" outlineLevel="0" collapsed="false">
      <c r="A177" s="10" t="n">
        <v>2024</v>
      </c>
      <c r="B177" s="28" t="s">
        <v>55</v>
      </c>
      <c r="C177" s="29" t="n">
        <v>45433</v>
      </c>
      <c r="D177" s="30" t="s">
        <v>126</v>
      </c>
      <c r="E177" s="28" t="s">
        <v>267</v>
      </c>
      <c r="F177" s="30" t="s">
        <v>268</v>
      </c>
      <c r="G177" s="31" t="n">
        <v>9439</v>
      </c>
      <c r="H177" s="31" t="n">
        <v>10</v>
      </c>
      <c r="I177" s="31" t="n">
        <v>94394</v>
      </c>
      <c r="J177" s="29" t="n">
        <v>45435</v>
      </c>
      <c r="K177" s="31" t="n">
        <v>8851</v>
      </c>
      <c r="L177" s="30" t="s">
        <v>32</v>
      </c>
      <c r="M177" s="10" t="n">
        <v>2</v>
      </c>
      <c r="N177" s="12" t="n">
        <v>-6070</v>
      </c>
      <c r="O177" s="13" t="n">
        <v>-0.0643010899492873</v>
      </c>
      <c r="P177" s="15" t="n">
        <v>-0.0115928610096159</v>
      </c>
      <c r="Q177" s="13" t="n">
        <v>-0.0804529510786137</v>
      </c>
      <c r="R177" s="15" t="n">
        <v>0.119952494061758</v>
      </c>
      <c r="S177" s="32" t="n">
        <v>200457555470</v>
      </c>
      <c r="T177" s="15" t="n">
        <v>0.0442967884828349</v>
      </c>
      <c r="U177" s="32" t="n">
        <v>11548178263</v>
      </c>
      <c r="V177" s="14" t="n">
        <v>15.6076724291959</v>
      </c>
      <c r="W177" s="13" t="n">
        <v>0.0362637362637364</v>
      </c>
      <c r="X177" s="15" t="n">
        <v>0.0180275715800635</v>
      </c>
      <c r="Y177" s="13" t="n">
        <v>-0.00654962912178081</v>
      </c>
      <c r="Z177" s="13" t="n">
        <v>-0.00111102555358777</v>
      </c>
      <c r="AA177" s="30" t="s">
        <v>97</v>
      </c>
      <c r="AB177" s="28" t="s">
        <v>94</v>
      </c>
      <c r="AC177" s="28" t="s">
        <v>102</v>
      </c>
      <c r="AD177" s="28" t="s">
        <v>110</v>
      </c>
      <c r="AE177" s="28" t="s">
        <v>113</v>
      </c>
      <c r="AF177" s="28" t="s">
        <v>120</v>
      </c>
      <c r="AG177" s="30" t="s">
        <v>122</v>
      </c>
    </row>
    <row r="178" customFormat="false" ht="15" hidden="false" customHeight="false" outlineLevel="0" collapsed="false">
      <c r="A178" s="10" t="n">
        <v>2024</v>
      </c>
      <c r="B178" s="28" t="s">
        <v>55</v>
      </c>
      <c r="C178" s="29" t="n">
        <v>45433</v>
      </c>
      <c r="D178" s="30" t="s">
        <v>126</v>
      </c>
      <c r="E178" s="28" t="s">
        <v>1187</v>
      </c>
      <c r="F178" s="30" t="s">
        <v>1188</v>
      </c>
      <c r="G178" s="31" t="n">
        <v>3584</v>
      </c>
      <c r="H178" s="31" t="n">
        <v>27</v>
      </c>
      <c r="I178" s="31" t="n">
        <v>96757</v>
      </c>
      <c r="J178" s="29" t="n">
        <v>45435</v>
      </c>
      <c r="K178" s="31" t="n">
        <v>3412</v>
      </c>
      <c r="L178" s="30" t="s">
        <v>32</v>
      </c>
      <c r="M178" s="10" t="n">
        <v>2</v>
      </c>
      <c r="N178" s="12" t="n">
        <v>-4838</v>
      </c>
      <c r="O178" s="13" t="n">
        <v>-0.0500017099520591</v>
      </c>
      <c r="P178" s="15" t="n">
        <v>-0.00937051775040587</v>
      </c>
      <c r="Q178" s="13" t="n">
        <v>-0.0540186070912326</v>
      </c>
      <c r="R178" s="15" t="n">
        <v>0.0513950073421439</v>
      </c>
      <c r="S178" s="32" t="n">
        <v>23660993280</v>
      </c>
      <c r="T178" s="15" t="n">
        <v>0.042212518195051</v>
      </c>
      <c r="U178" s="32" t="n">
        <v>3846428541.5</v>
      </c>
      <c r="V178" s="14" t="n">
        <v>5.7132891352378</v>
      </c>
      <c r="W178" s="13" t="n">
        <v>0.00561797752808979</v>
      </c>
      <c r="X178" s="15" t="n">
        <v>0.0307262569832403</v>
      </c>
      <c r="Y178" s="13" t="n">
        <v>-0.00654962912178081</v>
      </c>
      <c r="Z178" s="13" t="n">
        <v>-0.00111102555358777</v>
      </c>
      <c r="AA178" s="30" t="s">
        <v>97</v>
      </c>
      <c r="AB178" s="28" t="s">
        <v>94</v>
      </c>
      <c r="AC178" s="28" t="s">
        <v>101</v>
      </c>
      <c r="AD178" s="28" t="s">
        <v>106</v>
      </c>
      <c r="AE178" s="28" t="s">
        <v>113</v>
      </c>
      <c r="AF178" s="28" t="s">
        <v>119</v>
      </c>
      <c r="AG178" s="30" t="s">
        <v>122</v>
      </c>
    </row>
    <row r="179" customFormat="false" ht="15" hidden="false" customHeight="false" outlineLevel="0" collapsed="false">
      <c r="A179" s="10" t="n">
        <v>2024</v>
      </c>
      <c r="B179" s="28" t="s">
        <v>55</v>
      </c>
      <c r="C179" s="29" t="n">
        <v>45435</v>
      </c>
      <c r="D179" s="30" t="s">
        <v>128</v>
      </c>
      <c r="E179" s="28" t="s">
        <v>675</v>
      </c>
      <c r="F179" s="28" t="s">
        <v>676</v>
      </c>
      <c r="G179" s="31" t="n">
        <v>44745</v>
      </c>
      <c r="H179" s="31" t="n">
        <v>2</v>
      </c>
      <c r="I179" s="31" t="n">
        <v>89489</v>
      </c>
      <c r="J179" s="29" t="n">
        <v>45439</v>
      </c>
      <c r="K179" s="31" t="n">
        <v>42557</v>
      </c>
      <c r="L179" s="30" t="s">
        <v>32</v>
      </c>
      <c r="M179" s="10" t="n">
        <v>2</v>
      </c>
      <c r="N179" s="12" t="n">
        <v>-4554</v>
      </c>
      <c r="O179" s="13" t="n">
        <v>-0.050888678100423</v>
      </c>
      <c r="P179" s="15" t="n">
        <v>-0.00658625490840248</v>
      </c>
      <c r="Q179" s="13" t="n">
        <v>-0.0959823174588275</v>
      </c>
      <c r="R179" s="15" t="n">
        <v>0.0182232346241458</v>
      </c>
      <c r="S179" s="32" t="n">
        <v>29038371600</v>
      </c>
      <c r="T179" s="15" t="n">
        <v>0.00562429696287969</v>
      </c>
      <c r="U179" s="32" t="n">
        <v>9777142130</v>
      </c>
      <c r="V179" s="14" t="n">
        <v>2.82127110243496</v>
      </c>
      <c r="W179" s="13" t="n">
        <v>0.00789177001127395</v>
      </c>
      <c r="X179" s="15" t="n">
        <v>0.0324384787472036</v>
      </c>
      <c r="Y179" s="13" t="n">
        <v>-0.000605846974069735</v>
      </c>
      <c r="Z179" s="13" t="n">
        <v>-0.0113294587722485</v>
      </c>
      <c r="AA179" s="30" t="s">
        <v>97</v>
      </c>
      <c r="AB179" s="28" t="s">
        <v>94</v>
      </c>
      <c r="AC179" s="28" t="s">
        <v>99</v>
      </c>
      <c r="AD179" s="28" t="s">
        <v>106</v>
      </c>
      <c r="AE179" s="28" t="s">
        <v>112</v>
      </c>
      <c r="AF179" s="28" t="s">
        <v>117</v>
      </c>
      <c r="AG179" s="30" t="s">
        <v>122</v>
      </c>
    </row>
    <row r="180" customFormat="false" ht="15" hidden="false" customHeight="false" outlineLevel="0" collapsed="false">
      <c r="A180" s="10" t="n">
        <v>2024</v>
      </c>
      <c r="B180" s="28" t="s">
        <v>55</v>
      </c>
      <c r="C180" s="29" t="n">
        <v>45440</v>
      </c>
      <c r="D180" s="30" t="s">
        <v>126</v>
      </c>
      <c r="E180" s="28" t="s">
        <v>1303</v>
      </c>
      <c r="F180" s="30" t="s">
        <v>1304</v>
      </c>
      <c r="G180" s="31" t="n">
        <v>41592</v>
      </c>
      <c r="H180" s="31" t="n">
        <v>2</v>
      </c>
      <c r="I180" s="31" t="n">
        <v>83183</v>
      </c>
      <c r="J180" s="29" t="n">
        <v>45441</v>
      </c>
      <c r="K180" s="31" t="n">
        <v>39560</v>
      </c>
      <c r="L180" s="30" t="s">
        <v>32</v>
      </c>
      <c r="M180" s="10" t="n">
        <v>1</v>
      </c>
      <c r="N180" s="12" t="n">
        <v>-4229</v>
      </c>
      <c r="O180" s="13" t="n">
        <v>-0.0508404113936605</v>
      </c>
      <c r="P180" s="15" t="n">
        <v>0.00861833713819293</v>
      </c>
      <c r="Q180" s="13" t="n">
        <v>-0.0755333715622524</v>
      </c>
      <c r="R180" s="15" t="n">
        <v>0.192252510760402</v>
      </c>
      <c r="S180" s="32" t="n">
        <v>85366386300</v>
      </c>
      <c r="T180" s="15" t="n">
        <v>0.00120481927710836</v>
      </c>
      <c r="U180" s="32" t="n">
        <v>42698088975</v>
      </c>
      <c r="V180" s="14" t="n">
        <v>1.75472724851049</v>
      </c>
      <c r="W180" s="13" t="n">
        <v>0.187142857142857</v>
      </c>
      <c r="X180" s="15" t="n">
        <v>0.0445246690734056</v>
      </c>
      <c r="Y180" s="13" t="n">
        <v>-5.14140705620836E-005</v>
      </c>
      <c r="Z180" s="13" t="n">
        <v>-0.00048822030849649</v>
      </c>
      <c r="AA180" s="30" t="s">
        <v>97</v>
      </c>
      <c r="AB180" s="28" t="s">
        <v>94</v>
      </c>
      <c r="AC180" s="28" t="s">
        <v>103</v>
      </c>
      <c r="AD180" s="28" t="s">
        <v>108</v>
      </c>
      <c r="AE180" s="28" t="s">
        <v>112</v>
      </c>
      <c r="AF180" s="28" t="s">
        <v>116</v>
      </c>
      <c r="AG180" s="30" t="s">
        <v>122</v>
      </c>
    </row>
    <row r="181" customFormat="false" ht="15" hidden="false" customHeight="false" outlineLevel="0" collapsed="false">
      <c r="A181" s="10" t="n">
        <v>2024</v>
      </c>
      <c r="B181" s="28" t="s">
        <v>55</v>
      </c>
      <c r="C181" s="29" t="n">
        <v>45440</v>
      </c>
      <c r="D181" s="30" t="s">
        <v>126</v>
      </c>
      <c r="E181" s="28" t="s">
        <v>163</v>
      </c>
      <c r="F181" s="30" t="s">
        <v>164</v>
      </c>
      <c r="G181" s="31" t="n">
        <v>25075</v>
      </c>
      <c r="H181" s="31" t="n">
        <v>3</v>
      </c>
      <c r="I181" s="31" t="n">
        <v>75225</v>
      </c>
      <c r="J181" s="29" t="n">
        <v>45446</v>
      </c>
      <c r="K181" s="31" t="n">
        <v>23826</v>
      </c>
      <c r="L181" s="30" t="s">
        <v>32</v>
      </c>
      <c r="M181" s="10" t="n">
        <v>4</v>
      </c>
      <c r="N181" s="12" t="n">
        <v>-3897</v>
      </c>
      <c r="O181" s="13" t="n">
        <v>-0.0518093583063643</v>
      </c>
      <c r="P181" s="15" t="n">
        <v>0.0687914879531648</v>
      </c>
      <c r="Q181" s="13" t="n">
        <v>-0.0508493502505477</v>
      </c>
      <c r="R181" s="15" t="n">
        <v>0.123318385650224</v>
      </c>
      <c r="S181" s="32" t="n">
        <v>77137667400</v>
      </c>
      <c r="T181" s="15" t="n">
        <v>0.0938864628820961</v>
      </c>
      <c r="U181" s="32" t="n">
        <v>7502209101</v>
      </c>
      <c r="V181" s="14" t="n">
        <v>8.61085474257251</v>
      </c>
      <c r="W181" s="13" t="n">
        <v>0.115812917594655</v>
      </c>
      <c r="X181" s="15" t="n">
        <v>0.0339321357285429</v>
      </c>
      <c r="Y181" s="13" t="n">
        <v>-5.14140705620836E-005</v>
      </c>
      <c r="Z181" s="13" t="n">
        <v>-0.00048822030849649</v>
      </c>
      <c r="AA181" s="30" t="s">
        <v>97</v>
      </c>
      <c r="AB181" s="28" t="s">
        <v>94</v>
      </c>
      <c r="AC181" s="28" t="s">
        <v>102</v>
      </c>
      <c r="AD181" s="28" t="s">
        <v>108</v>
      </c>
      <c r="AE181" s="28" t="s">
        <v>101</v>
      </c>
      <c r="AF181" s="28" t="s">
        <v>119</v>
      </c>
      <c r="AG181" s="30" t="s">
        <v>122</v>
      </c>
    </row>
    <row r="182" customFormat="false" ht="15" hidden="false" customHeight="false" outlineLevel="0" collapsed="false">
      <c r="A182" s="10" t="n">
        <v>2024</v>
      </c>
      <c r="B182" s="28" t="s">
        <v>55</v>
      </c>
      <c r="C182" s="29" t="n">
        <v>45440</v>
      </c>
      <c r="D182" s="30" t="s">
        <v>126</v>
      </c>
      <c r="E182" s="28" t="s">
        <v>281</v>
      </c>
      <c r="F182" s="30" t="s">
        <v>282</v>
      </c>
      <c r="G182" s="31" t="n">
        <v>14548</v>
      </c>
      <c r="H182" s="31" t="n">
        <v>6</v>
      </c>
      <c r="I182" s="31" t="n">
        <v>87289</v>
      </c>
      <c r="J182" s="29" t="n">
        <v>45443</v>
      </c>
      <c r="K182" s="31" t="n">
        <v>13846</v>
      </c>
      <c r="L182" s="30" t="s">
        <v>32</v>
      </c>
      <c r="M182" s="10" t="n">
        <v>3</v>
      </c>
      <c r="N182" s="12" t="n">
        <v>-4387</v>
      </c>
      <c r="O182" s="13" t="n">
        <v>-0.0502617382278196</v>
      </c>
      <c r="P182" s="15" t="n">
        <v>0.0385483707342573</v>
      </c>
      <c r="Q182" s="13" t="n">
        <v>-0.0594603331264261</v>
      </c>
      <c r="R182" s="15" t="n">
        <v>0.068014705882353</v>
      </c>
      <c r="S182" s="32" t="n">
        <v>35167378050</v>
      </c>
      <c r="T182" s="15" t="n">
        <v>0.00345423143350598</v>
      </c>
      <c r="U182" s="32" t="n">
        <v>9240340195</v>
      </c>
      <c r="V182" s="14" t="n">
        <v>3.64704344134949</v>
      </c>
      <c r="W182" s="13" t="n">
        <v>0.068014705882353</v>
      </c>
      <c r="X182" s="15" t="n">
        <v>0.0292598967297761</v>
      </c>
      <c r="Y182" s="13" t="n">
        <v>-5.14140705620836E-005</v>
      </c>
      <c r="Z182" s="13" t="n">
        <v>-0.00048822030849649</v>
      </c>
      <c r="AA182" s="30" t="s">
        <v>97</v>
      </c>
      <c r="AB182" s="28" t="s">
        <v>94</v>
      </c>
      <c r="AC182" s="28" t="s">
        <v>101</v>
      </c>
      <c r="AD182" s="28" t="s">
        <v>107</v>
      </c>
      <c r="AE182" s="28" t="s">
        <v>112</v>
      </c>
      <c r="AF182" s="28" t="s">
        <v>118</v>
      </c>
      <c r="AG182" s="30" t="s">
        <v>122</v>
      </c>
    </row>
    <row r="183" customFormat="false" ht="15" hidden="false" customHeight="false" outlineLevel="0" collapsed="false">
      <c r="A183" s="10" t="n">
        <v>2024</v>
      </c>
      <c r="B183" s="28" t="s">
        <v>56</v>
      </c>
      <c r="C183" s="29" t="n">
        <v>45450</v>
      </c>
      <c r="D183" s="30" t="s">
        <v>129</v>
      </c>
      <c r="E183" s="28" t="s">
        <v>753</v>
      </c>
      <c r="F183" s="28" t="s">
        <v>754</v>
      </c>
      <c r="G183" s="31" t="n">
        <v>87587</v>
      </c>
      <c r="H183" s="31" t="n">
        <v>1</v>
      </c>
      <c r="I183" s="31" t="n">
        <v>87587</v>
      </c>
      <c r="J183" s="29" t="n">
        <v>45471</v>
      </c>
      <c r="K183" s="31" t="n">
        <v>105200</v>
      </c>
      <c r="L183" s="30" t="s">
        <v>31</v>
      </c>
      <c r="M183" s="10" t="n">
        <v>15</v>
      </c>
      <c r="N183" s="12" t="n">
        <v>17394</v>
      </c>
      <c r="O183" s="13" t="n">
        <v>0.198592514628229</v>
      </c>
      <c r="P183" s="15" t="n">
        <v>0.217068645640074</v>
      </c>
      <c r="Q183" s="13" t="n">
        <v>-0.00442414728128993</v>
      </c>
      <c r="R183" s="15" t="n">
        <v>0.139322916666667</v>
      </c>
      <c r="S183" s="32" t="n">
        <v>69071450000</v>
      </c>
      <c r="T183" s="15" t="n">
        <v>0.0245901639344262</v>
      </c>
      <c r="U183" s="32" t="n">
        <v>29113032415</v>
      </c>
      <c r="V183" s="14" t="n">
        <v>2.18364712788223</v>
      </c>
      <c r="W183" s="13" t="n">
        <v>0.106194690265487</v>
      </c>
      <c r="X183" s="15" t="n">
        <v>0</v>
      </c>
      <c r="Y183" s="13" t="n">
        <v>0.012333147425172</v>
      </c>
      <c r="Z183" s="13" t="n">
        <v>0.0330988373857877</v>
      </c>
      <c r="AA183" s="30" t="s">
        <v>97</v>
      </c>
      <c r="AB183" s="28" t="s">
        <v>93</v>
      </c>
      <c r="AC183" s="28" t="s">
        <v>102</v>
      </c>
      <c r="AD183" s="28" t="s">
        <v>108</v>
      </c>
      <c r="AE183" s="28" t="s">
        <v>113</v>
      </c>
      <c r="AF183" s="28" t="s">
        <v>117</v>
      </c>
      <c r="AG183" s="30" t="s">
        <v>122</v>
      </c>
    </row>
    <row r="184" customFormat="false" ht="15" hidden="false" customHeight="false" outlineLevel="0" collapsed="false">
      <c r="A184" s="10" t="n">
        <v>2024</v>
      </c>
      <c r="B184" s="28" t="s">
        <v>56</v>
      </c>
      <c r="C184" s="29" t="n">
        <v>45450</v>
      </c>
      <c r="D184" s="30" t="s">
        <v>129</v>
      </c>
      <c r="E184" s="28" t="s">
        <v>213</v>
      </c>
      <c r="F184" s="30" t="s">
        <v>214</v>
      </c>
      <c r="G184" s="31" t="n">
        <v>41341</v>
      </c>
      <c r="H184" s="31" t="n">
        <v>2</v>
      </c>
      <c r="I184" s="31" t="n">
        <v>82683</v>
      </c>
      <c r="J184" s="29" t="n">
        <v>45453</v>
      </c>
      <c r="K184" s="31" t="n">
        <v>49650</v>
      </c>
      <c r="L184" s="30" t="s">
        <v>31</v>
      </c>
      <c r="M184" s="10" t="n">
        <v>1</v>
      </c>
      <c r="N184" s="12" t="n">
        <v>16411</v>
      </c>
      <c r="O184" s="13" t="n">
        <v>0.198486291069705</v>
      </c>
      <c r="P184" s="15" t="n">
        <v>0.296524298945607</v>
      </c>
      <c r="Q184" s="13" t="n">
        <v>0.0123048863968962</v>
      </c>
      <c r="R184" s="15" t="n">
        <v>0.0562659846547315</v>
      </c>
      <c r="S184" s="32" t="n">
        <v>33692870400</v>
      </c>
      <c r="T184" s="15" t="n">
        <v>0.0562659846547315</v>
      </c>
      <c r="U184" s="32" t="n">
        <v>15730910715</v>
      </c>
      <c r="V184" s="14" t="n">
        <v>1.91636819137185</v>
      </c>
      <c r="W184" s="13" t="n">
        <v>0.0299251870324189</v>
      </c>
      <c r="X184" s="15" t="n">
        <v>0.0484261501210654</v>
      </c>
      <c r="Y184" s="13" t="n">
        <v>0.012333147425172</v>
      </c>
      <c r="Z184" s="13" t="n">
        <v>0.0330988373857877</v>
      </c>
      <c r="AA184" s="30" t="s">
        <v>97</v>
      </c>
      <c r="AB184" s="28" t="s">
        <v>93</v>
      </c>
      <c r="AC184" s="28" t="s">
        <v>101</v>
      </c>
      <c r="AD184" s="28" t="s">
        <v>107</v>
      </c>
      <c r="AE184" s="28" t="s">
        <v>101</v>
      </c>
      <c r="AF184" s="28" t="s">
        <v>116</v>
      </c>
      <c r="AG184" s="30" t="s">
        <v>122</v>
      </c>
    </row>
    <row r="185" customFormat="false" ht="15" hidden="false" customHeight="false" outlineLevel="0" collapsed="false">
      <c r="A185" s="10" t="n">
        <v>2024</v>
      </c>
      <c r="B185" s="28" t="s">
        <v>56</v>
      </c>
      <c r="C185" s="29" t="n">
        <v>45450</v>
      </c>
      <c r="D185" s="30" t="s">
        <v>129</v>
      </c>
      <c r="E185" s="28" t="s">
        <v>1305</v>
      </c>
      <c r="F185" s="30" t="s">
        <v>1306</v>
      </c>
      <c r="G185" s="31" t="n">
        <v>18288</v>
      </c>
      <c r="H185" s="31" t="n">
        <v>5</v>
      </c>
      <c r="I185" s="31" t="n">
        <v>91441</v>
      </c>
      <c r="J185" s="29" t="n">
        <v>45455</v>
      </c>
      <c r="K185" s="31" t="n">
        <v>17403</v>
      </c>
      <c r="L185" s="30" t="s">
        <v>32</v>
      </c>
      <c r="M185" s="10" t="n">
        <v>3</v>
      </c>
      <c r="N185" s="12" t="n">
        <v>-4612</v>
      </c>
      <c r="O185" s="13" t="n">
        <v>-0.050434965773143</v>
      </c>
      <c r="P185" s="15" t="n">
        <v>0.0186857477497873</v>
      </c>
      <c r="Q185" s="13" t="n">
        <v>-0.0485704771419055</v>
      </c>
      <c r="R185" s="15" t="n">
        <v>0.0622093023255814</v>
      </c>
      <c r="S185" s="32" t="n">
        <v>28424612160</v>
      </c>
      <c r="T185" s="15" t="n">
        <v>0.0127494456762749</v>
      </c>
      <c r="U185" s="32" t="n">
        <v>8903430057.5</v>
      </c>
      <c r="V185" s="14" t="n">
        <v>3.01033391741534</v>
      </c>
      <c r="W185" s="13" t="n">
        <v>0.05</v>
      </c>
      <c r="X185" s="15" t="n">
        <v>0.0306513409961686</v>
      </c>
      <c r="Y185" s="13" t="n">
        <v>0.012333147425172</v>
      </c>
      <c r="Z185" s="13" t="n">
        <v>0.0330988373857877</v>
      </c>
      <c r="AA185" s="30" t="s">
        <v>97</v>
      </c>
      <c r="AB185" s="28" t="s">
        <v>93</v>
      </c>
      <c r="AC185" s="28" t="s">
        <v>101</v>
      </c>
      <c r="AD185" s="28" t="s">
        <v>106</v>
      </c>
      <c r="AE185" s="28" t="s">
        <v>112</v>
      </c>
      <c r="AF185" s="28" t="s">
        <v>118</v>
      </c>
      <c r="AG185" s="30" t="s">
        <v>122</v>
      </c>
    </row>
    <row r="186" customFormat="false" ht="15" hidden="false" customHeight="false" outlineLevel="0" collapsed="false">
      <c r="A186" s="10" t="n">
        <v>2024</v>
      </c>
      <c r="B186" s="28" t="s">
        <v>56</v>
      </c>
      <c r="C186" s="29" t="n">
        <v>45450</v>
      </c>
      <c r="D186" s="30" t="s">
        <v>129</v>
      </c>
      <c r="E186" s="28" t="s">
        <v>311</v>
      </c>
      <c r="F186" s="30" t="s">
        <v>312</v>
      </c>
      <c r="G186" s="31" t="n">
        <v>76076</v>
      </c>
      <c r="H186" s="31" t="n">
        <v>1</v>
      </c>
      <c r="I186" s="31" t="n">
        <v>76076</v>
      </c>
      <c r="J186" s="29" t="n">
        <v>45485</v>
      </c>
      <c r="K186" s="31" t="n">
        <v>95000</v>
      </c>
      <c r="L186" s="30" t="s">
        <v>31</v>
      </c>
      <c r="M186" s="10" t="n">
        <v>25</v>
      </c>
      <c r="N186" s="12" t="n">
        <v>18727</v>
      </c>
      <c r="O186" s="13" t="n">
        <v>0.246166183816184</v>
      </c>
      <c r="P186" s="15" t="n">
        <v>0.436721173563279</v>
      </c>
      <c r="Q186" s="13" t="n">
        <v>-0.0312319259687679</v>
      </c>
      <c r="R186" s="15" t="n">
        <v>0.00795755968169765</v>
      </c>
      <c r="S186" s="32" t="n">
        <v>26827392000</v>
      </c>
      <c r="T186" s="15" t="n">
        <v>0.00795755968169765</v>
      </c>
      <c r="U186" s="32" t="n">
        <v>20435946480</v>
      </c>
      <c r="V186" s="14" t="n">
        <v>1.27007702670029</v>
      </c>
      <c r="W186" s="13" t="n">
        <v>0.00131752305665356</v>
      </c>
      <c r="X186" s="15" t="n">
        <v>0.0105263157894737</v>
      </c>
      <c r="Y186" s="13" t="n">
        <v>0.012333147425172</v>
      </c>
      <c r="Z186" s="13" t="n">
        <v>0.0330988373857877</v>
      </c>
      <c r="AA186" s="30" t="s">
        <v>97</v>
      </c>
      <c r="AB186" s="28" t="s">
        <v>93</v>
      </c>
      <c r="AC186" s="28" t="s">
        <v>99</v>
      </c>
      <c r="AD186" s="28" t="s">
        <v>106</v>
      </c>
      <c r="AE186" s="28" t="s">
        <v>112</v>
      </c>
      <c r="AF186" s="28" t="s">
        <v>116</v>
      </c>
      <c r="AG186" s="30" t="s">
        <v>122</v>
      </c>
    </row>
    <row r="187" customFormat="false" ht="15" hidden="false" customHeight="false" outlineLevel="0" collapsed="false">
      <c r="A187" s="10" t="n">
        <v>2024</v>
      </c>
      <c r="B187" s="28" t="s">
        <v>56</v>
      </c>
      <c r="C187" s="29" t="n">
        <v>45453</v>
      </c>
      <c r="D187" s="30" t="s">
        <v>125</v>
      </c>
      <c r="E187" s="28" t="s">
        <v>1191</v>
      </c>
      <c r="F187" s="30" t="s">
        <v>1192</v>
      </c>
      <c r="G187" s="31" t="n">
        <v>21371</v>
      </c>
      <c r="H187" s="31" t="n">
        <v>4</v>
      </c>
      <c r="I187" s="31" t="n">
        <v>85485</v>
      </c>
      <c r="J187" s="29" t="n">
        <v>45457</v>
      </c>
      <c r="K187" s="31" t="n">
        <v>20330</v>
      </c>
      <c r="L187" s="30" t="s">
        <v>32</v>
      </c>
      <c r="M187" s="10" t="n">
        <v>4</v>
      </c>
      <c r="N187" s="12" t="n">
        <v>-4338</v>
      </c>
      <c r="O187" s="13" t="n">
        <v>-0.0507477777491829</v>
      </c>
      <c r="P187" s="15" t="n">
        <v>0.0832259075818795</v>
      </c>
      <c r="Q187" s="13" t="n">
        <v>-0.0805447479920547</v>
      </c>
      <c r="R187" s="15" t="n">
        <v>0.00470588235294112</v>
      </c>
      <c r="S187" s="32" t="n">
        <v>20643912800</v>
      </c>
      <c r="T187" s="15" t="n">
        <v>0.00470588235294112</v>
      </c>
      <c r="U187" s="32" t="n">
        <v>13459449536</v>
      </c>
      <c r="V187" s="14" t="n">
        <v>1.43998461916384</v>
      </c>
      <c r="W187" s="13" t="n">
        <v>-0.00697674418604655</v>
      </c>
      <c r="X187" s="15" t="n">
        <v>0.0421545667447307</v>
      </c>
      <c r="Y187" s="13" t="n">
        <v>-0.00789666026363822</v>
      </c>
      <c r="Z187" s="13" t="n">
        <v>0.0245209594465432</v>
      </c>
      <c r="AA187" s="30" t="s">
        <v>96</v>
      </c>
      <c r="AB187" s="28" t="s">
        <v>93</v>
      </c>
      <c r="AC187" s="28" t="s">
        <v>99</v>
      </c>
      <c r="AD187" s="28" t="s">
        <v>106</v>
      </c>
      <c r="AE187" s="28" t="s">
        <v>112</v>
      </c>
      <c r="AF187" s="28" t="s">
        <v>116</v>
      </c>
      <c r="AG187" s="30" t="s">
        <v>123</v>
      </c>
    </row>
    <row r="188" customFormat="false" ht="15" hidden="false" customHeight="false" outlineLevel="0" collapsed="false">
      <c r="A188" s="10" t="n">
        <v>2024</v>
      </c>
      <c r="B188" s="28" t="s">
        <v>56</v>
      </c>
      <c r="C188" s="29" t="n">
        <v>45454</v>
      </c>
      <c r="D188" s="30" t="s">
        <v>126</v>
      </c>
      <c r="E188" s="28" t="s">
        <v>595</v>
      </c>
      <c r="F188" s="30" t="s">
        <v>596</v>
      </c>
      <c r="G188" s="31" t="n">
        <v>25380</v>
      </c>
      <c r="H188" s="31" t="n">
        <v>3</v>
      </c>
      <c r="I188" s="31" t="n">
        <v>76141</v>
      </c>
      <c r="J188" s="29" t="n">
        <v>45455</v>
      </c>
      <c r="K188" s="31" t="n">
        <v>24126</v>
      </c>
      <c r="L188" s="30" t="s">
        <v>32</v>
      </c>
      <c r="M188" s="10" t="n">
        <v>1</v>
      </c>
      <c r="N188" s="12" t="n">
        <v>-3916</v>
      </c>
      <c r="O188" s="13" t="n">
        <v>-0.0514338555558488</v>
      </c>
      <c r="P188" s="15" t="n">
        <v>0.00279227413952277</v>
      </c>
      <c r="Q188" s="13" t="n">
        <v>-0.299561918157744</v>
      </c>
      <c r="R188" s="15" t="n">
        <v>0.133333333333333</v>
      </c>
      <c r="S188" s="32" t="n">
        <v>90841904310</v>
      </c>
      <c r="T188" s="15" t="n">
        <v>0.0213178294573644</v>
      </c>
      <c r="U188" s="32" t="n">
        <v>3460371557.75</v>
      </c>
      <c r="V188" s="14" t="n">
        <v>23.7527164825225</v>
      </c>
      <c r="W188" s="13" t="n">
        <v>0.0979166666666667</v>
      </c>
      <c r="X188" s="15" t="n">
        <v>0.129032258064516</v>
      </c>
      <c r="Y188" s="13" t="n">
        <v>0.00153637127615069</v>
      </c>
      <c r="Z188" s="13" t="n">
        <v>0.00849947064700363</v>
      </c>
      <c r="AA188" s="30" t="s">
        <v>97</v>
      </c>
      <c r="AB188" s="28" t="s">
        <v>93</v>
      </c>
      <c r="AC188" s="28" t="s">
        <v>102</v>
      </c>
      <c r="AD188" s="28" t="s">
        <v>108</v>
      </c>
      <c r="AE188" s="28" t="s">
        <v>113</v>
      </c>
      <c r="AF188" s="28" t="s">
        <v>120</v>
      </c>
      <c r="AG188" s="30" t="s">
        <v>122</v>
      </c>
    </row>
    <row r="189" customFormat="false" ht="15" hidden="false" customHeight="false" outlineLevel="0" collapsed="false">
      <c r="A189" s="10" t="n">
        <v>2024</v>
      </c>
      <c r="B189" s="28" t="s">
        <v>56</v>
      </c>
      <c r="C189" s="29" t="n">
        <v>45454</v>
      </c>
      <c r="D189" s="30" t="s">
        <v>126</v>
      </c>
      <c r="E189" s="28" t="s">
        <v>773</v>
      </c>
      <c r="F189" s="30" t="s">
        <v>774</v>
      </c>
      <c r="G189" s="31" t="n">
        <v>13564</v>
      </c>
      <c r="H189" s="31" t="n">
        <v>7</v>
      </c>
      <c r="I189" s="31" t="n">
        <v>94945</v>
      </c>
      <c r="J189" s="29" t="n">
        <v>45457</v>
      </c>
      <c r="K189" s="31" t="n">
        <v>12907</v>
      </c>
      <c r="L189" s="30" t="s">
        <v>32</v>
      </c>
      <c r="M189" s="10" t="n">
        <v>3</v>
      </c>
      <c r="N189" s="12" t="n">
        <v>-4786</v>
      </c>
      <c r="O189" s="13" t="n">
        <v>-0.0504051917455238</v>
      </c>
      <c r="P189" s="15" t="n">
        <v>0.00637370010063743</v>
      </c>
      <c r="Q189" s="13" t="n">
        <v>-0.0562942592462887</v>
      </c>
      <c r="R189" s="15" t="n">
        <v>0.0644147682639435</v>
      </c>
      <c r="S189" s="32" t="n">
        <v>20702408150</v>
      </c>
      <c r="T189" s="15" t="n">
        <v>0.0211002260738509</v>
      </c>
      <c r="U189" s="32" t="n">
        <v>5046873174.5</v>
      </c>
      <c r="V189" s="14" t="n">
        <v>3.9243317077982</v>
      </c>
      <c r="W189" s="13" t="n">
        <v>0.0644147682639435</v>
      </c>
      <c r="X189" s="15" t="n">
        <v>0.00664206642066412</v>
      </c>
      <c r="Y189" s="13" t="n">
        <v>0.00153637127615069</v>
      </c>
      <c r="Z189" s="13" t="n">
        <v>0.00849947064700363</v>
      </c>
      <c r="AA189" s="30" t="s">
        <v>97</v>
      </c>
      <c r="AB189" s="28" t="s">
        <v>93</v>
      </c>
      <c r="AC189" s="28" t="s">
        <v>101</v>
      </c>
      <c r="AD189" s="28" t="s">
        <v>106</v>
      </c>
      <c r="AE189" s="28" t="s">
        <v>113</v>
      </c>
      <c r="AF189" s="28" t="s">
        <v>118</v>
      </c>
      <c r="AG189" s="30" t="s">
        <v>122</v>
      </c>
    </row>
    <row r="190" customFormat="false" ht="15" hidden="false" customHeight="false" outlineLevel="0" collapsed="false">
      <c r="A190" s="10" t="n">
        <v>2024</v>
      </c>
      <c r="B190" s="28" t="s">
        <v>56</v>
      </c>
      <c r="C190" s="29" t="n">
        <v>45454</v>
      </c>
      <c r="D190" s="30" t="s">
        <v>126</v>
      </c>
      <c r="E190" s="28" t="s">
        <v>921</v>
      </c>
      <c r="F190" s="30" t="s">
        <v>922</v>
      </c>
      <c r="G190" s="31" t="n">
        <v>19169</v>
      </c>
      <c r="H190" s="31" t="n">
        <v>5</v>
      </c>
      <c r="I190" s="31" t="n">
        <v>95846</v>
      </c>
      <c r="J190" s="29" t="n">
        <v>45461</v>
      </c>
      <c r="K190" s="31" t="n">
        <v>18242</v>
      </c>
      <c r="L190" s="30" t="s">
        <v>32</v>
      </c>
      <c r="M190" s="10" t="n">
        <v>5</v>
      </c>
      <c r="N190" s="12" t="n">
        <v>-4829</v>
      </c>
      <c r="O190" s="13" t="n">
        <v>-0.050385998622787</v>
      </c>
      <c r="P190" s="15" t="n">
        <v>0.18941111108213</v>
      </c>
      <c r="Q190" s="13" t="n">
        <v>-0.0562961842335209</v>
      </c>
      <c r="R190" s="15" t="n">
        <v>0.0776589758019133</v>
      </c>
      <c r="S190" s="32" t="n">
        <v>20628399150</v>
      </c>
      <c r="T190" s="15" t="n">
        <v>0.0776589758019133</v>
      </c>
      <c r="U190" s="32" t="n">
        <v>4521251609.5</v>
      </c>
      <c r="V190" s="14" t="n">
        <v>3.96695995333339</v>
      </c>
      <c r="W190" s="13" t="n">
        <v>0.0656649972175849</v>
      </c>
      <c r="X190" s="15" t="n">
        <v>0.0109660574412533</v>
      </c>
      <c r="Y190" s="13" t="n">
        <v>0.00153637127615069</v>
      </c>
      <c r="Z190" s="13" t="n">
        <v>0.00849947064700363</v>
      </c>
      <c r="AA190" s="30" t="s">
        <v>97</v>
      </c>
      <c r="AB190" s="28" t="s">
        <v>93</v>
      </c>
      <c r="AC190" s="28" t="s">
        <v>101</v>
      </c>
      <c r="AD190" s="28" t="s">
        <v>106</v>
      </c>
      <c r="AE190" s="28" t="s">
        <v>101</v>
      </c>
      <c r="AF190" s="28" t="s">
        <v>118</v>
      </c>
      <c r="AG190" s="30" t="s">
        <v>122</v>
      </c>
    </row>
    <row r="191" customFormat="false" ht="15" hidden="false" customHeight="false" outlineLevel="0" collapsed="false">
      <c r="A191" s="10" t="n">
        <v>2024</v>
      </c>
      <c r="B191" s="28" t="s">
        <v>56</v>
      </c>
      <c r="C191" s="29" t="n">
        <v>45455</v>
      </c>
      <c r="D191" s="30" t="s">
        <v>127</v>
      </c>
      <c r="E191" s="28" t="s">
        <v>383</v>
      </c>
      <c r="F191" s="30" t="s">
        <v>384</v>
      </c>
      <c r="G191" s="31" t="n">
        <v>69069</v>
      </c>
      <c r="H191" s="31" t="n">
        <v>1</v>
      </c>
      <c r="I191" s="31" t="n">
        <v>69069</v>
      </c>
      <c r="J191" s="29" t="n">
        <v>45460</v>
      </c>
      <c r="K191" s="31" t="n">
        <v>65734</v>
      </c>
      <c r="L191" s="30" t="s">
        <v>32</v>
      </c>
      <c r="M191" s="10" t="n">
        <v>3</v>
      </c>
      <c r="N191" s="12" t="n">
        <v>-3473</v>
      </c>
      <c r="O191" s="13" t="n">
        <v>-0.0502880024323501</v>
      </c>
      <c r="P191" s="15" t="n">
        <v>0.093109788761963</v>
      </c>
      <c r="Q191" s="13" t="n">
        <v>-0.0719425502034196</v>
      </c>
      <c r="R191" s="15" t="n">
        <v>0.0102489019033676</v>
      </c>
      <c r="S191" s="32" t="n">
        <v>25608729000</v>
      </c>
      <c r="T191" s="15" t="n">
        <v>0.0102489019033676</v>
      </c>
      <c r="U191" s="32" t="n">
        <v>28881249670</v>
      </c>
      <c r="V191" s="14" t="n">
        <v>0.798323512235414</v>
      </c>
      <c r="W191" s="13" t="n">
        <v>0</v>
      </c>
      <c r="X191" s="15" t="n">
        <v>0.0130434782608695</v>
      </c>
      <c r="Y191" s="13" t="n">
        <v>0.00844632058314732</v>
      </c>
      <c r="Z191" s="13" t="n">
        <v>0.0248187521129937</v>
      </c>
      <c r="AA191" s="30" t="s">
        <v>97</v>
      </c>
      <c r="AB191" s="28" t="s">
        <v>93</v>
      </c>
      <c r="AC191" s="28" t="s">
        <v>99</v>
      </c>
      <c r="AD191" s="28" t="s">
        <v>106</v>
      </c>
      <c r="AE191" s="28" t="s">
        <v>112</v>
      </c>
      <c r="AF191" s="28" t="s">
        <v>116</v>
      </c>
      <c r="AG191" s="30" t="s">
        <v>123</v>
      </c>
    </row>
    <row r="192" customFormat="false" ht="15" hidden="false" customHeight="false" outlineLevel="0" collapsed="false">
      <c r="A192" s="10" t="n">
        <v>2024</v>
      </c>
      <c r="B192" s="28" t="s">
        <v>56</v>
      </c>
      <c r="C192" s="29" t="n">
        <v>45456</v>
      </c>
      <c r="D192" s="30" t="s">
        <v>128</v>
      </c>
      <c r="E192" s="28" t="s">
        <v>959</v>
      </c>
      <c r="F192" s="30" t="s">
        <v>960</v>
      </c>
      <c r="G192" s="31" t="n">
        <v>7878</v>
      </c>
      <c r="H192" s="31" t="n">
        <v>12</v>
      </c>
      <c r="I192" s="31" t="n">
        <v>94534</v>
      </c>
      <c r="J192" s="29" t="n">
        <v>45457</v>
      </c>
      <c r="K192" s="31" t="n">
        <v>7492</v>
      </c>
      <c r="L192" s="30" t="s">
        <v>32</v>
      </c>
      <c r="M192" s="10" t="n">
        <v>1</v>
      </c>
      <c r="N192" s="12" t="n">
        <v>-4814</v>
      </c>
      <c r="O192" s="13" t="n">
        <v>-0.0509226549181441</v>
      </c>
      <c r="P192" s="15" t="n">
        <v>-0.0149621661692817</v>
      </c>
      <c r="Q192" s="13" t="n">
        <v>-0.06573731224303</v>
      </c>
      <c r="R192" s="15" t="n">
        <v>0.0535475234270415</v>
      </c>
      <c r="S192" s="32" t="n">
        <v>128890311140</v>
      </c>
      <c r="T192" s="15" t="n">
        <v>0.0535475234270415</v>
      </c>
      <c r="U192" s="32" t="n">
        <v>30625086716.5</v>
      </c>
      <c r="V192" s="14" t="n">
        <v>3.72937244729474</v>
      </c>
      <c r="W192" s="13" t="n">
        <v>-0.00253485424588085</v>
      </c>
      <c r="X192" s="15" t="n">
        <v>0.10292249047014</v>
      </c>
      <c r="Y192" s="13" t="n">
        <v>0.00979411107079087</v>
      </c>
      <c r="Z192" s="13" t="n">
        <v>0.0243130693437441</v>
      </c>
      <c r="AA192" s="30" t="s">
        <v>97</v>
      </c>
      <c r="AB192" s="28" t="s">
        <v>93</v>
      </c>
      <c r="AC192" s="28" t="s">
        <v>101</v>
      </c>
      <c r="AD192" s="28" t="s">
        <v>109</v>
      </c>
      <c r="AE192" s="28" t="s">
        <v>101</v>
      </c>
      <c r="AF192" s="28" t="s">
        <v>118</v>
      </c>
      <c r="AG192" s="30" t="s">
        <v>123</v>
      </c>
    </row>
    <row r="193" customFormat="false" ht="15" hidden="false" customHeight="false" outlineLevel="0" collapsed="false">
      <c r="A193" s="10" t="n">
        <v>2024</v>
      </c>
      <c r="B193" s="28" t="s">
        <v>56</v>
      </c>
      <c r="C193" s="29" t="n">
        <v>45456</v>
      </c>
      <c r="D193" s="30" t="s">
        <v>128</v>
      </c>
      <c r="E193" s="28" t="s">
        <v>673</v>
      </c>
      <c r="F193" s="28" t="s">
        <v>674</v>
      </c>
      <c r="G193" s="31" t="n">
        <v>35235</v>
      </c>
      <c r="H193" s="31" t="n">
        <v>2</v>
      </c>
      <c r="I193" s="31" t="n">
        <v>70470</v>
      </c>
      <c r="J193" s="29" t="n">
        <v>45461</v>
      </c>
      <c r="K193" s="31" t="n">
        <v>33516</v>
      </c>
      <c r="L193" s="30" t="s">
        <v>32</v>
      </c>
      <c r="M193" s="10" t="n">
        <v>3</v>
      </c>
      <c r="N193" s="12" t="n">
        <v>-3579</v>
      </c>
      <c r="O193" s="13" t="n">
        <v>-0.0507842259303197</v>
      </c>
      <c r="P193" s="15" t="n">
        <v>0.0117723185905005</v>
      </c>
      <c r="Q193" s="13" t="n">
        <v>-0.0549223503768958</v>
      </c>
      <c r="R193" s="15" t="n">
        <v>0.0114942528735633</v>
      </c>
      <c r="S193" s="32" t="n">
        <v>53546768000</v>
      </c>
      <c r="T193" s="15" t="n">
        <v>0.00142247510668558</v>
      </c>
      <c r="U193" s="32" t="n">
        <v>3099152820</v>
      </c>
      <c r="V193" s="14" t="n">
        <v>16.8062942331955</v>
      </c>
      <c r="W193" s="13" t="n">
        <v>0</v>
      </c>
      <c r="X193" s="15" t="n">
        <v>0.122159090909091</v>
      </c>
      <c r="Y193" s="13" t="n">
        <v>0.00979411107079087</v>
      </c>
      <c r="Z193" s="13" t="n">
        <v>0.0243130693437441</v>
      </c>
      <c r="AA193" s="30" t="s">
        <v>97</v>
      </c>
      <c r="AB193" s="28" t="s">
        <v>93</v>
      </c>
      <c r="AC193" s="28" t="s">
        <v>99</v>
      </c>
      <c r="AD193" s="28" t="s">
        <v>108</v>
      </c>
      <c r="AE193" s="28" t="s">
        <v>112</v>
      </c>
      <c r="AF193" s="28" t="s">
        <v>120</v>
      </c>
      <c r="AG193" s="30" t="s">
        <v>123</v>
      </c>
    </row>
    <row r="194" customFormat="false" ht="15" hidden="false" customHeight="false" outlineLevel="0" collapsed="false">
      <c r="A194" s="10" t="n">
        <v>2024</v>
      </c>
      <c r="B194" s="28" t="s">
        <v>56</v>
      </c>
      <c r="C194" s="29" t="n">
        <v>45456</v>
      </c>
      <c r="D194" s="30" t="s">
        <v>128</v>
      </c>
      <c r="E194" s="28" t="s">
        <v>1307</v>
      </c>
      <c r="F194" s="30" t="s">
        <v>1308</v>
      </c>
      <c r="G194" s="31" t="n">
        <v>25976</v>
      </c>
      <c r="H194" s="31" t="n">
        <v>3</v>
      </c>
      <c r="I194" s="31" t="n">
        <v>77928</v>
      </c>
      <c r="J194" s="29" t="n">
        <v>45460</v>
      </c>
      <c r="K194" s="31" t="n">
        <v>24725</v>
      </c>
      <c r="L194" s="30" t="s">
        <v>32</v>
      </c>
      <c r="M194" s="10" t="n">
        <v>2</v>
      </c>
      <c r="N194" s="12" t="n">
        <v>-3908</v>
      </c>
      <c r="O194" s="13" t="n">
        <v>-0.0501544940608525</v>
      </c>
      <c r="P194" s="15" t="n">
        <v>0.0644461511513537</v>
      </c>
      <c r="Q194" s="13" t="n">
        <v>-0.0587447234846078</v>
      </c>
      <c r="R194" s="15" t="n">
        <v>0.08125</v>
      </c>
      <c r="S194" s="32" t="n">
        <v>27713328450</v>
      </c>
      <c r="T194" s="15" t="n">
        <v>0.0256916996047432</v>
      </c>
      <c r="U194" s="32" t="n">
        <v>4205484767.5</v>
      </c>
      <c r="V194" s="14" t="n">
        <v>6.0472123223833</v>
      </c>
      <c r="W194" s="13" t="n">
        <v>0.0657084188911705</v>
      </c>
      <c r="X194" s="15" t="n">
        <v>0.0404624277456647</v>
      </c>
      <c r="Y194" s="13" t="n">
        <v>0.00979411107079087</v>
      </c>
      <c r="Z194" s="13" t="n">
        <v>0.0243130693437441</v>
      </c>
      <c r="AA194" s="30" t="s">
        <v>97</v>
      </c>
      <c r="AB194" s="28" t="s">
        <v>93</v>
      </c>
      <c r="AC194" s="28" t="s">
        <v>101</v>
      </c>
      <c r="AD194" s="28" t="s">
        <v>106</v>
      </c>
      <c r="AE194" s="28" t="s">
        <v>113</v>
      </c>
      <c r="AF194" s="28" t="s">
        <v>119</v>
      </c>
      <c r="AG194" s="30" t="s">
        <v>122</v>
      </c>
    </row>
    <row r="195" customFormat="false" ht="15" hidden="false" customHeight="false" outlineLevel="0" collapsed="false">
      <c r="A195" s="10" t="n">
        <v>2024</v>
      </c>
      <c r="B195" s="28" t="s">
        <v>56</v>
      </c>
      <c r="C195" s="29" t="n">
        <v>45460</v>
      </c>
      <c r="D195" s="30" t="s">
        <v>125</v>
      </c>
      <c r="E195" s="28" t="s">
        <v>295</v>
      </c>
      <c r="F195" s="30" t="s">
        <v>296</v>
      </c>
      <c r="G195" s="31" t="n">
        <v>19570</v>
      </c>
      <c r="H195" s="31" t="n">
        <v>5</v>
      </c>
      <c r="I195" s="31" t="n">
        <v>97848</v>
      </c>
      <c r="J195" s="29" t="n">
        <v>45464</v>
      </c>
      <c r="K195" s="31" t="n">
        <v>18621</v>
      </c>
      <c r="L195" s="30" t="s">
        <v>32</v>
      </c>
      <c r="M195" s="10" t="n">
        <v>4</v>
      </c>
      <c r="N195" s="12" t="n">
        <v>-4937</v>
      </c>
      <c r="O195" s="13" t="n">
        <v>-0.0504578329343292</v>
      </c>
      <c r="P195" s="15" t="n">
        <v>0.147190405502426</v>
      </c>
      <c r="Q195" s="13" t="n">
        <v>-0.0541427881581333</v>
      </c>
      <c r="R195" s="15" t="n">
        <v>0.0454545454545454</v>
      </c>
      <c r="S195" s="32" t="n">
        <v>72313045350</v>
      </c>
      <c r="T195" s="15" t="n">
        <v>0.0454545454545454</v>
      </c>
      <c r="U195" s="32" t="n">
        <v>22489448216.5</v>
      </c>
      <c r="V195" s="14" t="n">
        <v>2.93772401734371</v>
      </c>
      <c r="W195" s="13" t="n">
        <v>0.0393407761828815</v>
      </c>
      <c r="X195" s="15" t="n">
        <v>0.0112531969309464</v>
      </c>
      <c r="Y195" s="13" t="n">
        <v>-0.00519137767272571</v>
      </c>
      <c r="Z195" s="13" t="n">
        <v>0.0158931129843734</v>
      </c>
      <c r="AA195" s="30" t="s">
        <v>97</v>
      </c>
      <c r="AB195" s="28" t="s">
        <v>93</v>
      </c>
      <c r="AC195" s="28" t="s">
        <v>100</v>
      </c>
      <c r="AD195" s="28" t="s">
        <v>108</v>
      </c>
      <c r="AE195" s="28" t="s">
        <v>113</v>
      </c>
      <c r="AF195" s="28" t="s">
        <v>117</v>
      </c>
      <c r="AG195" s="30" t="s">
        <v>122</v>
      </c>
    </row>
    <row r="196" customFormat="false" ht="15" hidden="false" customHeight="false" outlineLevel="0" collapsed="false">
      <c r="A196" s="10" t="n">
        <v>2024</v>
      </c>
      <c r="B196" s="28" t="s">
        <v>56</v>
      </c>
      <c r="C196" s="29" t="n">
        <v>45460</v>
      </c>
      <c r="D196" s="30" t="s">
        <v>125</v>
      </c>
      <c r="E196" s="28" t="s">
        <v>589</v>
      </c>
      <c r="F196" s="30" t="s">
        <v>590</v>
      </c>
      <c r="G196" s="31" t="n">
        <v>32532</v>
      </c>
      <c r="H196" s="31" t="n">
        <v>3</v>
      </c>
      <c r="I196" s="31" t="n">
        <v>97597</v>
      </c>
      <c r="J196" s="29" t="n">
        <v>45469</v>
      </c>
      <c r="K196" s="31" t="n">
        <v>30969</v>
      </c>
      <c r="L196" s="30" t="s">
        <v>32</v>
      </c>
      <c r="M196" s="10" t="n">
        <v>7</v>
      </c>
      <c r="N196" s="12" t="n">
        <v>-4886</v>
      </c>
      <c r="O196" s="13" t="n">
        <v>-0.050065916391301</v>
      </c>
      <c r="P196" s="15" t="n">
        <v>0.0589410589410591</v>
      </c>
      <c r="Q196" s="13" t="n">
        <v>-0.0778452316913855</v>
      </c>
      <c r="R196" s="15" t="n">
        <v>0.00775193798449614</v>
      </c>
      <c r="S196" s="32" t="n">
        <v>59748032500</v>
      </c>
      <c r="T196" s="15" t="n">
        <v>0.00775193798449614</v>
      </c>
      <c r="U196" s="32" t="n">
        <v>42477122220</v>
      </c>
      <c r="V196" s="14" t="n">
        <v>1.33626695523156</v>
      </c>
      <c r="W196" s="13" t="n">
        <v>-0.0151515151515151</v>
      </c>
      <c r="X196" s="15" t="n">
        <v>0.0215384615384615</v>
      </c>
      <c r="Y196" s="13" t="n">
        <v>-0.00519137767272571</v>
      </c>
      <c r="Z196" s="13" t="n">
        <v>0.0158931129843734</v>
      </c>
      <c r="AA196" s="30" t="s">
        <v>97</v>
      </c>
      <c r="AB196" s="28" t="s">
        <v>93</v>
      </c>
      <c r="AC196" s="28" t="s">
        <v>99</v>
      </c>
      <c r="AD196" s="28" t="s">
        <v>108</v>
      </c>
      <c r="AE196" s="28" t="s">
        <v>112</v>
      </c>
      <c r="AF196" s="28" t="s">
        <v>116</v>
      </c>
      <c r="AG196" s="30" t="s">
        <v>123</v>
      </c>
    </row>
    <row r="197" customFormat="false" ht="15" hidden="false" customHeight="false" outlineLevel="0" collapsed="false">
      <c r="A197" s="10" t="n">
        <v>2024</v>
      </c>
      <c r="B197" s="28" t="s">
        <v>56</v>
      </c>
      <c r="C197" s="29" t="n">
        <v>45460</v>
      </c>
      <c r="D197" s="30" t="s">
        <v>125</v>
      </c>
      <c r="E197" s="28" t="s">
        <v>1169</v>
      </c>
      <c r="F197" s="30" t="s">
        <v>1170</v>
      </c>
      <c r="G197" s="31" t="n">
        <v>9279</v>
      </c>
      <c r="H197" s="31" t="n">
        <v>10</v>
      </c>
      <c r="I197" s="31" t="n">
        <v>92793</v>
      </c>
      <c r="J197" s="29" t="n">
        <v>45467</v>
      </c>
      <c r="K197" s="31" t="n">
        <v>8801</v>
      </c>
      <c r="L197" s="30" t="s">
        <v>32</v>
      </c>
      <c r="M197" s="10" t="n">
        <v>5</v>
      </c>
      <c r="N197" s="12" t="n">
        <v>-4966</v>
      </c>
      <c r="O197" s="13" t="n">
        <v>-0.0535208277159732</v>
      </c>
      <c r="P197" s="15" t="n">
        <v>0.0302534574379236</v>
      </c>
      <c r="Q197" s="13" t="n">
        <v>-0.060270904931099</v>
      </c>
      <c r="R197" s="15" t="n">
        <v>0.0510204081632653</v>
      </c>
      <c r="S197" s="32" t="n">
        <v>46471279410</v>
      </c>
      <c r="T197" s="15" t="n">
        <v>0.0277161862527717</v>
      </c>
      <c r="U197" s="32" t="n">
        <v>6244618487.5</v>
      </c>
      <c r="V197" s="14" t="n">
        <v>6.98269294453949</v>
      </c>
      <c r="W197" s="13" t="n">
        <v>0.0220507166482911</v>
      </c>
      <c r="X197" s="15" t="n">
        <v>0.0248112189859762</v>
      </c>
      <c r="Y197" s="13" t="n">
        <v>-0.00519137767272571</v>
      </c>
      <c r="Z197" s="13" t="n">
        <v>0.0158931129843734</v>
      </c>
      <c r="AA197" s="30" t="s">
        <v>97</v>
      </c>
      <c r="AB197" s="28" t="s">
        <v>93</v>
      </c>
      <c r="AC197" s="28" t="s">
        <v>101</v>
      </c>
      <c r="AD197" s="28" t="s">
        <v>107</v>
      </c>
      <c r="AE197" s="28" t="s">
        <v>113</v>
      </c>
      <c r="AF197" s="28" t="s">
        <v>119</v>
      </c>
      <c r="AG197" s="30" t="s">
        <v>122</v>
      </c>
    </row>
    <row r="198" customFormat="false" ht="15" hidden="false" customHeight="false" outlineLevel="0" collapsed="false">
      <c r="A198" s="10" t="n">
        <v>2024</v>
      </c>
      <c r="B198" s="28" t="s">
        <v>56</v>
      </c>
      <c r="C198" s="29" t="n">
        <v>45461</v>
      </c>
      <c r="D198" s="30" t="s">
        <v>126</v>
      </c>
      <c r="E198" s="28" t="s">
        <v>965</v>
      </c>
      <c r="F198" s="30" t="s">
        <v>966</v>
      </c>
      <c r="G198" s="31" t="n">
        <v>59459</v>
      </c>
      <c r="H198" s="31" t="n">
        <v>1</v>
      </c>
      <c r="I198" s="31" t="n">
        <v>59459</v>
      </c>
      <c r="J198" s="29" t="n">
        <v>45475</v>
      </c>
      <c r="K198" s="31" t="n">
        <v>56543</v>
      </c>
      <c r="L198" s="30" t="s">
        <v>32</v>
      </c>
      <c r="M198" s="10" t="n">
        <v>10</v>
      </c>
      <c r="N198" s="12" t="n">
        <v>-3035</v>
      </c>
      <c r="O198" s="13" t="n">
        <v>-0.0510462355825992</v>
      </c>
      <c r="P198" s="15" t="n">
        <v>0.00909191818282729</v>
      </c>
      <c r="Q198" s="13" t="n">
        <v>-0.0564990564990564</v>
      </c>
      <c r="R198" s="15" t="n">
        <v>0.0402802101576183</v>
      </c>
      <c r="S198" s="32" t="n">
        <v>38630374200</v>
      </c>
      <c r="T198" s="15" t="n">
        <v>0.0259067357512954</v>
      </c>
      <c r="U198" s="32" t="n">
        <v>5755346050</v>
      </c>
      <c r="V198" s="14" t="n">
        <v>6.41362956563674</v>
      </c>
      <c r="W198" s="13" t="n">
        <v>0.0294627383015598</v>
      </c>
      <c r="X198" s="15" t="n">
        <v>0.0387205387205387</v>
      </c>
      <c r="Y198" s="13" t="n">
        <v>0.00722276884953188</v>
      </c>
      <c r="Z198" s="13" t="n">
        <v>0.0216610234648766</v>
      </c>
      <c r="AA198" s="30" t="s">
        <v>97</v>
      </c>
      <c r="AB198" s="28" t="s">
        <v>93</v>
      </c>
      <c r="AC198" s="28" t="s">
        <v>100</v>
      </c>
      <c r="AD198" s="28" t="s">
        <v>107</v>
      </c>
      <c r="AE198" s="28" t="s">
        <v>113</v>
      </c>
      <c r="AF198" s="28" t="s">
        <v>119</v>
      </c>
      <c r="AG198" s="30" t="s">
        <v>122</v>
      </c>
    </row>
    <row r="199" customFormat="false" ht="15" hidden="false" customHeight="false" outlineLevel="0" collapsed="false">
      <c r="A199" s="10" t="n">
        <v>2024</v>
      </c>
      <c r="B199" s="28" t="s">
        <v>56</v>
      </c>
      <c r="C199" s="29" t="n">
        <v>45461</v>
      </c>
      <c r="D199" s="30" t="s">
        <v>126</v>
      </c>
      <c r="E199" s="28" t="s">
        <v>1309</v>
      </c>
      <c r="F199" s="30" t="s">
        <v>1310</v>
      </c>
      <c r="G199" s="31" t="n">
        <v>3949</v>
      </c>
      <c r="H199" s="31" t="n">
        <v>25</v>
      </c>
      <c r="I199" s="31" t="n">
        <v>98724</v>
      </c>
      <c r="J199" s="29" t="n">
        <v>45495</v>
      </c>
      <c r="K199" s="31" t="n">
        <v>3756</v>
      </c>
      <c r="L199" s="30" t="s">
        <v>32</v>
      </c>
      <c r="M199" s="10" t="n">
        <v>24</v>
      </c>
      <c r="N199" s="12" t="n">
        <v>-5016</v>
      </c>
      <c r="O199" s="13" t="n">
        <v>-0.0508039513718222</v>
      </c>
      <c r="P199" s="15" t="n">
        <v>0.0952292321113615</v>
      </c>
      <c r="Q199" s="13" t="n">
        <v>-0.0807671416036434</v>
      </c>
      <c r="R199" s="15" t="n">
        <v>0.0808219178082192</v>
      </c>
      <c r="S199" s="32" t="n">
        <v>28841413710</v>
      </c>
      <c r="T199" s="15" t="n">
        <v>0.060483870967742</v>
      </c>
      <c r="U199" s="32" t="n">
        <v>3542886198.25</v>
      </c>
      <c r="V199" s="14" t="n">
        <v>7.40121163834896</v>
      </c>
      <c r="W199" s="13" t="n">
        <v>0.0180645161290323</v>
      </c>
      <c r="X199" s="15" t="n">
        <v>0.084917617237009</v>
      </c>
      <c r="Y199" s="13" t="n">
        <v>0.00722276884953188</v>
      </c>
      <c r="Z199" s="13" t="n">
        <v>0.0216610234648766</v>
      </c>
      <c r="AA199" s="30" t="s">
        <v>97</v>
      </c>
      <c r="AB199" s="28" t="s">
        <v>93</v>
      </c>
      <c r="AC199" s="28" t="s">
        <v>101</v>
      </c>
      <c r="AD199" s="28" t="s">
        <v>106</v>
      </c>
      <c r="AE199" s="28" t="s">
        <v>101</v>
      </c>
      <c r="AF199" s="28" t="s">
        <v>119</v>
      </c>
      <c r="AG199" s="30" t="s">
        <v>122</v>
      </c>
    </row>
    <row r="200" customFormat="false" ht="15" hidden="false" customHeight="false" outlineLevel="0" collapsed="false">
      <c r="A200" s="10" t="n">
        <v>2024</v>
      </c>
      <c r="B200" s="28" t="s">
        <v>56</v>
      </c>
      <c r="C200" s="29" t="n">
        <v>45462</v>
      </c>
      <c r="D200" s="30" t="s">
        <v>127</v>
      </c>
      <c r="E200" s="28" t="s">
        <v>165</v>
      </c>
      <c r="F200" s="28" t="s">
        <v>166</v>
      </c>
      <c r="G200" s="31" t="n">
        <v>10621</v>
      </c>
      <c r="H200" s="31" t="n">
        <v>9</v>
      </c>
      <c r="I200" s="31" t="n">
        <v>95585</v>
      </c>
      <c r="J200" s="29" t="n">
        <v>45478</v>
      </c>
      <c r="K200" s="31" t="n">
        <v>12750</v>
      </c>
      <c r="L200" s="30" t="s">
        <v>31</v>
      </c>
      <c r="M200" s="10" t="n">
        <v>12</v>
      </c>
      <c r="N200" s="12" t="n">
        <v>18926</v>
      </c>
      <c r="O200" s="13" t="n">
        <v>0.198005049474559</v>
      </c>
      <c r="P200" s="15" t="n">
        <v>0.200496016707138</v>
      </c>
      <c r="Q200" s="13" t="n">
        <v>-0.0217134420715947</v>
      </c>
      <c r="R200" s="15" t="n">
        <v>0.0484189723320159</v>
      </c>
      <c r="S200" s="32" t="n">
        <v>56160427600</v>
      </c>
      <c r="T200" s="15" t="n">
        <v>0.0153110047846889</v>
      </c>
      <c r="U200" s="32" t="n">
        <v>12736474043</v>
      </c>
      <c r="V200" s="14" t="n">
        <v>4.2212127752702</v>
      </c>
      <c r="W200" s="13" t="n">
        <v>0.038160469667319</v>
      </c>
      <c r="X200" s="15" t="n">
        <v>0.0179076343072573</v>
      </c>
      <c r="Y200" s="13" t="n">
        <v>0.0120879041361544</v>
      </c>
      <c r="Z200" s="13" t="n">
        <v>0.025350326409278</v>
      </c>
      <c r="AA200" s="30" t="s">
        <v>97</v>
      </c>
      <c r="AB200" s="28" t="s">
        <v>93</v>
      </c>
      <c r="AC200" s="28" t="s">
        <v>100</v>
      </c>
      <c r="AD200" s="28" t="s">
        <v>108</v>
      </c>
      <c r="AE200" s="28" t="s">
        <v>112</v>
      </c>
      <c r="AF200" s="28" t="s">
        <v>118</v>
      </c>
      <c r="AG200" s="30" t="s">
        <v>122</v>
      </c>
    </row>
    <row r="201" customFormat="false" ht="15" hidden="false" customHeight="false" outlineLevel="0" collapsed="false">
      <c r="A201" s="10" t="n">
        <v>2024</v>
      </c>
      <c r="B201" s="28" t="s">
        <v>56</v>
      </c>
      <c r="C201" s="29" t="n">
        <v>45463</v>
      </c>
      <c r="D201" s="30" t="s">
        <v>128</v>
      </c>
      <c r="E201" s="28" t="s">
        <v>271</v>
      </c>
      <c r="F201" s="30" t="s">
        <v>272</v>
      </c>
      <c r="G201" s="31" t="n">
        <v>75575</v>
      </c>
      <c r="H201" s="31" t="n">
        <v>1</v>
      </c>
      <c r="I201" s="31" t="n">
        <v>75575</v>
      </c>
      <c r="J201" s="29" t="n">
        <v>45464</v>
      </c>
      <c r="K201" s="31" t="n">
        <v>71928</v>
      </c>
      <c r="L201" s="30" t="s">
        <v>32</v>
      </c>
      <c r="M201" s="10" t="n">
        <v>1</v>
      </c>
      <c r="N201" s="12" t="n">
        <v>-3799</v>
      </c>
      <c r="O201" s="13" t="n">
        <v>-0.0502688824420613</v>
      </c>
      <c r="P201" s="15" t="n">
        <v>0.0135559804433978</v>
      </c>
      <c r="Q201" s="13" t="n">
        <v>-0.0526030261129598</v>
      </c>
      <c r="R201" s="15" t="n">
        <v>0.113569321533923</v>
      </c>
      <c r="S201" s="32" t="n">
        <v>284868144000</v>
      </c>
      <c r="T201" s="15" t="n">
        <v>0.0942028985507246</v>
      </c>
      <c r="U201" s="32" t="n">
        <v>31946041545</v>
      </c>
      <c r="V201" s="14" t="n">
        <v>7.77230739757886</v>
      </c>
      <c r="W201" s="13" t="n">
        <v>0.107038123167155</v>
      </c>
      <c r="X201" s="15" t="n">
        <v>0.0251655629139074</v>
      </c>
      <c r="Y201" s="13" t="n">
        <v>0.00368208255729585</v>
      </c>
      <c r="Z201" s="13" t="n">
        <v>0.019144140056409</v>
      </c>
      <c r="AA201" s="30" t="s">
        <v>97</v>
      </c>
      <c r="AB201" s="28" t="s">
        <v>93</v>
      </c>
      <c r="AC201" s="28" t="s">
        <v>102</v>
      </c>
      <c r="AD201" s="28" t="s">
        <v>110</v>
      </c>
      <c r="AE201" s="28" t="s">
        <v>101</v>
      </c>
      <c r="AF201" s="28" t="s">
        <v>119</v>
      </c>
      <c r="AG201" s="30" t="s">
        <v>122</v>
      </c>
    </row>
    <row r="202" customFormat="false" ht="15" hidden="false" customHeight="false" outlineLevel="0" collapsed="false">
      <c r="A202" s="10" t="n">
        <v>2024</v>
      </c>
      <c r="B202" s="28" t="s">
        <v>56</v>
      </c>
      <c r="C202" s="29" t="n">
        <v>45463</v>
      </c>
      <c r="D202" s="30" t="s">
        <v>128</v>
      </c>
      <c r="E202" s="28" t="s">
        <v>1311</v>
      </c>
      <c r="F202" s="30" t="s">
        <v>1312</v>
      </c>
      <c r="G202" s="31" t="n">
        <v>13413</v>
      </c>
      <c r="H202" s="31" t="n">
        <v>7</v>
      </c>
      <c r="I202" s="31" t="n">
        <v>93894</v>
      </c>
      <c r="J202" s="29" t="n">
        <v>45474</v>
      </c>
      <c r="K202" s="31" t="n">
        <v>12767</v>
      </c>
      <c r="L202" s="30" t="s">
        <v>32</v>
      </c>
      <c r="M202" s="10" t="n">
        <v>7</v>
      </c>
      <c r="N202" s="12" t="n">
        <v>-4712</v>
      </c>
      <c r="O202" s="13" t="n">
        <v>-0.0501802741288563</v>
      </c>
      <c r="P202" s="15" t="n">
        <v>0.19656462940045</v>
      </c>
      <c r="Q202" s="13" t="n">
        <v>-0.0606408516856276</v>
      </c>
      <c r="R202" s="15" t="n">
        <v>0.0720000000000001</v>
      </c>
      <c r="S202" s="32" t="n">
        <v>94686838800</v>
      </c>
      <c r="T202" s="15" t="n">
        <v>0.0159211523881728</v>
      </c>
      <c r="U202" s="32" t="n">
        <v>9555107020.5</v>
      </c>
      <c r="V202" s="14" t="n">
        <v>9.28596500519283</v>
      </c>
      <c r="W202" s="13" t="n">
        <v>0.0299769408147579</v>
      </c>
      <c r="X202" s="15" t="n">
        <v>0.0298507462686568</v>
      </c>
      <c r="Y202" s="13" t="n">
        <v>0.00368208255729585</v>
      </c>
      <c r="Z202" s="13" t="n">
        <v>0.019144140056409</v>
      </c>
      <c r="AA202" s="30" t="s">
        <v>97</v>
      </c>
      <c r="AB202" s="28" t="s">
        <v>93</v>
      </c>
      <c r="AC202" s="28" t="s">
        <v>101</v>
      </c>
      <c r="AD202" s="28" t="s">
        <v>108</v>
      </c>
      <c r="AE202" s="28" t="s">
        <v>112</v>
      </c>
      <c r="AF202" s="28" t="s">
        <v>119</v>
      </c>
      <c r="AG202" s="30" t="s">
        <v>122</v>
      </c>
    </row>
    <row r="203" customFormat="false" ht="15" hidden="false" customHeight="false" outlineLevel="0" collapsed="false">
      <c r="A203" s="10" t="n">
        <v>2024</v>
      </c>
      <c r="B203" s="28" t="s">
        <v>56</v>
      </c>
      <c r="C203" s="29" t="n">
        <v>45463</v>
      </c>
      <c r="D203" s="30" t="s">
        <v>128</v>
      </c>
      <c r="E203" s="28" t="s">
        <v>1313</v>
      </c>
      <c r="F203" s="28" t="s">
        <v>1314</v>
      </c>
      <c r="G203" s="31" t="n">
        <v>77978</v>
      </c>
      <c r="H203" s="31" t="n">
        <v>1</v>
      </c>
      <c r="I203" s="31" t="n">
        <v>77978</v>
      </c>
      <c r="J203" s="29" t="n">
        <v>45495</v>
      </c>
      <c r="K203" s="31" t="n">
        <v>74226</v>
      </c>
      <c r="L203" s="30" t="s">
        <v>32</v>
      </c>
      <c r="M203" s="10" t="n">
        <v>22</v>
      </c>
      <c r="N203" s="12" t="n">
        <v>-3909</v>
      </c>
      <c r="O203" s="13" t="n">
        <v>-0.0501249302687044</v>
      </c>
      <c r="P203" s="15" t="n">
        <v>0.0836403647700184</v>
      </c>
      <c r="Q203" s="13" t="n">
        <v>-0.070249391173653</v>
      </c>
      <c r="R203" s="15" t="n">
        <v>0.0971830985915494</v>
      </c>
      <c r="S203" s="32" t="n">
        <v>72204575200</v>
      </c>
      <c r="T203" s="15" t="n">
        <v>0.0744827586206898</v>
      </c>
      <c r="U203" s="32" t="n">
        <v>6660572490</v>
      </c>
      <c r="V203" s="14" t="n">
        <v>9.78308893765192</v>
      </c>
      <c r="W203" s="13" t="n">
        <v>0.0941011235955056</v>
      </c>
      <c r="X203" s="15" t="n">
        <v>0.0385109114249038</v>
      </c>
      <c r="Y203" s="13" t="n">
        <v>0.00368208255729585</v>
      </c>
      <c r="Z203" s="13" t="n">
        <v>0.019144140056409</v>
      </c>
      <c r="AA203" s="30" t="s">
        <v>97</v>
      </c>
      <c r="AB203" s="28" t="s">
        <v>93</v>
      </c>
      <c r="AC203" s="28" t="s">
        <v>101</v>
      </c>
      <c r="AD203" s="28" t="s">
        <v>108</v>
      </c>
      <c r="AE203" s="28" t="s">
        <v>101</v>
      </c>
      <c r="AF203" s="28" t="s">
        <v>119</v>
      </c>
      <c r="AG203" s="30" t="s">
        <v>122</v>
      </c>
    </row>
    <row r="204" customFormat="false" ht="15" hidden="false" customHeight="false" outlineLevel="0" collapsed="false">
      <c r="A204" s="10" t="n">
        <v>2024</v>
      </c>
      <c r="B204" s="28" t="s">
        <v>56</v>
      </c>
      <c r="C204" s="29" t="n">
        <v>45463</v>
      </c>
      <c r="D204" s="30" t="s">
        <v>128</v>
      </c>
      <c r="E204" s="28" t="s">
        <v>347</v>
      </c>
      <c r="F204" s="30" t="s">
        <v>348</v>
      </c>
      <c r="G204" s="31" t="n">
        <v>2513</v>
      </c>
      <c r="H204" s="31" t="n">
        <v>39</v>
      </c>
      <c r="I204" s="31" t="n">
        <v>97988</v>
      </c>
      <c r="J204" s="29" t="n">
        <v>45477</v>
      </c>
      <c r="K204" s="31" t="n">
        <v>2388</v>
      </c>
      <c r="L204" s="30" t="s">
        <v>32</v>
      </c>
      <c r="M204" s="10" t="n">
        <v>10</v>
      </c>
      <c r="N204" s="12" t="n">
        <v>-5067</v>
      </c>
      <c r="O204" s="13" t="n">
        <v>-0.051714308002754</v>
      </c>
      <c r="P204" s="15" t="n">
        <v>0.120393550672435</v>
      </c>
      <c r="Q204" s="13" t="n">
        <v>-0.0507500467659829</v>
      </c>
      <c r="R204" s="15" t="n">
        <v>0.0635593220338984</v>
      </c>
      <c r="S204" s="32" t="n">
        <v>61080194890</v>
      </c>
      <c r="T204" s="15" t="n">
        <v>0.028688524590164</v>
      </c>
      <c r="U204" s="32" t="n">
        <v>10366848198.75</v>
      </c>
      <c r="V204" s="14" t="n">
        <v>5.54898250669918</v>
      </c>
      <c r="W204" s="13" t="n">
        <v>0.0502092050209204</v>
      </c>
      <c r="X204" s="15" t="n">
        <v>0.0418326693227091</v>
      </c>
      <c r="Y204" s="13" t="n">
        <v>0.00368208255729585</v>
      </c>
      <c r="Z204" s="13" t="n">
        <v>0.019144140056409</v>
      </c>
      <c r="AA204" s="30" t="s">
        <v>97</v>
      </c>
      <c r="AB204" s="28" t="s">
        <v>93</v>
      </c>
      <c r="AC204" s="28" t="s">
        <v>101</v>
      </c>
      <c r="AD204" s="28" t="s">
        <v>108</v>
      </c>
      <c r="AE204" s="28" t="s">
        <v>113</v>
      </c>
      <c r="AF204" s="28" t="s">
        <v>119</v>
      </c>
      <c r="AG204" s="30" t="s">
        <v>122</v>
      </c>
    </row>
    <row r="205" customFormat="false" ht="15" hidden="false" customHeight="false" outlineLevel="0" collapsed="false">
      <c r="A205" s="10" t="n">
        <v>2024</v>
      </c>
      <c r="B205" s="28" t="s">
        <v>56</v>
      </c>
      <c r="C205" s="29" t="n">
        <v>45463</v>
      </c>
      <c r="D205" s="30" t="s">
        <v>128</v>
      </c>
      <c r="E205" s="28" t="s">
        <v>793</v>
      </c>
      <c r="F205" s="30" t="s">
        <v>794</v>
      </c>
      <c r="G205" s="31" t="n">
        <v>16076</v>
      </c>
      <c r="H205" s="31" t="n">
        <v>6</v>
      </c>
      <c r="I205" s="31" t="n">
        <v>96456</v>
      </c>
      <c r="J205" s="29" t="n">
        <v>45467</v>
      </c>
      <c r="K205" s="31" t="n">
        <v>15305</v>
      </c>
      <c r="L205" s="30" t="s">
        <v>32</v>
      </c>
      <c r="M205" s="10" t="n">
        <v>2</v>
      </c>
      <c r="N205" s="12" t="n">
        <v>-4822</v>
      </c>
      <c r="O205" s="13" t="n">
        <v>-0.0499895829575158</v>
      </c>
      <c r="P205" s="15" t="n">
        <v>0.00770960048668656</v>
      </c>
      <c r="Q205" s="13" t="n">
        <v>-0.0793764143701876</v>
      </c>
      <c r="R205" s="15" t="n">
        <v>0.0764075067024128</v>
      </c>
      <c r="S205" s="32" t="n">
        <v>52083302700</v>
      </c>
      <c r="T205" s="15" t="n">
        <v>0.00249687890137329</v>
      </c>
      <c r="U205" s="32" t="n">
        <v>17206479624.5</v>
      </c>
      <c r="V205" s="14" t="n">
        <v>2.72190738685451</v>
      </c>
      <c r="W205" s="13" t="n">
        <v>0.0793010752688172</v>
      </c>
      <c r="X205" s="15" t="n">
        <v>0.0392278953922789</v>
      </c>
      <c r="Y205" s="13" t="n">
        <v>0.00368208255729585</v>
      </c>
      <c r="Z205" s="13" t="n">
        <v>0.019144140056409</v>
      </c>
      <c r="AA205" s="30" t="s">
        <v>97</v>
      </c>
      <c r="AB205" s="28" t="s">
        <v>93</v>
      </c>
      <c r="AC205" s="28" t="s">
        <v>101</v>
      </c>
      <c r="AD205" s="28" t="s">
        <v>108</v>
      </c>
      <c r="AE205" s="28" t="s">
        <v>112</v>
      </c>
      <c r="AF205" s="28" t="s">
        <v>117</v>
      </c>
      <c r="AG205" s="30" t="s">
        <v>122</v>
      </c>
    </row>
    <row r="206" customFormat="false" ht="15" hidden="false" customHeight="false" outlineLevel="0" collapsed="false">
      <c r="A206" s="10" t="n">
        <v>2024</v>
      </c>
      <c r="B206" s="28" t="s">
        <v>56</v>
      </c>
      <c r="C206" s="29" t="n">
        <v>45463</v>
      </c>
      <c r="D206" s="30" t="s">
        <v>128</v>
      </c>
      <c r="E206" s="28" t="s">
        <v>357</v>
      </c>
      <c r="F206" s="30" t="s">
        <v>358</v>
      </c>
      <c r="G206" s="31" t="n">
        <v>14935</v>
      </c>
      <c r="H206" s="31" t="n">
        <v>6</v>
      </c>
      <c r="I206" s="31" t="n">
        <v>89610</v>
      </c>
      <c r="J206" s="29" t="n">
        <v>45467</v>
      </c>
      <c r="K206" s="31" t="n">
        <v>14216</v>
      </c>
      <c r="L206" s="30" t="s">
        <v>32</v>
      </c>
      <c r="M206" s="10" t="n">
        <v>2</v>
      </c>
      <c r="N206" s="12" t="n">
        <v>-4495</v>
      </c>
      <c r="O206" s="13" t="n">
        <v>-0.0501583530075822</v>
      </c>
      <c r="P206" s="15" t="n">
        <v>0.0311404413281091</v>
      </c>
      <c r="Q206" s="13" t="n">
        <v>-0.0545647382108507</v>
      </c>
      <c r="R206" s="15" t="n">
        <v>0.0233196159122084</v>
      </c>
      <c r="S206" s="32" t="n">
        <v>24689093800</v>
      </c>
      <c r="T206" s="15" t="n">
        <v>0.0142760027192386</v>
      </c>
      <c r="U206" s="32" t="n">
        <v>11304014464</v>
      </c>
      <c r="V206" s="14" t="n">
        <v>2.05386265725529</v>
      </c>
      <c r="W206" s="13" t="n">
        <v>0.0268410185822436</v>
      </c>
      <c r="X206" s="15" t="n">
        <v>0.0328418230563004</v>
      </c>
      <c r="Y206" s="13" t="n">
        <v>0.00368208255729585</v>
      </c>
      <c r="Z206" s="13" t="n">
        <v>0.019144140056409</v>
      </c>
      <c r="AA206" s="30" t="s">
        <v>97</v>
      </c>
      <c r="AB206" s="28" t="s">
        <v>93</v>
      </c>
      <c r="AC206" s="28" t="s">
        <v>99</v>
      </c>
      <c r="AD206" s="28" t="s">
        <v>106</v>
      </c>
      <c r="AE206" s="28" t="s">
        <v>112</v>
      </c>
      <c r="AF206" s="28" t="s">
        <v>117</v>
      </c>
      <c r="AG206" s="30" t="s">
        <v>122</v>
      </c>
    </row>
    <row r="207" customFormat="false" ht="15" hidden="false" customHeight="false" outlineLevel="0" collapsed="false">
      <c r="A207" s="10" t="n">
        <v>2024</v>
      </c>
      <c r="B207" s="28" t="s">
        <v>56</v>
      </c>
      <c r="C207" s="29" t="n">
        <v>45464</v>
      </c>
      <c r="D207" s="30" t="s">
        <v>129</v>
      </c>
      <c r="E207" s="28" t="s">
        <v>1281</v>
      </c>
      <c r="F207" s="30" t="s">
        <v>1282</v>
      </c>
      <c r="G207" s="31" t="n">
        <v>14875</v>
      </c>
      <c r="H207" s="31" t="n">
        <v>6</v>
      </c>
      <c r="I207" s="31" t="n">
        <v>89249</v>
      </c>
      <c r="J207" s="29" t="n">
        <v>45469</v>
      </c>
      <c r="K207" s="31" t="n">
        <v>14156</v>
      </c>
      <c r="L207" s="30" t="s">
        <v>32</v>
      </c>
      <c r="M207" s="10" t="n">
        <v>3</v>
      </c>
      <c r="N207" s="12" t="n">
        <v>-4493</v>
      </c>
      <c r="O207" s="13" t="n">
        <v>-0.0503443459299786</v>
      </c>
      <c r="P207" s="15" t="n">
        <v>-0.000999000999000965</v>
      </c>
      <c r="Q207" s="13" t="n">
        <v>-0.0480582674391556</v>
      </c>
      <c r="R207" s="15" t="n">
        <v>0.0599144079885878</v>
      </c>
      <c r="S207" s="32" t="n">
        <v>22805300220</v>
      </c>
      <c r="T207" s="15" t="n">
        <v>0.01920438957476</v>
      </c>
      <c r="U207" s="32" t="n">
        <v>5275649138.5</v>
      </c>
      <c r="V207" s="14" t="n">
        <v>4.12132678258044</v>
      </c>
      <c r="W207" s="13" t="n">
        <v>0.0524079320113315</v>
      </c>
      <c r="X207" s="15" t="n">
        <v>0</v>
      </c>
      <c r="Y207" s="13" t="n">
        <v>-0.00832374636259048</v>
      </c>
      <c r="Z207" s="13" t="n">
        <v>0.00936768149882905</v>
      </c>
      <c r="AA207" s="30" t="s">
        <v>97</v>
      </c>
      <c r="AB207" s="28" t="s">
        <v>93</v>
      </c>
      <c r="AC207" s="28" t="s">
        <v>101</v>
      </c>
      <c r="AD207" s="28" t="s">
        <v>106</v>
      </c>
      <c r="AE207" s="28" t="s">
        <v>112</v>
      </c>
      <c r="AF207" s="28" t="s">
        <v>118</v>
      </c>
      <c r="AG207" s="30" t="s">
        <v>122</v>
      </c>
    </row>
    <row r="208" customFormat="false" ht="15" hidden="false" customHeight="false" outlineLevel="0" collapsed="false">
      <c r="A208" s="10" t="n">
        <v>2024</v>
      </c>
      <c r="B208" s="28" t="s">
        <v>56</v>
      </c>
      <c r="C208" s="29" t="n">
        <v>45467</v>
      </c>
      <c r="D208" s="30" t="s">
        <v>125</v>
      </c>
      <c r="E208" s="28" t="s">
        <v>407</v>
      </c>
      <c r="F208" s="30" t="s">
        <v>408</v>
      </c>
      <c r="G208" s="31" t="n">
        <v>48048</v>
      </c>
      <c r="H208" s="31" t="n">
        <v>2</v>
      </c>
      <c r="I208" s="31" t="n">
        <v>96096</v>
      </c>
      <c r="J208" s="29" t="n">
        <v>45499</v>
      </c>
      <c r="K208" s="31" t="n">
        <v>57700</v>
      </c>
      <c r="L208" s="30" t="s">
        <v>31</v>
      </c>
      <c r="M208" s="10" t="n">
        <v>24</v>
      </c>
      <c r="N208" s="12" t="n">
        <v>19065</v>
      </c>
      <c r="O208" s="13" t="n">
        <v>0.19839073010323</v>
      </c>
      <c r="P208" s="15" t="n">
        <v>0.215451215451216</v>
      </c>
      <c r="Q208" s="13" t="n">
        <v>-0.0384615384615383</v>
      </c>
      <c r="R208" s="15" t="n">
        <v>0.00840336134453779</v>
      </c>
      <c r="S208" s="32" t="n">
        <v>34989312000</v>
      </c>
      <c r="T208" s="15" t="n">
        <v>0.00418410041841</v>
      </c>
      <c r="U208" s="32" t="n">
        <v>56485210710</v>
      </c>
      <c r="V208" s="14" t="n">
        <v>0.603096039832548</v>
      </c>
      <c r="W208" s="13" t="n">
        <v>0.0169491525423728</v>
      </c>
      <c r="X208" s="15" t="n">
        <v>0</v>
      </c>
      <c r="Y208" s="13" t="n">
        <v>-0.00701443112353017</v>
      </c>
      <c r="Z208" s="13" t="n">
        <v>0.00751794759666202</v>
      </c>
      <c r="AA208" s="30" t="s">
        <v>97</v>
      </c>
      <c r="AB208" s="28" t="s">
        <v>93</v>
      </c>
      <c r="AC208" s="28" t="s">
        <v>99</v>
      </c>
      <c r="AD208" s="28" t="s">
        <v>107</v>
      </c>
      <c r="AE208" s="28" t="s">
        <v>112</v>
      </c>
      <c r="AF208" s="28" t="s">
        <v>116</v>
      </c>
      <c r="AG208" s="30" t="s">
        <v>122</v>
      </c>
    </row>
    <row r="209" customFormat="false" ht="15" hidden="false" customHeight="false" outlineLevel="0" collapsed="false">
      <c r="A209" s="10" t="n">
        <v>2024</v>
      </c>
      <c r="B209" s="28" t="s">
        <v>56</v>
      </c>
      <c r="C209" s="29" t="n">
        <v>45467</v>
      </c>
      <c r="D209" s="30" t="s">
        <v>125</v>
      </c>
      <c r="E209" s="28" t="s">
        <v>951</v>
      </c>
      <c r="F209" s="30" t="s">
        <v>952</v>
      </c>
      <c r="G209" s="31" t="n">
        <v>15385</v>
      </c>
      <c r="H209" s="31" t="n">
        <v>6</v>
      </c>
      <c r="I209" s="31" t="n">
        <v>92312</v>
      </c>
      <c r="J209" s="29" t="n">
        <v>45482</v>
      </c>
      <c r="K209" s="31" t="n">
        <v>14645</v>
      </c>
      <c r="L209" s="30" t="s">
        <v>32</v>
      </c>
      <c r="M209" s="10" t="n">
        <v>11</v>
      </c>
      <c r="N209" s="12" t="n">
        <v>-4625</v>
      </c>
      <c r="O209" s="13" t="n">
        <v>-0.0501057965131811</v>
      </c>
      <c r="P209" s="15" t="n">
        <v>0.0594480340739287</v>
      </c>
      <c r="Q209" s="13" t="n">
        <v>-0.0568962592384843</v>
      </c>
      <c r="R209" s="15" t="n">
        <v>0.05201916495551</v>
      </c>
      <c r="S209" s="32" t="n">
        <v>32658452660</v>
      </c>
      <c r="T209" s="15" t="n">
        <v>0.00457516339869279</v>
      </c>
      <c r="U209" s="32" t="n">
        <v>3843869299.5</v>
      </c>
      <c r="V209" s="14" t="n">
        <v>8.23312950233347</v>
      </c>
      <c r="W209" s="13" t="n">
        <v>0.0385135135135135</v>
      </c>
      <c r="X209" s="15" t="n">
        <v>0.0572543916720885</v>
      </c>
      <c r="Y209" s="13" t="n">
        <v>-0.00701443112353017</v>
      </c>
      <c r="Z209" s="13" t="n">
        <v>0.00751794759666202</v>
      </c>
      <c r="AA209" s="30" t="s">
        <v>97</v>
      </c>
      <c r="AB209" s="28" t="s">
        <v>93</v>
      </c>
      <c r="AC209" s="28" t="s">
        <v>101</v>
      </c>
      <c r="AD209" s="28" t="s">
        <v>107</v>
      </c>
      <c r="AE209" s="28" t="s">
        <v>112</v>
      </c>
      <c r="AF209" s="28" t="s">
        <v>119</v>
      </c>
      <c r="AG209" s="30" t="s">
        <v>122</v>
      </c>
    </row>
    <row r="210" customFormat="false" ht="15" hidden="false" customHeight="false" outlineLevel="0" collapsed="false">
      <c r="A210" s="10" t="n">
        <v>2024</v>
      </c>
      <c r="B210" s="28" t="s">
        <v>56</v>
      </c>
      <c r="C210" s="29" t="n">
        <v>45470</v>
      </c>
      <c r="D210" s="30" t="s">
        <v>128</v>
      </c>
      <c r="E210" s="28" t="s">
        <v>629</v>
      </c>
      <c r="F210" s="30" t="s">
        <v>630</v>
      </c>
      <c r="G210" s="31" t="n">
        <v>4354</v>
      </c>
      <c r="H210" s="31" t="n">
        <v>22</v>
      </c>
      <c r="I210" s="31" t="n">
        <v>95796</v>
      </c>
      <c r="J210" s="29" t="n">
        <v>45474</v>
      </c>
      <c r="K210" s="31" t="n">
        <v>4141</v>
      </c>
      <c r="L210" s="30" t="s">
        <v>32</v>
      </c>
      <c r="M210" s="10" t="n">
        <v>2</v>
      </c>
      <c r="N210" s="12" t="n">
        <v>-4889</v>
      </c>
      <c r="O210" s="13" t="n">
        <v>-0.0510346710186364</v>
      </c>
      <c r="P210" s="15" t="n">
        <v>0.0966045448804072</v>
      </c>
      <c r="Q210" s="13" t="n">
        <v>-0.0641542365680295</v>
      </c>
      <c r="R210" s="15" t="n">
        <v>0.0199296600234467</v>
      </c>
      <c r="S210" s="32" t="n">
        <v>183887684850</v>
      </c>
      <c r="T210" s="15" t="n">
        <v>0.0199296600234467</v>
      </c>
      <c r="U210" s="32" t="n">
        <v>79629785043.5</v>
      </c>
      <c r="V210" s="14" t="n">
        <v>2.02110621316056</v>
      </c>
      <c r="W210" s="13" t="n">
        <v>0.0034602076124568</v>
      </c>
      <c r="X210" s="15" t="n">
        <v>0.0114942528735633</v>
      </c>
      <c r="Y210" s="13" t="n">
        <v>-0.00286169660285462</v>
      </c>
      <c r="Z210" s="13" t="n">
        <v>-0.00839498082012236</v>
      </c>
      <c r="AA210" s="30" t="s">
        <v>97</v>
      </c>
      <c r="AB210" s="28" t="s">
        <v>94</v>
      </c>
      <c r="AC210" s="28" t="s">
        <v>99</v>
      </c>
      <c r="AD210" s="28" t="s">
        <v>109</v>
      </c>
      <c r="AE210" s="28" t="s">
        <v>112</v>
      </c>
      <c r="AF210" s="28" t="s">
        <v>117</v>
      </c>
      <c r="AG210" s="30" t="s">
        <v>122</v>
      </c>
    </row>
    <row r="211" customFormat="false" ht="15" hidden="false" customHeight="false" outlineLevel="0" collapsed="false">
      <c r="A211" s="10" t="n">
        <v>2024</v>
      </c>
      <c r="B211" s="28" t="s">
        <v>56</v>
      </c>
      <c r="C211" s="29" t="n">
        <v>45471</v>
      </c>
      <c r="D211" s="30" t="s">
        <v>129</v>
      </c>
      <c r="E211" s="28" t="s">
        <v>379</v>
      </c>
      <c r="F211" s="30" t="s">
        <v>380</v>
      </c>
      <c r="G211" s="31" t="n">
        <v>24174</v>
      </c>
      <c r="H211" s="31" t="n">
        <v>4</v>
      </c>
      <c r="I211" s="31" t="n">
        <v>96697</v>
      </c>
      <c r="J211" s="29" t="n">
        <v>45484</v>
      </c>
      <c r="K211" s="31" t="n">
        <v>22977</v>
      </c>
      <c r="L211" s="30" t="s">
        <v>32</v>
      </c>
      <c r="M211" s="10" t="n">
        <v>9</v>
      </c>
      <c r="N211" s="12" t="n">
        <v>-4982</v>
      </c>
      <c r="O211" s="13" t="n">
        <v>-0.0515253389467675</v>
      </c>
      <c r="P211" s="15" t="n">
        <v>0.00727429919976519</v>
      </c>
      <c r="Q211" s="13" t="n">
        <v>-0.0485704771419057</v>
      </c>
      <c r="R211" s="15" t="n">
        <v>0.0477223427331888</v>
      </c>
      <c r="S211" s="32" t="n">
        <v>50359632750</v>
      </c>
      <c r="T211" s="15" t="n">
        <v>0.00835073068893522</v>
      </c>
      <c r="U211" s="32" t="n">
        <v>21173636440</v>
      </c>
      <c r="V211" s="14" t="n">
        <v>2.24677571143965</v>
      </c>
      <c r="W211" s="13" t="n">
        <v>0.0320512820512822</v>
      </c>
      <c r="X211" s="15" t="n">
        <v>0.00207039337474124</v>
      </c>
      <c r="Y211" s="13" t="n">
        <v>0.00494242221791197</v>
      </c>
      <c r="Z211" s="13" t="n">
        <v>0.00487023482002402</v>
      </c>
      <c r="AA211" s="30" t="s">
        <v>97</v>
      </c>
      <c r="AB211" s="28" t="s">
        <v>93</v>
      </c>
      <c r="AC211" s="28" t="s">
        <v>100</v>
      </c>
      <c r="AD211" s="28" t="s">
        <v>108</v>
      </c>
      <c r="AE211" s="28" t="s">
        <v>112</v>
      </c>
      <c r="AF211" s="28" t="s">
        <v>117</v>
      </c>
      <c r="AG211" s="30" t="s">
        <v>122</v>
      </c>
    </row>
    <row r="212" customFormat="false" ht="15" hidden="false" customHeight="false" outlineLevel="0" collapsed="false">
      <c r="A212" s="10" t="n">
        <v>2024</v>
      </c>
      <c r="B212" s="28" t="s">
        <v>56</v>
      </c>
      <c r="C212" s="29" t="n">
        <v>45471</v>
      </c>
      <c r="D212" s="30" t="s">
        <v>129</v>
      </c>
      <c r="E212" s="28" t="s">
        <v>1315</v>
      </c>
      <c r="F212" s="30" t="s">
        <v>1316</v>
      </c>
      <c r="G212" s="31" t="n">
        <v>9556</v>
      </c>
      <c r="H212" s="31" t="n">
        <v>10</v>
      </c>
      <c r="I212" s="31" t="n">
        <v>95560</v>
      </c>
      <c r="J212" s="29" t="n">
        <v>45474</v>
      </c>
      <c r="K212" s="31" t="n">
        <v>9091</v>
      </c>
      <c r="L212" s="30" t="s">
        <v>32</v>
      </c>
      <c r="M212" s="10" t="n">
        <v>1</v>
      </c>
      <c r="N212" s="12" t="n">
        <v>-4842</v>
      </c>
      <c r="O212" s="13" t="n">
        <v>-0.0506735996326906</v>
      </c>
      <c r="P212" s="15" t="n">
        <v>0.0199444161708311</v>
      </c>
      <c r="Q212" s="13" t="n">
        <v>-0.0994330616972127</v>
      </c>
      <c r="R212" s="15" t="n">
        <v>0.157766990291262</v>
      </c>
      <c r="S212" s="32" t="n">
        <v>36859538205</v>
      </c>
      <c r="T212" s="15" t="n">
        <v>0.0576496674057649</v>
      </c>
      <c r="U212" s="32" t="n">
        <v>4263846321.45</v>
      </c>
      <c r="V212" s="14" t="n">
        <v>6.99201015010393</v>
      </c>
      <c r="W212" s="13" t="n">
        <v>0.111888111888112</v>
      </c>
      <c r="X212" s="15" t="n">
        <v>0.0482180293501047</v>
      </c>
      <c r="Y212" s="13" t="n">
        <v>0.00494242221791197</v>
      </c>
      <c r="Z212" s="13" t="n">
        <v>0.00487023482002402</v>
      </c>
      <c r="AA212" s="30" t="s">
        <v>97</v>
      </c>
      <c r="AB212" s="28" t="s">
        <v>93</v>
      </c>
      <c r="AC212" s="28" t="s">
        <v>103</v>
      </c>
      <c r="AD212" s="28" t="s">
        <v>107</v>
      </c>
      <c r="AE212" s="28" t="s">
        <v>101</v>
      </c>
      <c r="AF212" s="28" t="s">
        <v>119</v>
      </c>
      <c r="AG212" s="30" t="s">
        <v>122</v>
      </c>
    </row>
    <row r="213" customFormat="false" ht="15" hidden="false" customHeight="false" outlineLevel="0" collapsed="false">
      <c r="A213" s="10" t="n">
        <v>2024</v>
      </c>
      <c r="B213" s="28" t="s">
        <v>56</v>
      </c>
      <c r="C213" s="29" t="n">
        <v>45471</v>
      </c>
      <c r="D213" s="30" t="s">
        <v>129</v>
      </c>
      <c r="E213" s="28" t="s">
        <v>433</v>
      </c>
      <c r="F213" s="30" t="s">
        <v>434</v>
      </c>
      <c r="G213" s="31" t="n">
        <v>11582</v>
      </c>
      <c r="H213" s="31" t="n">
        <v>8</v>
      </c>
      <c r="I213" s="31" t="n">
        <v>92653</v>
      </c>
      <c r="J213" s="29" t="n">
        <v>45485</v>
      </c>
      <c r="K213" s="31" t="n">
        <v>11019</v>
      </c>
      <c r="L213" s="30" t="s">
        <v>32</v>
      </c>
      <c r="M213" s="10" t="n">
        <v>10</v>
      </c>
      <c r="N213" s="12" t="n">
        <v>-4687</v>
      </c>
      <c r="O213" s="13" t="n">
        <v>-0.0505824535878986</v>
      </c>
      <c r="P213" s="15" t="n">
        <v>0.0775741112819766</v>
      </c>
      <c r="Q213" s="13" t="n">
        <v>-0.0614398565997527</v>
      </c>
      <c r="R213" s="15" t="n">
        <v>0.0404676258992807</v>
      </c>
      <c r="S213" s="32" t="n">
        <v>35857593590</v>
      </c>
      <c r="T213" s="15" t="n">
        <v>0.0404676258992807</v>
      </c>
      <c r="U213" s="32" t="n">
        <v>13662786672</v>
      </c>
      <c r="V213" s="14" t="n">
        <v>2.41682017825605</v>
      </c>
      <c r="W213" s="13" t="n">
        <v>0.0158033362598771</v>
      </c>
      <c r="X213" s="15" t="n">
        <v>0.0198789974070872</v>
      </c>
      <c r="Y213" s="13" t="n">
        <v>0.00494242221791197</v>
      </c>
      <c r="Z213" s="13" t="n">
        <v>0.00487023482002402</v>
      </c>
      <c r="AA213" s="30" t="s">
        <v>97</v>
      </c>
      <c r="AB213" s="28" t="s">
        <v>93</v>
      </c>
      <c r="AC213" s="28" t="s">
        <v>100</v>
      </c>
      <c r="AD213" s="28" t="s">
        <v>107</v>
      </c>
      <c r="AE213" s="28" t="s">
        <v>113</v>
      </c>
      <c r="AF213" s="28" t="s">
        <v>117</v>
      </c>
      <c r="AG213" s="30" t="s">
        <v>122</v>
      </c>
    </row>
    <row r="214" customFormat="false" ht="15" hidden="false" customHeight="false" outlineLevel="0" collapsed="false">
      <c r="A214" s="10" t="n">
        <v>2024</v>
      </c>
      <c r="B214" s="28" t="s">
        <v>56</v>
      </c>
      <c r="C214" s="29" t="n">
        <v>45471</v>
      </c>
      <c r="D214" s="30" t="s">
        <v>129</v>
      </c>
      <c r="E214" s="28" t="s">
        <v>1171</v>
      </c>
      <c r="F214" s="28" t="s">
        <v>1172</v>
      </c>
      <c r="G214" s="31" t="n">
        <v>88288</v>
      </c>
      <c r="H214" s="31" t="n">
        <v>1</v>
      </c>
      <c r="I214" s="31" t="n">
        <v>88288</v>
      </c>
      <c r="J214" s="29" t="n">
        <v>45527</v>
      </c>
      <c r="K214" s="31" t="n">
        <v>106000</v>
      </c>
      <c r="L214" s="30" t="s">
        <v>31</v>
      </c>
      <c r="M214" s="10" t="n">
        <v>39</v>
      </c>
      <c r="N214" s="12" t="n">
        <v>17492</v>
      </c>
      <c r="O214" s="13" t="n">
        <v>0.198122249292658</v>
      </c>
      <c r="P214" s="15" t="n">
        <v>0.226664491970614</v>
      </c>
      <c r="Q214" s="13" t="n">
        <v>-0.029315355845968</v>
      </c>
      <c r="R214" s="15" t="n">
        <v>0.0267753201396974</v>
      </c>
      <c r="S214" s="32" t="n">
        <v>32329445400</v>
      </c>
      <c r="T214" s="15" t="n">
        <v>0.0161290322580645</v>
      </c>
      <c r="U214" s="32" t="n">
        <v>22631878440</v>
      </c>
      <c r="V214" s="14" t="n">
        <v>1.38829362148568</v>
      </c>
      <c r="W214" s="13" t="n">
        <v>0.0267753201396974</v>
      </c>
      <c r="X214" s="15" t="n">
        <v>0</v>
      </c>
      <c r="Y214" s="13" t="n">
        <v>0.00494242221791197</v>
      </c>
      <c r="Z214" s="13" t="n">
        <v>0.00487023482002402</v>
      </c>
      <c r="AA214" s="30" t="s">
        <v>97</v>
      </c>
      <c r="AB214" s="28" t="s">
        <v>93</v>
      </c>
      <c r="AC214" s="28" t="s">
        <v>99</v>
      </c>
      <c r="AD214" s="28" t="s">
        <v>107</v>
      </c>
      <c r="AE214" s="28" t="s">
        <v>112</v>
      </c>
      <c r="AF214" s="28" t="s">
        <v>116</v>
      </c>
      <c r="AG214" s="30" t="s">
        <v>122</v>
      </c>
    </row>
    <row r="215" customFormat="false" ht="15" hidden="false" customHeight="false" outlineLevel="0" collapsed="false">
      <c r="A215" s="10" t="n">
        <v>2024</v>
      </c>
      <c r="B215" s="28" t="s">
        <v>57</v>
      </c>
      <c r="C215" s="29" t="n">
        <v>45474</v>
      </c>
      <c r="D215" s="30" t="s">
        <v>125</v>
      </c>
      <c r="E215" s="28" t="s">
        <v>1235</v>
      </c>
      <c r="F215" s="30" t="s">
        <v>1236</v>
      </c>
      <c r="G215" s="31" t="n">
        <v>21672</v>
      </c>
      <c r="H215" s="31" t="n">
        <v>4</v>
      </c>
      <c r="I215" s="31" t="n">
        <v>86687</v>
      </c>
      <c r="J215" s="29" t="n">
        <v>45485</v>
      </c>
      <c r="K215" s="31" t="n">
        <v>20480</v>
      </c>
      <c r="L215" s="30" t="s">
        <v>32</v>
      </c>
      <c r="M215" s="10" t="n">
        <v>9</v>
      </c>
      <c r="N215" s="12" t="n">
        <v>-4941</v>
      </c>
      <c r="O215" s="13" t="n">
        <v>-0.0570023866433797</v>
      </c>
      <c r="P215" s="15" t="n">
        <v>0.160502315236726</v>
      </c>
      <c r="Q215" s="13" t="n">
        <v>-0.0932854674194166</v>
      </c>
      <c r="R215" s="15" t="n">
        <v>0.169638033495408</v>
      </c>
      <c r="S215" s="32" t="n">
        <v>137908724700</v>
      </c>
      <c r="T215" s="15" t="n">
        <v>0.0612745098039216</v>
      </c>
      <c r="U215" s="32" t="n">
        <v>11126457663</v>
      </c>
      <c r="V215" s="14" t="n">
        <v>11.0922548069421</v>
      </c>
      <c r="W215" s="13" t="n">
        <v>0.111396303901437</v>
      </c>
      <c r="X215" s="15" t="n">
        <v>0.0739030023094689</v>
      </c>
      <c r="Y215" s="13" t="n">
        <v>0.00231966316632226</v>
      </c>
      <c r="Z215" s="13" t="n">
        <v>0.0143160453281153</v>
      </c>
      <c r="AA215" s="30" t="s">
        <v>97</v>
      </c>
      <c r="AB215" s="28" t="s">
        <v>93</v>
      </c>
      <c r="AC215" s="28" t="s">
        <v>103</v>
      </c>
      <c r="AD215" s="28" t="s">
        <v>109</v>
      </c>
      <c r="AE215" s="28" t="s">
        <v>101</v>
      </c>
      <c r="AF215" s="28" t="s">
        <v>120</v>
      </c>
      <c r="AG215" s="30" t="s">
        <v>122</v>
      </c>
    </row>
    <row r="216" customFormat="false" ht="15" hidden="false" customHeight="false" outlineLevel="0" collapsed="false">
      <c r="A216" s="10" t="n">
        <v>2024</v>
      </c>
      <c r="B216" s="28" t="s">
        <v>57</v>
      </c>
      <c r="C216" s="29" t="n">
        <v>45474</v>
      </c>
      <c r="D216" s="30" t="s">
        <v>125</v>
      </c>
      <c r="E216" s="28" t="s">
        <v>591</v>
      </c>
      <c r="F216" s="30" t="s">
        <v>592</v>
      </c>
      <c r="G216" s="31" t="n">
        <v>9690</v>
      </c>
      <c r="H216" s="31" t="n">
        <v>10</v>
      </c>
      <c r="I216" s="31" t="n">
        <v>96897</v>
      </c>
      <c r="J216" s="29" t="n">
        <v>45499</v>
      </c>
      <c r="K216" s="31" t="n">
        <v>11630</v>
      </c>
      <c r="L216" s="30" t="s">
        <v>31</v>
      </c>
      <c r="M216" s="10" t="n">
        <v>19</v>
      </c>
      <c r="N216" s="12" t="n">
        <v>19162</v>
      </c>
      <c r="O216" s="13" t="n">
        <v>0.197755555188613</v>
      </c>
      <c r="P216" s="15" t="n">
        <v>0.267327713608706</v>
      </c>
      <c r="Q216" s="13" t="n">
        <v>-0.0412480081901568</v>
      </c>
      <c r="R216" s="15" t="n">
        <v>0.0352941176470589</v>
      </c>
      <c r="S216" s="32" t="n">
        <v>116128491600</v>
      </c>
      <c r="T216" s="15" t="n">
        <v>0.0083333333333333</v>
      </c>
      <c r="U216" s="32" t="n">
        <v>63659892793</v>
      </c>
      <c r="V216" s="14" t="n">
        <v>1.73711643836212</v>
      </c>
      <c r="W216" s="13" t="n">
        <v>0.033084311632871</v>
      </c>
      <c r="X216" s="15" t="n">
        <v>0.0196280991735538</v>
      </c>
      <c r="Y216" s="13" t="n">
        <v>0.00231966316632226</v>
      </c>
      <c r="Z216" s="13" t="n">
        <v>0.0143160453281153</v>
      </c>
      <c r="AA216" s="30" t="s">
        <v>97</v>
      </c>
      <c r="AB216" s="28" t="s">
        <v>93</v>
      </c>
      <c r="AC216" s="28" t="s">
        <v>100</v>
      </c>
      <c r="AD216" s="28" t="s">
        <v>109</v>
      </c>
      <c r="AE216" s="28" t="s">
        <v>112</v>
      </c>
      <c r="AF216" s="28" t="s">
        <v>116</v>
      </c>
      <c r="AG216" s="30" t="s">
        <v>122</v>
      </c>
    </row>
    <row r="217" customFormat="false" ht="15" hidden="false" customHeight="false" outlineLevel="0" collapsed="false">
      <c r="A217" s="10" t="n">
        <v>2024</v>
      </c>
      <c r="B217" s="28" t="s">
        <v>57</v>
      </c>
      <c r="C217" s="29" t="n">
        <v>45474</v>
      </c>
      <c r="D217" s="30" t="s">
        <v>125</v>
      </c>
      <c r="E217" s="28" t="s">
        <v>1125</v>
      </c>
      <c r="F217" s="30" t="s">
        <v>1126</v>
      </c>
      <c r="G217" s="31" t="n">
        <v>65365</v>
      </c>
      <c r="H217" s="31" t="n">
        <v>1</v>
      </c>
      <c r="I217" s="31" t="n">
        <v>65365</v>
      </c>
      <c r="J217" s="29" t="n">
        <v>45475</v>
      </c>
      <c r="K217" s="31" t="n">
        <v>62138</v>
      </c>
      <c r="L217" s="30" t="s">
        <v>32</v>
      </c>
      <c r="M217" s="10" t="n">
        <v>1</v>
      </c>
      <c r="N217" s="12" t="n">
        <v>-3358</v>
      </c>
      <c r="O217" s="13" t="n">
        <v>-0.0513800671763152</v>
      </c>
      <c r="P217" s="15" t="n">
        <v>0.0265385456809653</v>
      </c>
      <c r="Q217" s="13" t="n">
        <v>-0.0637234128811464</v>
      </c>
      <c r="R217" s="15" t="n">
        <v>0.0315955766192733</v>
      </c>
      <c r="S217" s="32" t="n">
        <v>39228779100</v>
      </c>
      <c r="T217" s="15" t="n">
        <v>0.0139751552795031</v>
      </c>
      <c r="U217" s="32" t="n">
        <v>34097111370</v>
      </c>
      <c r="V217" s="14" t="n">
        <v>1.08057233656251</v>
      </c>
      <c r="W217" s="13" t="n">
        <v>0.0283464566929135</v>
      </c>
      <c r="X217" s="15" t="n">
        <v>0.0290964777947933</v>
      </c>
      <c r="Y217" s="13" t="n">
        <v>0.00231966316632226</v>
      </c>
      <c r="Z217" s="13" t="n">
        <v>0.0143160453281153</v>
      </c>
      <c r="AA217" s="30" t="s">
        <v>97</v>
      </c>
      <c r="AB217" s="28" t="s">
        <v>93</v>
      </c>
      <c r="AC217" s="28" t="s">
        <v>100</v>
      </c>
      <c r="AD217" s="28" t="s">
        <v>107</v>
      </c>
      <c r="AE217" s="28" t="s">
        <v>112</v>
      </c>
      <c r="AF217" s="28" t="s">
        <v>116</v>
      </c>
      <c r="AG217" s="30" t="s">
        <v>122</v>
      </c>
    </row>
    <row r="218" customFormat="false" ht="15" hidden="false" customHeight="false" outlineLevel="0" collapsed="false">
      <c r="A218" s="10" t="n">
        <v>2024</v>
      </c>
      <c r="B218" s="28" t="s">
        <v>57</v>
      </c>
      <c r="C218" s="29" t="n">
        <v>45474</v>
      </c>
      <c r="D218" s="30" t="s">
        <v>125</v>
      </c>
      <c r="E218" s="28" t="s">
        <v>1159</v>
      </c>
      <c r="F218" s="28" t="s">
        <v>1160</v>
      </c>
      <c r="G218" s="31" t="n">
        <v>58859</v>
      </c>
      <c r="H218" s="31" t="n">
        <v>1</v>
      </c>
      <c r="I218" s="31" t="n">
        <v>58859</v>
      </c>
      <c r="J218" s="29" t="n">
        <v>45476</v>
      </c>
      <c r="K218" s="31" t="n">
        <v>55944</v>
      </c>
      <c r="L218" s="30" t="s">
        <v>32</v>
      </c>
      <c r="M218" s="10" t="n">
        <v>2</v>
      </c>
      <c r="N218" s="12" t="n">
        <v>-3033</v>
      </c>
      <c r="O218" s="13" t="n">
        <v>-0.0515253389467675</v>
      </c>
      <c r="P218" s="15" t="n">
        <v>0.0108938680367252</v>
      </c>
      <c r="Q218" s="13" t="n">
        <v>-0.0638613087592679</v>
      </c>
      <c r="R218" s="15" t="n">
        <v>0.0690909090909091</v>
      </c>
      <c r="S218" s="32" t="n">
        <v>22782412800</v>
      </c>
      <c r="T218" s="15" t="n">
        <v>0.0315789473684212</v>
      </c>
      <c r="U218" s="32" t="n">
        <v>4600428105</v>
      </c>
      <c r="V218" s="14" t="n">
        <v>4.70085801917925</v>
      </c>
      <c r="W218" s="13" t="n">
        <v>0.0575539568345325</v>
      </c>
      <c r="X218" s="15" t="n">
        <v>0.00680272108843538</v>
      </c>
      <c r="Y218" s="13" t="n">
        <v>0.00231966316632226</v>
      </c>
      <c r="Z218" s="13" t="n">
        <v>0.0143160453281153</v>
      </c>
      <c r="AA218" s="30" t="s">
        <v>97</v>
      </c>
      <c r="AB218" s="28" t="s">
        <v>93</v>
      </c>
      <c r="AC218" s="28" t="s">
        <v>101</v>
      </c>
      <c r="AD218" s="28" t="s">
        <v>106</v>
      </c>
      <c r="AE218" s="28" t="s">
        <v>113</v>
      </c>
      <c r="AF218" s="28" t="s">
        <v>118</v>
      </c>
      <c r="AG218" s="30" t="s">
        <v>122</v>
      </c>
    </row>
    <row r="219" customFormat="false" ht="15" hidden="false" customHeight="false" outlineLevel="0" collapsed="false">
      <c r="A219" s="10" t="n">
        <v>2024</v>
      </c>
      <c r="B219" s="28" t="s">
        <v>57</v>
      </c>
      <c r="C219" s="29" t="n">
        <v>45475</v>
      </c>
      <c r="D219" s="30" t="s">
        <v>126</v>
      </c>
      <c r="E219" s="28" t="s">
        <v>1317</v>
      </c>
      <c r="F219" s="30" t="s">
        <v>1318</v>
      </c>
      <c r="G219" s="31" t="n">
        <v>14050</v>
      </c>
      <c r="H219" s="31" t="n">
        <v>7</v>
      </c>
      <c r="I219" s="31" t="n">
        <v>98350</v>
      </c>
      <c r="J219" s="29" t="n">
        <v>45476</v>
      </c>
      <c r="K219" s="31" t="n">
        <v>13367</v>
      </c>
      <c r="L219" s="30" t="s">
        <v>32</v>
      </c>
      <c r="M219" s="10" t="n">
        <v>1</v>
      </c>
      <c r="N219" s="12" t="n">
        <v>-4981</v>
      </c>
      <c r="O219" s="13" t="n">
        <v>-0.0506467324638883</v>
      </c>
      <c r="P219" s="15" t="n">
        <v>0.044932079414838</v>
      </c>
      <c r="Q219" s="13" t="n">
        <v>-0.0509490509490509</v>
      </c>
      <c r="R219" s="15" t="n">
        <v>0.0740740740740742</v>
      </c>
      <c r="S219" s="32" t="n">
        <v>43566468000</v>
      </c>
      <c r="T219" s="15" t="n">
        <v>0.0707692307692309</v>
      </c>
      <c r="U219" s="32" t="n">
        <v>9719220931</v>
      </c>
      <c r="V219" s="14" t="n">
        <v>3.86842425852511</v>
      </c>
      <c r="W219" s="13" t="n">
        <v>0.0507246376811594</v>
      </c>
      <c r="X219" s="15" t="n">
        <v>0.0201149425287355</v>
      </c>
      <c r="Y219" s="13" t="n">
        <v>-0.00836212829537386</v>
      </c>
      <c r="Z219" s="13" t="n">
        <v>0.00233204416105881</v>
      </c>
      <c r="AA219" s="30" t="s">
        <v>97</v>
      </c>
      <c r="AB219" s="28" t="s">
        <v>93</v>
      </c>
      <c r="AC219" s="28" t="s">
        <v>101</v>
      </c>
      <c r="AD219" s="28" t="s">
        <v>107</v>
      </c>
      <c r="AE219" s="28" t="s">
        <v>101</v>
      </c>
      <c r="AF219" s="28" t="s">
        <v>118</v>
      </c>
      <c r="AG219" s="30" t="s">
        <v>122</v>
      </c>
    </row>
    <row r="220" customFormat="false" ht="15" hidden="false" customHeight="false" outlineLevel="0" collapsed="false">
      <c r="A220" s="10" t="n">
        <v>2024</v>
      </c>
      <c r="B220" s="28" t="s">
        <v>57</v>
      </c>
      <c r="C220" s="29" t="n">
        <v>45476</v>
      </c>
      <c r="D220" s="30" t="s">
        <v>127</v>
      </c>
      <c r="E220" s="28" t="s">
        <v>597</v>
      </c>
      <c r="F220" s="30" t="s">
        <v>598</v>
      </c>
      <c r="G220" s="31" t="n">
        <v>34084</v>
      </c>
      <c r="H220" s="31" t="n">
        <v>2</v>
      </c>
      <c r="I220" s="31" t="n">
        <v>68168</v>
      </c>
      <c r="J220" s="29" t="n">
        <v>45478</v>
      </c>
      <c r="K220" s="31" t="n">
        <v>32418</v>
      </c>
      <c r="L220" s="30" t="s">
        <v>32</v>
      </c>
      <c r="M220" s="10" t="n">
        <v>2</v>
      </c>
      <c r="N220" s="12" t="n">
        <v>-3470</v>
      </c>
      <c r="O220" s="13" t="n">
        <v>-0.0508984944570848</v>
      </c>
      <c r="P220" s="15" t="n">
        <v>0.043009853582541</v>
      </c>
      <c r="Q220" s="13" t="n">
        <v>-0.0846158247039304</v>
      </c>
      <c r="R220" s="15" t="n">
        <v>0.170103092783505</v>
      </c>
      <c r="S220" s="32" t="n">
        <v>159964073850</v>
      </c>
      <c r="T220" s="15" t="n">
        <v>0.109120521172639</v>
      </c>
      <c r="U220" s="32" t="n">
        <v>22164738375</v>
      </c>
      <c r="V220" s="14" t="n">
        <v>6.16191659715588</v>
      </c>
      <c r="W220" s="13" t="n">
        <v>0.0983870967741936</v>
      </c>
      <c r="X220" s="15" t="n">
        <v>0</v>
      </c>
      <c r="Y220" s="13" t="n">
        <v>0.0047287529756983</v>
      </c>
      <c r="Z220" s="13" t="n">
        <v>0.000701993159148318</v>
      </c>
      <c r="AA220" s="30" t="s">
        <v>97</v>
      </c>
      <c r="AB220" s="28" t="s">
        <v>93</v>
      </c>
      <c r="AC220" s="28" t="s">
        <v>103</v>
      </c>
      <c r="AD220" s="28" t="s">
        <v>109</v>
      </c>
      <c r="AE220" s="28" t="s">
        <v>114</v>
      </c>
      <c r="AF220" s="28" t="s">
        <v>119</v>
      </c>
      <c r="AG220" s="30" t="s">
        <v>122</v>
      </c>
    </row>
    <row r="221" customFormat="false" ht="15" hidden="false" customHeight="false" outlineLevel="0" collapsed="false">
      <c r="A221" s="10" t="n">
        <v>2024</v>
      </c>
      <c r="B221" s="28" t="s">
        <v>57</v>
      </c>
      <c r="C221" s="29" t="n">
        <v>45476</v>
      </c>
      <c r="D221" s="30" t="s">
        <v>127</v>
      </c>
      <c r="E221" s="28" t="s">
        <v>289</v>
      </c>
      <c r="F221" s="30" t="s">
        <v>290</v>
      </c>
      <c r="G221" s="31" t="n">
        <v>26927</v>
      </c>
      <c r="H221" s="31" t="n">
        <v>3</v>
      </c>
      <c r="I221" s="31" t="n">
        <v>80781</v>
      </c>
      <c r="J221" s="29" t="n">
        <v>45504</v>
      </c>
      <c r="K221" s="31" t="n">
        <v>32350</v>
      </c>
      <c r="L221" s="30" t="s">
        <v>31</v>
      </c>
      <c r="M221" s="10" t="n">
        <v>20</v>
      </c>
      <c r="N221" s="12" t="n">
        <v>16068</v>
      </c>
      <c r="O221" s="13" t="n">
        <v>0.198908098035793</v>
      </c>
      <c r="P221" s="15" t="n">
        <v>0.201400829653618</v>
      </c>
      <c r="Q221" s="13" t="n">
        <v>-0.0269953095231905</v>
      </c>
      <c r="R221" s="15" t="n">
        <v>0.113871635610766</v>
      </c>
      <c r="S221" s="32" t="n">
        <v>106459440000</v>
      </c>
      <c r="T221" s="15" t="n">
        <v>0.0738522954091816</v>
      </c>
      <c r="U221" s="32" t="n">
        <v>14228590982.5</v>
      </c>
      <c r="V221" s="14" t="n">
        <v>6.48066150694048</v>
      </c>
      <c r="W221" s="13" t="n">
        <v>0.0760000000000001</v>
      </c>
      <c r="X221" s="15" t="n">
        <v>0.0148698884758365</v>
      </c>
      <c r="Y221" s="13" t="n">
        <v>0.0047287529756983</v>
      </c>
      <c r="Z221" s="13" t="n">
        <v>0.000701993159148318</v>
      </c>
      <c r="AA221" s="30" t="s">
        <v>97</v>
      </c>
      <c r="AB221" s="28" t="s">
        <v>93</v>
      </c>
      <c r="AC221" s="28" t="s">
        <v>102</v>
      </c>
      <c r="AD221" s="28" t="s">
        <v>109</v>
      </c>
      <c r="AE221" s="28" t="s">
        <v>101</v>
      </c>
      <c r="AF221" s="28" t="s">
        <v>119</v>
      </c>
      <c r="AG221" s="30" t="s">
        <v>122</v>
      </c>
    </row>
    <row r="222" customFormat="false" ht="15" hidden="false" customHeight="false" outlineLevel="0" collapsed="false">
      <c r="A222" s="10" t="n">
        <v>2024</v>
      </c>
      <c r="B222" s="28" t="s">
        <v>57</v>
      </c>
      <c r="C222" s="29" t="n">
        <v>45476</v>
      </c>
      <c r="D222" s="30" t="s">
        <v>127</v>
      </c>
      <c r="E222" s="28" t="s">
        <v>637</v>
      </c>
      <c r="F222" s="28" t="s">
        <v>638</v>
      </c>
      <c r="G222" s="31" t="n">
        <v>7986</v>
      </c>
      <c r="H222" s="31" t="n">
        <v>12</v>
      </c>
      <c r="I222" s="31" t="n">
        <v>95836</v>
      </c>
      <c r="J222" s="29" t="n">
        <v>45477</v>
      </c>
      <c r="K222" s="31" t="n">
        <v>7602</v>
      </c>
      <c r="L222" s="30" t="s">
        <v>32</v>
      </c>
      <c r="M222" s="10" t="n">
        <v>1</v>
      </c>
      <c r="N222" s="12" t="n">
        <v>-4800</v>
      </c>
      <c r="O222" s="13" t="n">
        <v>-0.0500817829545252</v>
      </c>
      <c r="P222" s="15" t="n">
        <v>0.0308235564208261</v>
      </c>
      <c r="Q222" s="13" t="n">
        <v>-0.0498693570365923</v>
      </c>
      <c r="R222" s="15" t="n">
        <v>0.273913043478261</v>
      </c>
      <c r="S222" s="32" t="n">
        <v>66505509180</v>
      </c>
      <c r="T222" s="15" t="n">
        <v>0.168882978723404</v>
      </c>
      <c r="U222" s="32" t="n">
        <v>4886830049.5</v>
      </c>
      <c r="V222" s="14" t="n">
        <v>11.0095686385899</v>
      </c>
      <c r="W222" s="13" t="n">
        <v>0.0851851851851853</v>
      </c>
      <c r="X222" s="15" t="n">
        <v>0.0204778156996588</v>
      </c>
      <c r="Y222" s="13" t="n">
        <v>0.0047287529756983</v>
      </c>
      <c r="Z222" s="13" t="n">
        <v>0.000701993159148318</v>
      </c>
      <c r="AA222" s="30" t="s">
        <v>97</v>
      </c>
      <c r="AB222" s="28" t="s">
        <v>93</v>
      </c>
      <c r="AC222" s="28" t="s">
        <v>104</v>
      </c>
      <c r="AD222" s="28" t="s">
        <v>108</v>
      </c>
      <c r="AE222" s="28" t="s">
        <v>114</v>
      </c>
      <c r="AF222" s="28" t="s">
        <v>120</v>
      </c>
      <c r="AG222" s="30" t="s">
        <v>122</v>
      </c>
    </row>
    <row r="223" customFormat="false" ht="15" hidden="false" customHeight="false" outlineLevel="0" collapsed="false">
      <c r="A223" s="10" t="n">
        <v>2024</v>
      </c>
      <c r="B223" s="28" t="s">
        <v>57</v>
      </c>
      <c r="C223" s="29" t="n">
        <v>45477</v>
      </c>
      <c r="D223" s="30" t="s">
        <v>128</v>
      </c>
      <c r="E223" s="28" t="s">
        <v>349</v>
      </c>
      <c r="F223" s="30" t="s">
        <v>350</v>
      </c>
      <c r="G223" s="31" t="n">
        <v>33233</v>
      </c>
      <c r="H223" s="31" t="n">
        <v>2</v>
      </c>
      <c r="I223" s="31" t="n">
        <v>66466</v>
      </c>
      <c r="J223" s="29" t="n">
        <v>45495</v>
      </c>
      <c r="K223" s="31" t="n">
        <v>31618</v>
      </c>
      <c r="L223" s="30" t="s">
        <v>32</v>
      </c>
      <c r="M223" s="10" t="n">
        <v>12</v>
      </c>
      <c r="N223" s="12" t="n">
        <v>-3363</v>
      </c>
      <c r="O223" s="13" t="n">
        <v>-0.0505967154080859</v>
      </c>
      <c r="P223" s="15" t="n">
        <v>0.0351094688444087</v>
      </c>
      <c r="Q223" s="13" t="n">
        <v>-0.0491436274568804</v>
      </c>
      <c r="R223" s="15" t="n">
        <v>0.0658105939004816</v>
      </c>
      <c r="S223" s="32" t="n">
        <v>42144843600</v>
      </c>
      <c r="T223" s="15" t="n">
        <v>0.0215384615384615</v>
      </c>
      <c r="U223" s="32" t="n">
        <v>3135841675</v>
      </c>
      <c r="V223" s="14" t="n">
        <v>12.8068082479032</v>
      </c>
      <c r="W223" s="13" t="n">
        <v>-0.0306569343065694</v>
      </c>
      <c r="X223" s="15" t="n">
        <v>0.0677710843373494</v>
      </c>
      <c r="Y223" s="13" t="n">
        <v>0.0110701107011069</v>
      </c>
      <c r="Z223" s="13" t="n">
        <v>0.0146835915892618</v>
      </c>
      <c r="AA223" s="30" t="s">
        <v>97</v>
      </c>
      <c r="AB223" s="28" t="s">
        <v>93</v>
      </c>
      <c r="AC223" s="28" t="s">
        <v>101</v>
      </c>
      <c r="AD223" s="28" t="s">
        <v>107</v>
      </c>
      <c r="AE223" s="28" t="s">
        <v>113</v>
      </c>
      <c r="AF223" s="28" t="s">
        <v>120</v>
      </c>
      <c r="AG223" s="30" t="s">
        <v>123</v>
      </c>
    </row>
    <row r="224" customFormat="false" ht="15" hidden="false" customHeight="false" outlineLevel="0" collapsed="false">
      <c r="A224" s="10" t="n">
        <v>2024</v>
      </c>
      <c r="B224" s="28" t="s">
        <v>57</v>
      </c>
      <c r="C224" s="29" t="n">
        <v>45477</v>
      </c>
      <c r="D224" s="30" t="s">
        <v>128</v>
      </c>
      <c r="E224" s="28" t="s">
        <v>971</v>
      </c>
      <c r="F224" s="30" t="s">
        <v>972</v>
      </c>
      <c r="G224" s="31" t="n">
        <v>26627</v>
      </c>
      <c r="H224" s="31" t="n">
        <v>3</v>
      </c>
      <c r="I224" s="31" t="n">
        <v>79880</v>
      </c>
      <c r="J224" s="29" t="n">
        <v>45483</v>
      </c>
      <c r="K224" s="31" t="n">
        <v>25325</v>
      </c>
      <c r="L224" s="30" t="s">
        <v>32</v>
      </c>
      <c r="M224" s="10" t="n">
        <v>4</v>
      </c>
      <c r="N224" s="12" t="n">
        <v>-4066</v>
      </c>
      <c r="O224" s="13" t="n">
        <v>-0.0509012437750218</v>
      </c>
      <c r="P224" s="15" t="n">
        <v>0.0328017846814841</v>
      </c>
      <c r="Q224" s="13" t="n">
        <v>-0.0573336437998092</v>
      </c>
      <c r="R224" s="15" t="n">
        <v>0.200902934537246</v>
      </c>
      <c r="S224" s="32" t="n">
        <v>24783565800</v>
      </c>
      <c r="T224" s="15" t="n">
        <v>0.023076923076923</v>
      </c>
      <c r="U224" s="32" t="n">
        <v>3035190167.5</v>
      </c>
      <c r="V224" s="14" t="n">
        <v>7.47210929962684</v>
      </c>
      <c r="W224" s="13" t="n">
        <v>0.182222222222222</v>
      </c>
      <c r="X224" s="15" t="n">
        <v>0.0169172932330828</v>
      </c>
      <c r="Y224" s="13" t="n">
        <v>0.0110701107011069</v>
      </c>
      <c r="Z224" s="13" t="n">
        <v>0.0146835915892618</v>
      </c>
      <c r="AA224" s="30" t="s">
        <v>97</v>
      </c>
      <c r="AB224" s="28" t="s">
        <v>93</v>
      </c>
      <c r="AC224" s="28" t="s">
        <v>104</v>
      </c>
      <c r="AD224" s="28" t="s">
        <v>106</v>
      </c>
      <c r="AE224" s="28" t="s">
        <v>113</v>
      </c>
      <c r="AF224" s="28" t="s">
        <v>119</v>
      </c>
      <c r="AG224" s="30" t="s">
        <v>122</v>
      </c>
    </row>
    <row r="225" customFormat="false" ht="15" hidden="false" customHeight="false" outlineLevel="0" collapsed="false">
      <c r="A225" s="10" t="n">
        <v>2024</v>
      </c>
      <c r="B225" s="28" t="s">
        <v>57</v>
      </c>
      <c r="C225" s="29" t="n">
        <v>45478</v>
      </c>
      <c r="D225" s="30" t="s">
        <v>129</v>
      </c>
      <c r="E225" s="28" t="s">
        <v>741</v>
      </c>
      <c r="F225" s="30" t="s">
        <v>742</v>
      </c>
      <c r="G225" s="31" t="n">
        <v>8617</v>
      </c>
      <c r="H225" s="31" t="n">
        <v>11</v>
      </c>
      <c r="I225" s="31" t="n">
        <v>94790</v>
      </c>
      <c r="J225" s="29" t="n">
        <v>45484</v>
      </c>
      <c r="K225" s="31" t="n">
        <v>8202</v>
      </c>
      <c r="L225" s="30" t="s">
        <v>32</v>
      </c>
      <c r="M225" s="10" t="n">
        <v>4</v>
      </c>
      <c r="N225" s="12" t="n">
        <v>-4760</v>
      </c>
      <c r="O225" s="13" t="n">
        <v>-0.0502187872237386</v>
      </c>
      <c r="P225" s="15" t="n">
        <v>0.115163905861581</v>
      </c>
      <c r="Q225" s="13" t="n">
        <v>-0.0590804544292914</v>
      </c>
      <c r="R225" s="15" t="n">
        <v>0.204903677758319</v>
      </c>
      <c r="S225" s="32" t="n">
        <v>63783276000</v>
      </c>
      <c r="T225" s="15" t="n">
        <v>0.085173501577287</v>
      </c>
      <c r="U225" s="32" t="n">
        <v>7516688797.5</v>
      </c>
      <c r="V225" s="14" t="n">
        <v>7.32548409476294</v>
      </c>
      <c r="W225" s="13" t="n">
        <v>0.188255613126079</v>
      </c>
      <c r="X225" s="15" t="n">
        <v>0.0276162790697676</v>
      </c>
      <c r="Y225" s="13" t="n">
        <v>0.0132002803599369</v>
      </c>
      <c r="Z225" s="13" t="n">
        <v>0.0230214953070604</v>
      </c>
      <c r="AA225" s="30" t="s">
        <v>97</v>
      </c>
      <c r="AB225" s="28" t="s">
        <v>93</v>
      </c>
      <c r="AC225" s="28" t="s">
        <v>104</v>
      </c>
      <c r="AD225" s="28" t="s">
        <v>108</v>
      </c>
      <c r="AE225" s="28" t="s">
        <v>101</v>
      </c>
      <c r="AF225" s="28" t="s">
        <v>119</v>
      </c>
      <c r="AG225" s="30" t="s">
        <v>122</v>
      </c>
    </row>
    <row r="226" customFormat="false" ht="15" hidden="false" customHeight="false" outlineLevel="0" collapsed="false">
      <c r="A226" s="10" t="n">
        <v>2024</v>
      </c>
      <c r="B226" s="28" t="s">
        <v>57</v>
      </c>
      <c r="C226" s="29" t="n">
        <v>45481</v>
      </c>
      <c r="D226" s="30" t="s">
        <v>125</v>
      </c>
      <c r="E226" s="28" t="s">
        <v>1231</v>
      </c>
      <c r="F226" s="30" t="s">
        <v>1232</v>
      </c>
      <c r="G226" s="31" t="n">
        <v>38438</v>
      </c>
      <c r="H226" s="31" t="n">
        <v>2</v>
      </c>
      <c r="I226" s="31" t="n">
        <v>76877</v>
      </c>
      <c r="J226" s="29" t="n">
        <v>45482</v>
      </c>
      <c r="K226" s="31" t="n">
        <v>36563</v>
      </c>
      <c r="L226" s="30" t="s">
        <v>32</v>
      </c>
      <c r="M226" s="10" t="n">
        <v>1</v>
      </c>
      <c r="N226" s="12" t="n">
        <v>-3904</v>
      </c>
      <c r="O226" s="13" t="n">
        <v>-0.0507842259303195</v>
      </c>
      <c r="P226" s="15" t="n">
        <v>0.0172119547119549</v>
      </c>
      <c r="Q226" s="13" t="n">
        <v>-0.101159257409257</v>
      </c>
      <c r="R226" s="15" t="n">
        <v>0.269421487603306</v>
      </c>
      <c r="S226" s="32" t="n">
        <v>193253644800</v>
      </c>
      <c r="T226" s="15" t="n">
        <v>0.252854812398042</v>
      </c>
      <c r="U226" s="32" t="n">
        <v>6993720432.5</v>
      </c>
      <c r="V226" s="14" t="n">
        <v>21.1713994001928</v>
      </c>
      <c r="W226" s="13" t="n">
        <v>0.226837060702875</v>
      </c>
      <c r="X226" s="15" t="n">
        <v>0.01171875</v>
      </c>
      <c r="Y226" s="13" t="n">
        <v>-0.00156171935868177</v>
      </c>
      <c r="Z226" s="13" t="n">
        <v>0.019059947010138</v>
      </c>
      <c r="AA226" s="30" t="s">
        <v>97</v>
      </c>
      <c r="AB226" s="28" t="s">
        <v>93</v>
      </c>
      <c r="AC226" s="28" t="s">
        <v>104</v>
      </c>
      <c r="AD226" s="28" t="s">
        <v>109</v>
      </c>
      <c r="AE226" s="28" t="s">
        <v>114</v>
      </c>
      <c r="AF226" s="28" t="s">
        <v>120</v>
      </c>
      <c r="AG226" s="30" t="s">
        <v>122</v>
      </c>
    </row>
    <row r="227" customFormat="false" ht="15" hidden="false" customHeight="false" outlineLevel="0" collapsed="false">
      <c r="A227" s="10" t="n">
        <v>2024</v>
      </c>
      <c r="B227" s="28" t="s">
        <v>57</v>
      </c>
      <c r="C227" s="29" t="n">
        <v>45481</v>
      </c>
      <c r="D227" s="30" t="s">
        <v>125</v>
      </c>
      <c r="E227" s="28" t="s">
        <v>1319</v>
      </c>
      <c r="F227" s="28" t="s">
        <v>1320</v>
      </c>
      <c r="G227" s="31" t="n">
        <v>17308</v>
      </c>
      <c r="H227" s="31" t="n">
        <v>5</v>
      </c>
      <c r="I227" s="31" t="n">
        <v>86538</v>
      </c>
      <c r="J227" s="29" t="n">
        <v>45484</v>
      </c>
      <c r="K227" s="31" t="n">
        <v>20800</v>
      </c>
      <c r="L227" s="30" t="s">
        <v>31</v>
      </c>
      <c r="M227" s="10" t="n">
        <v>3</v>
      </c>
      <c r="N227" s="12" t="n">
        <v>17247</v>
      </c>
      <c r="O227" s="13" t="n">
        <v>0.199297341600545</v>
      </c>
      <c r="P227" s="15" t="n">
        <v>0.260161158638316</v>
      </c>
      <c r="Q227" s="13" t="n">
        <v>-0.0385249268497999</v>
      </c>
      <c r="R227" s="15" t="n">
        <v>0.142691415313225</v>
      </c>
      <c r="S227" s="32" t="n">
        <v>90417464300</v>
      </c>
      <c r="T227" s="15" t="n">
        <v>0.0700706137968497</v>
      </c>
      <c r="U227" s="32" t="n">
        <v>15207513837</v>
      </c>
      <c r="V227" s="14" t="n">
        <v>5.38173336076348</v>
      </c>
      <c r="W227" s="13" t="n">
        <v>0.145348837209302</v>
      </c>
      <c r="X227" s="15" t="n">
        <v>0.0131979695431472</v>
      </c>
      <c r="Y227" s="13" t="n">
        <v>-0.00156171935868177</v>
      </c>
      <c r="Z227" s="13" t="n">
        <v>0.019059947010138</v>
      </c>
      <c r="AA227" s="30" t="s">
        <v>97</v>
      </c>
      <c r="AB227" s="28" t="s">
        <v>93</v>
      </c>
      <c r="AC227" s="28" t="s">
        <v>102</v>
      </c>
      <c r="AD227" s="28" t="s">
        <v>108</v>
      </c>
      <c r="AE227" s="28" t="s">
        <v>101</v>
      </c>
      <c r="AF227" s="28" t="s">
        <v>119</v>
      </c>
      <c r="AG227" s="30" t="s">
        <v>122</v>
      </c>
    </row>
    <row r="228" customFormat="false" ht="15" hidden="false" customHeight="false" outlineLevel="0" collapsed="false">
      <c r="A228" s="10" t="n">
        <v>2024</v>
      </c>
      <c r="B228" s="28" t="s">
        <v>57</v>
      </c>
      <c r="C228" s="29" t="n">
        <v>45481</v>
      </c>
      <c r="D228" s="30" t="s">
        <v>125</v>
      </c>
      <c r="E228" s="28" t="s">
        <v>743</v>
      </c>
      <c r="F228" s="30" t="s">
        <v>744</v>
      </c>
      <c r="G228" s="31" t="n">
        <v>71972</v>
      </c>
      <c r="H228" s="31" t="n">
        <v>1</v>
      </c>
      <c r="I228" s="31" t="n">
        <v>71972</v>
      </c>
      <c r="J228" s="29" t="n">
        <v>45491</v>
      </c>
      <c r="K228" s="31" t="n">
        <v>95000</v>
      </c>
      <c r="L228" s="30" t="s">
        <v>31</v>
      </c>
      <c r="M228" s="10" t="n">
        <v>8</v>
      </c>
      <c r="N228" s="12" t="n">
        <v>22832</v>
      </c>
      <c r="O228" s="13" t="n">
        <v>0.317235674131154</v>
      </c>
      <c r="P228" s="15" t="n">
        <v>0.363031961084812</v>
      </c>
      <c r="Q228" s="13" t="n">
        <v>-0.0315664863648173</v>
      </c>
      <c r="R228" s="15" t="n">
        <v>0.0604719764011799</v>
      </c>
      <c r="S228" s="32" t="n">
        <v>34597992400</v>
      </c>
      <c r="T228" s="15" t="n">
        <v>0.00983146067415741</v>
      </c>
      <c r="U228" s="32" t="n">
        <v>8441903075</v>
      </c>
      <c r="V228" s="14" t="n">
        <v>3.9469438408873</v>
      </c>
      <c r="W228" s="13" t="n">
        <v>0.0390173410404624</v>
      </c>
      <c r="X228" s="15" t="n">
        <v>0.0139082058414464</v>
      </c>
      <c r="Y228" s="13" t="n">
        <v>-0.00156171935868177</v>
      </c>
      <c r="Z228" s="13" t="n">
        <v>0.019059947010138</v>
      </c>
      <c r="AA228" s="30" t="s">
        <v>97</v>
      </c>
      <c r="AB228" s="28" t="s">
        <v>93</v>
      </c>
      <c r="AC228" s="28" t="s">
        <v>101</v>
      </c>
      <c r="AD228" s="28" t="s">
        <v>107</v>
      </c>
      <c r="AE228" s="28" t="s">
        <v>112</v>
      </c>
      <c r="AF228" s="28" t="s">
        <v>118</v>
      </c>
      <c r="AG228" s="30" t="s">
        <v>122</v>
      </c>
    </row>
    <row r="229" customFormat="false" ht="15" hidden="false" customHeight="false" outlineLevel="0" collapsed="false">
      <c r="A229" s="10" t="n">
        <v>2024</v>
      </c>
      <c r="B229" s="28" t="s">
        <v>57</v>
      </c>
      <c r="C229" s="29" t="n">
        <v>45481</v>
      </c>
      <c r="D229" s="30" t="s">
        <v>125</v>
      </c>
      <c r="E229" s="28" t="s">
        <v>419</v>
      </c>
      <c r="F229" s="30" t="s">
        <v>420</v>
      </c>
      <c r="G229" s="31" t="n">
        <v>16486</v>
      </c>
      <c r="H229" s="31" t="n">
        <v>6</v>
      </c>
      <c r="I229" s="31" t="n">
        <v>98919</v>
      </c>
      <c r="J229" s="29" t="n">
        <v>45482</v>
      </c>
      <c r="K229" s="31" t="n">
        <v>15694</v>
      </c>
      <c r="L229" s="30" t="s">
        <v>32</v>
      </c>
      <c r="M229" s="10" t="n">
        <v>1</v>
      </c>
      <c r="N229" s="12" t="n">
        <v>-4952</v>
      </c>
      <c r="O229" s="13" t="n">
        <v>-0.0500566122402187</v>
      </c>
      <c r="P229" s="15" t="n">
        <v>-0.00767113881867965</v>
      </c>
      <c r="Q229" s="13" t="n">
        <v>-0.0568023354908599</v>
      </c>
      <c r="R229" s="15" t="n">
        <v>0.0660194174757283</v>
      </c>
      <c r="S229" s="32" t="n">
        <v>25131918870</v>
      </c>
      <c r="T229" s="15" t="n">
        <v>0.0242537313432836</v>
      </c>
      <c r="U229" s="32" t="n">
        <v>5726926616.5</v>
      </c>
      <c r="V229" s="14" t="n">
        <v>4.053062810586</v>
      </c>
      <c r="W229" s="13" t="n">
        <v>0.0397727272727273</v>
      </c>
      <c r="X229" s="15" t="n">
        <v>0.00182149362477224</v>
      </c>
      <c r="Y229" s="13" t="n">
        <v>-0.00156171935868177</v>
      </c>
      <c r="Z229" s="13" t="n">
        <v>0.019059947010138</v>
      </c>
      <c r="AA229" s="30" t="s">
        <v>97</v>
      </c>
      <c r="AB229" s="28" t="s">
        <v>93</v>
      </c>
      <c r="AC229" s="28" t="s">
        <v>101</v>
      </c>
      <c r="AD229" s="28" t="s">
        <v>106</v>
      </c>
      <c r="AE229" s="28" t="s">
        <v>113</v>
      </c>
      <c r="AF229" s="28" t="s">
        <v>118</v>
      </c>
      <c r="AG229" s="30" t="s">
        <v>122</v>
      </c>
    </row>
    <row r="230" customFormat="false" ht="15" hidden="false" customHeight="false" outlineLevel="0" collapsed="false">
      <c r="A230" s="10" t="n">
        <v>2024</v>
      </c>
      <c r="B230" s="28" t="s">
        <v>57</v>
      </c>
      <c r="C230" s="29" t="n">
        <v>45481</v>
      </c>
      <c r="D230" s="30" t="s">
        <v>125</v>
      </c>
      <c r="E230" s="28" t="s">
        <v>1147</v>
      </c>
      <c r="F230" s="30" t="s">
        <v>1148</v>
      </c>
      <c r="G230" s="31" t="n">
        <v>42392</v>
      </c>
      <c r="H230" s="31" t="n">
        <v>2</v>
      </c>
      <c r="I230" s="31" t="n">
        <v>84785</v>
      </c>
      <c r="J230" s="29" t="n">
        <v>45490</v>
      </c>
      <c r="K230" s="31" t="n">
        <v>40310</v>
      </c>
      <c r="L230" s="30" t="s">
        <v>32</v>
      </c>
      <c r="M230" s="10" t="n">
        <v>7</v>
      </c>
      <c r="N230" s="12" t="n">
        <v>-4335</v>
      </c>
      <c r="O230" s="13" t="n">
        <v>-0.0511333452851752</v>
      </c>
      <c r="P230" s="15" t="n">
        <v>0.0261285349833167</v>
      </c>
      <c r="Q230" s="13" t="n">
        <v>-0.0564335310498239</v>
      </c>
      <c r="R230" s="15" t="n">
        <v>0.0443896424167694</v>
      </c>
      <c r="S230" s="32" t="n">
        <v>24903197550</v>
      </c>
      <c r="T230" s="15" t="n">
        <v>0.00953516090584028</v>
      </c>
      <c r="U230" s="32" t="n">
        <v>9991754452.5</v>
      </c>
      <c r="V230" s="14" t="n">
        <v>2.34180557414027</v>
      </c>
      <c r="W230" s="13" t="n">
        <v>0.0254237288135593</v>
      </c>
      <c r="X230" s="15" t="n">
        <v>0.0283353010625738</v>
      </c>
      <c r="Y230" s="13" t="n">
        <v>-0.00156171935868177</v>
      </c>
      <c r="Z230" s="13" t="n">
        <v>0.019059947010138</v>
      </c>
      <c r="AA230" s="30" t="s">
        <v>97</v>
      </c>
      <c r="AB230" s="28" t="s">
        <v>93</v>
      </c>
      <c r="AC230" s="28" t="s">
        <v>100</v>
      </c>
      <c r="AD230" s="28" t="s">
        <v>106</v>
      </c>
      <c r="AE230" s="28" t="s">
        <v>112</v>
      </c>
      <c r="AF230" s="28" t="s">
        <v>117</v>
      </c>
      <c r="AG230" s="30" t="s">
        <v>122</v>
      </c>
    </row>
    <row r="231" customFormat="false" ht="15" hidden="false" customHeight="false" outlineLevel="0" collapsed="false">
      <c r="A231" s="10" t="n">
        <v>2024</v>
      </c>
      <c r="B231" s="28" t="s">
        <v>57</v>
      </c>
      <c r="C231" s="29" t="n">
        <v>45482</v>
      </c>
      <c r="D231" s="30" t="s">
        <v>126</v>
      </c>
      <c r="E231" s="28" t="s">
        <v>607</v>
      </c>
      <c r="F231" s="30" t="s">
        <v>608</v>
      </c>
      <c r="G231" s="31" t="n">
        <v>2828</v>
      </c>
      <c r="H231" s="31" t="n">
        <v>35</v>
      </c>
      <c r="I231" s="31" t="n">
        <v>98974</v>
      </c>
      <c r="J231" s="29" t="n">
        <v>45484</v>
      </c>
      <c r="K231" s="31" t="n">
        <v>2687</v>
      </c>
      <c r="L231" s="30" t="s">
        <v>32</v>
      </c>
      <c r="M231" s="10" t="n">
        <v>2</v>
      </c>
      <c r="N231" s="12" t="n">
        <v>-5116</v>
      </c>
      <c r="O231" s="13" t="n">
        <v>-0.0516932371168656</v>
      </c>
      <c r="P231" s="15" t="n">
        <v>0.0361320095833371</v>
      </c>
      <c r="Q231" s="13" t="n">
        <v>-0.0522751584698487</v>
      </c>
      <c r="R231" s="15" t="n">
        <v>0.207264957264957</v>
      </c>
      <c r="S231" s="32" t="n">
        <v>546173496575</v>
      </c>
      <c r="T231" s="15" t="n">
        <v>0.197033898305085</v>
      </c>
      <c r="U231" s="32" t="n">
        <v>30472627068.25</v>
      </c>
      <c r="V231" s="14" t="n">
        <v>14.3529997272432</v>
      </c>
      <c r="W231" s="13" t="n">
        <v>0.162551440329218</v>
      </c>
      <c r="X231" s="15" t="n">
        <v>0.0318584070796459</v>
      </c>
      <c r="Y231" s="13" t="n">
        <v>0.00336627288505675</v>
      </c>
      <c r="Z231" s="13" t="n">
        <v>0.0311126773731867</v>
      </c>
      <c r="AA231" s="30" t="s">
        <v>97</v>
      </c>
      <c r="AB231" s="28" t="s">
        <v>93</v>
      </c>
      <c r="AC231" s="28" t="s">
        <v>104</v>
      </c>
      <c r="AD231" s="28" t="s">
        <v>110</v>
      </c>
      <c r="AE231" s="28" t="s">
        <v>114</v>
      </c>
      <c r="AF231" s="28" t="s">
        <v>120</v>
      </c>
      <c r="AG231" s="30" t="s">
        <v>122</v>
      </c>
    </row>
    <row r="232" customFormat="false" ht="15" hidden="false" customHeight="false" outlineLevel="0" collapsed="false">
      <c r="A232" s="10" t="n">
        <v>2024</v>
      </c>
      <c r="B232" s="28" t="s">
        <v>57</v>
      </c>
      <c r="C232" s="29" t="n">
        <v>45482</v>
      </c>
      <c r="D232" s="30" t="s">
        <v>126</v>
      </c>
      <c r="E232" s="28" t="s">
        <v>539</v>
      </c>
      <c r="F232" s="30" t="s">
        <v>540</v>
      </c>
      <c r="G232" s="31" t="n">
        <v>23423</v>
      </c>
      <c r="H232" s="31" t="n">
        <v>4</v>
      </c>
      <c r="I232" s="31" t="n">
        <v>93694</v>
      </c>
      <c r="J232" s="29" t="n">
        <v>45485</v>
      </c>
      <c r="K232" s="31" t="n">
        <v>22278</v>
      </c>
      <c r="L232" s="30" t="s">
        <v>32</v>
      </c>
      <c r="M232" s="10" t="n">
        <v>3</v>
      </c>
      <c r="N232" s="12" t="n">
        <v>-4771</v>
      </c>
      <c r="O232" s="13" t="n">
        <v>-0.050917246215323</v>
      </c>
      <c r="P232" s="15" t="n">
        <v>0.0630395245779862</v>
      </c>
      <c r="Q232" s="13" t="n">
        <v>-0.0863837017683171</v>
      </c>
      <c r="R232" s="15" t="n">
        <v>0.0960187353629978</v>
      </c>
      <c r="S232" s="32" t="n">
        <v>129573662400</v>
      </c>
      <c r="T232" s="15" t="n">
        <v>0.0151843817787418</v>
      </c>
      <c r="U232" s="32" t="n">
        <v>22273809610</v>
      </c>
      <c r="V232" s="14" t="n">
        <v>5.39788988163722</v>
      </c>
      <c r="W232" s="13" t="n">
        <v>0.0783410138248848</v>
      </c>
      <c r="X232" s="15" t="n">
        <v>0.0256410256410256</v>
      </c>
      <c r="Y232" s="13" t="n">
        <v>0.00336627288505675</v>
      </c>
      <c r="Z232" s="13" t="n">
        <v>0.0311126773731867</v>
      </c>
      <c r="AA232" s="30" t="s">
        <v>97</v>
      </c>
      <c r="AB232" s="28" t="s">
        <v>93</v>
      </c>
      <c r="AC232" s="28" t="s">
        <v>101</v>
      </c>
      <c r="AD232" s="28" t="s">
        <v>109</v>
      </c>
      <c r="AE232" s="28" t="s">
        <v>112</v>
      </c>
      <c r="AF232" s="28" t="s">
        <v>119</v>
      </c>
      <c r="AG232" s="30" t="s">
        <v>122</v>
      </c>
    </row>
    <row r="233" customFormat="false" ht="15" hidden="false" customHeight="false" outlineLevel="0" collapsed="false">
      <c r="A233" s="10" t="n">
        <v>2024</v>
      </c>
      <c r="B233" s="28" t="s">
        <v>57</v>
      </c>
      <c r="C233" s="29" t="n">
        <v>45482</v>
      </c>
      <c r="D233" s="30" t="s">
        <v>126</v>
      </c>
      <c r="E233" s="28" t="s">
        <v>953</v>
      </c>
      <c r="F233" s="30" t="s">
        <v>954</v>
      </c>
      <c r="G233" s="31" t="n">
        <v>41592</v>
      </c>
      <c r="H233" s="31" t="n">
        <v>2</v>
      </c>
      <c r="I233" s="31" t="n">
        <v>83183</v>
      </c>
      <c r="J233" s="29" t="n">
        <v>45484</v>
      </c>
      <c r="K233" s="31" t="n">
        <v>39560</v>
      </c>
      <c r="L233" s="30" t="s">
        <v>32</v>
      </c>
      <c r="M233" s="10" t="n">
        <v>2</v>
      </c>
      <c r="N233" s="12" t="n">
        <v>-4229</v>
      </c>
      <c r="O233" s="13" t="n">
        <v>-0.0508404113936605</v>
      </c>
      <c r="P233" s="15" t="n">
        <v>0.0182356752753865</v>
      </c>
      <c r="Q233" s="13" t="n">
        <v>-0.0550965280207156</v>
      </c>
      <c r="R233" s="15" t="n">
        <v>0.0599489795918367</v>
      </c>
      <c r="S233" s="32" t="n">
        <v>84137835900</v>
      </c>
      <c r="T233" s="15" t="n">
        <v>0.0048367593712213</v>
      </c>
      <c r="U233" s="32" t="n">
        <v>14459419105</v>
      </c>
      <c r="V233" s="14" t="n">
        <v>5.38432034315378</v>
      </c>
      <c r="W233" s="13" t="n">
        <v>0.020884520884521</v>
      </c>
      <c r="X233" s="15" t="n">
        <v>0.0276774969915765</v>
      </c>
      <c r="Y233" s="13" t="n">
        <v>0.00336627288505675</v>
      </c>
      <c r="Z233" s="13" t="n">
        <v>0.0311126773731867</v>
      </c>
      <c r="AA233" s="30" t="s">
        <v>97</v>
      </c>
      <c r="AB233" s="28" t="s">
        <v>93</v>
      </c>
      <c r="AC233" s="28" t="s">
        <v>101</v>
      </c>
      <c r="AD233" s="28" t="s">
        <v>108</v>
      </c>
      <c r="AE233" s="28" t="s">
        <v>112</v>
      </c>
      <c r="AF233" s="28" t="s">
        <v>119</v>
      </c>
      <c r="AG233" s="30" t="s">
        <v>122</v>
      </c>
    </row>
    <row r="234" customFormat="false" ht="15" hidden="false" customHeight="false" outlineLevel="0" collapsed="false">
      <c r="A234" s="10" t="n">
        <v>2024</v>
      </c>
      <c r="B234" s="28" t="s">
        <v>57</v>
      </c>
      <c r="C234" s="29" t="n">
        <v>45482</v>
      </c>
      <c r="D234" s="30" t="s">
        <v>126</v>
      </c>
      <c r="E234" s="28" t="s">
        <v>209</v>
      </c>
      <c r="F234" s="30" t="s">
        <v>210</v>
      </c>
      <c r="G234" s="31" t="n">
        <v>27277</v>
      </c>
      <c r="H234" s="31" t="n">
        <v>3</v>
      </c>
      <c r="I234" s="31" t="n">
        <v>81832</v>
      </c>
      <c r="J234" s="29" t="n">
        <v>45491</v>
      </c>
      <c r="K234" s="31" t="n">
        <v>25924</v>
      </c>
      <c r="L234" s="30" t="s">
        <v>32</v>
      </c>
      <c r="M234" s="10" t="n">
        <v>7</v>
      </c>
      <c r="N234" s="12" t="n">
        <v>-4224</v>
      </c>
      <c r="O234" s="13" t="n">
        <v>-0.0516123687321853</v>
      </c>
      <c r="P234" s="15" t="n">
        <v>0.107149731002942</v>
      </c>
      <c r="Q234" s="13" t="n">
        <v>-0.0633219991018155</v>
      </c>
      <c r="R234" s="15" t="n">
        <v>0.0341555977229602</v>
      </c>
      <c r="S234" s="32" t="n">
        <v>62644207500</v>
      </c>
      <c r="T234" s="15" t="n">
        <v>0.0263653483992468</v>
      </c>
      <c r="U234" s="32" t="n">
        <v>33280654907.5</v>
      </c>
      <c r="V234" s="14" t="n">
        <v>1.76793499014642</v>
      </c>
      <c r="W234" s="13" t="n">
        <v>0.0341555977229602</v>
      </c>
      <c r="X234" s="15" t="n">
        <v>0.0165137614678899</v>
      </c>
      <c r="Y234" s="13" t="n">
        <v>0.00336627288505675</v>
      </c>
      <c r="Z234" s="13" t="n">
        <v>0.0311126773731867</v>
      </c>
      <c r="AA234" s="30" t="s">
        <v>97</v>
      </c>
      <c r="AB234" s="28" t="s">
        <v>93</v>
      </c>
      <c r="AC234" s="28" t="s">
        <v>100</v>
      </c>
      <c r="AD234" s="28" t="s">
        <v>108</v>
      </c>
      <c r="AE234" s="28" t="s">
        <v>113</v>
      </c>
      <c r="AF234" s="28" t="s">
        <v>116</v>
      </c>
      <c r="AG234" s="30" t="s">
        <v>122</v>
      </c>
    </row>
    <row r="235" customFormat="false" ht="15" hidden="false" customHeight="false" outlineLevel="0" collapsed="false">
      <c r="A235" s="10" t="n">
        <v>2024</v>
      </c>
      <c r="B235" s="28" t="s">
        <v>57</v>
      </c>
      <c r="C235" s="29" t="n">
        <v>45482</v>
      </c>
      <c r="D235" s="30" t="s">
        <v>126</v>
      </c>
      <c r="E235" s="28" t="s">
        <v>393</v>
      </c>
      <c r="F235" s="28" t="s">
        <v>394</v>
      </c>
      <c r="G235" s="31" t="n">
        <v>40190</v>
      </c>
      <c r="H235" s="31" t="n">
        <v>2</v>
      </c>
      <c r="I235" s="31" t="n">
        <v>80380</v>
      </c>
      <c r="J235" s="29" t="n">
        <v>45509</v>
      </c>
      <c r="K235" s="31" t="n">
        <v>38262</v>
      </c>
      <c r="L235" s="30" t="s">
        <v>32</v>
      </c>
      <c r="M235" s="10" t="n">
        <v>19</v>
      </c>
      <c r="N235" s="12" t="n">
        <v>-4018</v>
      </c>
      <c r="O235" s="13" t="n">
        <v>-0.0499895829575157</v>
      </c>
      <c r="P235" s="15" t="n">
        <v>0.0661816390334449</v>
      </c>
      <c r="Q235" s="13" t="n">
        <v>-0.142824796623053</v>
      </c>
      <c r="R235" s="15" t="n">
        <v>0.106060606060606</v>
      </c>
      <c r="S235" s="32" t="n">
        <v>55521066150</v>
      </c>
      <c r="T235" s="15" t="n">
        <v>0.0428571428571429</v>
      </c>
      <c r="U235" s="32" t="n">
        <v>9234933057.5</v>
      </c>
      <c r="V235" s="14" t="n">
        <v>5.53914095389928</v>
      </c>
      <c r="W235" s="13" t="n">
        <v>0.085135135135135</v>
      </c>
      <c r="X235" s="15" t="n">
        <v>0.0124533001245331</v>
      </c>
      <c r="Y235" s="13" t="n">
        <v>0.00336627288505675</v>
      </c>
      <c r="Z235" s="13" t="n">
        <v>0.0311126773731867</v>
      </c>
      <c r="AA235" s="30" t="s">
        <v>97</v>
      </c>
      <c r="AB235" s="28" t="s">
        <v>93</v>
      </c>
      <c r="AC235" s="28" t="s">
        <v>102</v>
      </c>
      <c r="AD235" s="28" t="s">
        <v>108</v>
      </c>
      <c r="AE235" s="28" t="s">
        <v>113</v>
      </c>
      <c r="AF235" s="28" t="s">
        <v>119</v>
      </c>
      <c r="AG235" s="30" t="s">
        <v>122</v>
      </c>
    </row>
    <row r="236" customFormat="false" ht="15" hidden="false" customHeight="false" outlineLevel="0" collapsed="false">
      <c r="A236" s="10" t="n">
        <v>2024</v>
      </c>
      <c r="B236" s="28" t="s">
        <v>57</v>
      </c>
      <c r="C236" s="29" t="n">
        <v>45482</v>
      </c>
      <c r="D236" s="30" t="s">
        <v>126</v>
      </c>
      <c r="E236" s="28" t="s">
        <v>1321</v>
      </c>
      <c r="F236" s="30" t="s">
        <v>1322</v>
      </c>
      <c r="G236" s="31" t="n">
        <v>25687</v>
      </c>
      <c r="H236" s="31" t="n">
        <v>3</v>
      </c>
      <c r="I236" s="31" t="n">
        <v>77061</v>
      </c>
      <c r="J236" s="29" t="n">
        <v>45484</v>
      </c>
      <c r="K236" s="31" t="n">
        <v>24426</v>
      </c>
      <c r="L236" s="30" t="s">
        <v>32</v>
      </c>
      <c r="M236" s="10" t="n">
        <v>2</v>
      </c>
      <c r="N236" s="12" t="n">
        <v>-3939</v>
      </c>
      <c r="O236" s="13" t="n">
        <v>-0.0511175045664794</v>
      </c>
      <c r="P236" s="15" t="n">
        <v>0.0326827589133727</v>
      </c>
      <c r="Q236" s="13" t="n">
        <v>-0.0575843576517883</v>
      </c>
      <c r="R236" s="15" t="n">
        <v>0.124336618650493</v>
      </c>
      <c r="S236" s="32" t="n">
        <v>40618499479</v>
      </c>
      <c r="T236" s="15" t="n">
        <v>0.0824817518248173</v>
      </c>
      <c r="U236" s="32" t="n">
        <v>7668418360.5</v>
      </c>
      <c r="V236" s="14" t="n">
        <v>4.43547091176403</v>
      </c>
      <c r="W236" s="13" t="n">
        <v>0.115037593984962</v>
      </c>
      <c r="X236" s="15" t="n">
        <v>0</v>
      </c>
      <c r="Y236" s="13" t="n">
        <v>0.00336627288505675</v>
      </c>
      <c r="Z236" s="13" t="n">
        <v>0.0311126773731867</v>
      </c>
      <c r="AA236" s="30" t="s">
        <v>97</v>
      </c>
      <c r="AB236" s="28" t="s">
        <v>93</v>
      </c>
      <c r="AC236" s="28" t="s">
        <v>102</v>
      </c>
      <c r="AD236" s="28" t="s">
        <v>107</v>
      </c>
      <c r="AE236" s="28" t="s">
        <v>101</v>
      </c>
      <c r="AF236" s="28" t="s">
        <v>118</v>
      </c>
      <c r="AG236" s="30" t="s">
        <v>122</v>
      </c>
    </row>
    <row r="237" customFormat="false" ht="15" hidden="false" customHeight="false" outlineLevel="0" collapsed="false">
      <c r="A237" s="10" t="n">
        <v>2024</v>
      </c>
      <c r="B237" s="28" t="s">
        <v>57</v>
      </c>
      <c r="C237" s="29" t="n">
        <v>45482</v>
      </c>
      <c r="D237" s="30" t="s">
        <v>126</v>
      </c>
      <c r="E237" s="28" t="s">
        <v>1051</v>
      </c>
      <c r="F237" s="30" t="s">
        <v>1052</v>
      </c>
      <c r="G237" s="31" t="n">
        <v>3934</v>
      </c>
      <c r="H237" s="31" t="n">
        <v>25</v>
      </c>
      <c r="I237" s="31" t="n">
        <v>98348</v>
      </c>
      <c r="J237" s="29" t="n">
        <v>45489</v>
      </c>
      <c r="K237" s="31" t="n">
        <v>3741</v>
      </c>
      <c r="L237" s="30" t="s">
        <v>32</v>
      </c>
      <c r="M237" s="10" t="n">
        <v>5</v>
      </c>
      <c r="N237" s="12" t="n">
        <v>-5014</v>
      </c>
      <c r="O237" s="13" t="n">
        <v>-0.0509822332247904</v>
      </c>
      <c r="P237" s="15" t="n">
        <v>0.0409437890353923</v>
      </c>
      <c r="Q237" s="13" t="n">
        <v>-0.0899685556174105</v>
      </c>
      <c r="R237" s="15" t="n">
        <v>0.0781893004115226</v>
      </c>
      <c r="S237" s="32" t="n">
        <v>40260095070</v>
      </c>
      <c r="T237" s="15" t="n">
        <v>0.00769230769230767</v>
      </c>
      <c r="U237" s="32" t="n">
        <v>4714790742</v>
      </c>
      <c r="V237" s="14" t="n">
        <v>8.22002991268559</v>
      </c>
      <c r="W237" s="13" t="n">
        <v>0.0635994587280109</v>
      </c>
      <c r="X237" s="15" t="n">
        <v>0.0267175572519085</v>
      </c>
      <c r="Y237" s="13" t="n">
        <v>0.00336627288505675</v>
      </c>
      <c r="Z237" s="13" t="n">
        <v>0.0311126773731867</v>
      </c>
      <c r="AA237" s="30" t="s">
        <v>97</v>
      </c>
      <c r="AB237" s="28" t="s">
        <v>93</v>
      </c>
      <c r="AC237" s="28" t="s">
        <v>101</v>
      </c>
      <c r="AD237" s="28" t="s">
        <v>107</v>
      </c>
      <c r="AE237" s="28" t="s">
        <v>112</v>
      </c>
      <c r="AF237" s="28" t="s">
        <v>119</v>
      </c>
      <c r="AG237" s="30" t="s">
        <v>122</v>
      </c>
    </row>
    <row r="238" customFormat="false" ht="15" hidden="false" customHeight="false" outlineLevel="0" collapsed="false">
      <c r="A238" s="10" t="n">
        <v>2024</v>
      </c>
      <c r="B238" s="28" t="s">
        <v>57</v>
      </c>
      <c r="C238" s="29" t="n">
        <v>45483</v>
      </c>
      <c r="D238" s="30" t="s">
        <v>127</v>
      </c>
      <c r="E238" s="28" t="s">
        <v>1323</v>
      </c>
      <c r="F238" s="30" t="s">
        <v>1324</v>
      </c>
      <c r="G238" s="31" t="n">
        <v>8959</v>
      </c>
      <c r="H238" s="31" t="n">
        <v>11</v>
      </c>
      <c r="I238" s="31" t="n">
        <v>98548</v>
      </c>
      <c r="J238" s="29" t="n">
        <v>45484</v>
      </c>
      <c r="K238" s="31" t="n">
        <v>8521</v>
      </c>
      <c r="L238" s="30" t="s">
        <v>32</v>
      </c>
      <c r="M238" s="10" t="n">
        <v>1</v>
      </c>
      <c r="N238" s="12" t="n">
        <v>-5010</v>
      </c>
      <c r="O238" s="13" t="n">
        <v>-0.0508363936622037</v>
      </c>
      <c r="P238" s="15" t="n">
        <v>0.0135116280367678</v>
      </c>
      <c r="Q238" s="13" t="n">
        <v>-0.051228101507431</v>
      </c>
      <c r="R238" s="15" t="n">
        <v>0.0554245283018868</v>
      </c>
      <c r="S238" s="32" t="n">
        <v>121719203450</v>
      </c>
      <c r="T238" s="15" t="n">
        <v>0.0147392290249433</v>
      </c>
      <c r="U238" s="32" t="n">
        <v>4055481559</v>
      </c>
      <c r="V238" s="14" t="n">
        <v>28.3314922950857</v>
      </c>
      <c r="W238" s="13" t="n">
        <v>-0.0539112050739958</v>
      </c>
      <c r="X238" s="15" t="n">
        <v>0.194413407821229</v>
      </c>
      <c r="Y238" s="13" t="n">
        <v>0.000212737760603599</v>
      </c>
      <c r="Z238" s="13" t="n">
        <v>0.0264780727341705</v>
      </c>
      <c r="AA238" s="30" t="s">
        <v>97</v>
      </c>
      <c r="AB238" s="28" t="s">
        <v>93</v>
      </c>
      <c r="AC238" s="28" t="s">
        <v>101</v>
      </c>
      <c r="AD238" s="28" t="s">
        <v>109</v>
      </c>
      <c r="AE238" s="28" t="s">
        <v>112</v>
      </c>
      <c r="AF238" s="28" t="s">
        <v>120</v>
      </c>
      <c r="AG238" s="30" t="s">
        <v>123</v>
      </c>
    </row>
    <row r="239" customFormat="false" ht="15" hidden="false" customHeight="false" outlineLevel="0" collapsed="false">
      <c r="A239" s="10" t="n">
        <v>2024</v>
      </c>
      <c r="B239" s="28" t="s">
        <v>57</v>
      </c>
      <c r="C239" s="29" t="n">
        <v>45483</v>
      </c>
      <c r="D239" s="30" t="s">
        <v>127</v>
      </c>
      <c r="E239" s="28" t="s">
        <v>1251</v>
      </c>
      <c r="F239" s="30" t="s">
        <v>1252</v>
      </c>
      <c r="G239" s="31" t="n">
        <v>24925</v>
      </c>
      <c r="H239" s="31" t="n">
        <v>3</v>
      </c>
      <c r="I239" s="31" t="n">
        <v>74775</v>
      </c>
      <c r="J239" s="29" t="n">
        <v>45485</v>
      </c>
      <c r="K239" s="31" t="n">
        <v>23726</v>
      </c>
      <c r="L239" s="30" t="s">
        <v>32</v>
      </c>
      <c r="M239" s="10" t="n">
        <v>2</v>
      </c>
      <c r="N239" s="12" t="n">
        <v>-3746</v>
      </c>
      <c r="O239" s="13" t="n">
        <v>-0.0500966873487958</v>
      </c>
      <c r="P239" s="15" t="n">
        <v>0.0090311295130574</v>
      </c>
      <c r="Q239" s="13" t="n">
        <v>-0.0491436274568804</v>
      </c>
      <c r="R239" s="15" t="n">
        <v>0.116591928251121</v>
      </c>
      <c r="S239" s="32" t="n">
        <v>92748640500</v>
      </c>
      <c r="T239" s="15" t="n">
        <v>0.0802603036876355</v>
      </c>
      <c r="U239" s="32" t="n">
        <v>8862446162.5</v>
      </c>
      <c r="V239" s="14" t="n">
        <v>9.26570867275327</v>
      </c>
      <c r="W239" s="13" t="n">
        <v>0.0921052631578947</v>
      </c>
      <c r="X239" s="15" t="n">
        <v>0.00401606425702816</v>
      </c>
      <c r="Y239" s="13" t="n">
        <v>0.000212737760603599</v>
      </c>
      <c r="Z239" s="13" t="n">
        <v>0.0264780727341705</v>
      </c>
      <c r="AA239" s="30" t="s">
        <v>97</v>
      </c>
      <c r="AB239" s="28" t="s">
        <v>93</v>
      </c>
      <c r="AC239" s="28" t="s">
        <v>102</v>
      </c>
      <c r="AD239" s="28" t="s">
        <v>108</v>
      </c>
      <c r="AE239" s="28" t="s">
        <v>101</v>
      </c>
      <c r="AF239" s="28" t="s">
        <v>119</v>
      </c>
      <c r="AG239" s="30" t="s">
        <v>122</v>
      </c>
    </row>
    <row r="240" customFormat="false" ht="15" hidden="false" customHeight="false" outlineLevel="0" collapsed="false">
      <c r="A240" s="10" t="n">
        <v>2024</v>
      </c>
      <c r="B240" s="28" t="s">
        <v>57</v>
      </c>
      <c r="C240" s="29" t="n">
        <v>45483</v>
      </c>
      <c r="D240" s="30" t="s">
        <v>127</v>
      </c>
      <c r="E240" s="28" t="s">
        <v>369</v>
      </c>
      <c r="F240" s="28" t="s">
        <v>370</v>
      </c>
      <c r="G240" s="31" t="n">
        <v>35335</v>
      </c>
      <c r="H240" s="31" t="n">
        <v>2</v>
      </c>
      <c r="I240" s="31" t="n">
        <v>70671</v>
      </c>
      <c r="J240" s="29" t="n">
        <v>45485</v>
      </c>
      <c r="K240" s="31" t="n">
        <v>33616</v>
      </c>
      <c r="L240" s="30" t="s">
        <v>32</v>
      </c>
      <c r="M240" s="10" t="n">
        <v>2</v>
      </c>
      <c r="N240" s="12" t="n">
        <v>-3580</v>
      </c>
      <c r="O240" s="13" t="n">
        <v>-0.050651959301322</v>
      </c>
      <c r="P240" s="15" t="n">
        <v>0.0188112171115005</v>
      </c>
      <c r="Q240" s="13" t="n">
        <v>-0.0802398734410065</v>
      </c>
      <c r="R240" s="15" t="n">
        <v>0.0321637426900585</v>
      </c>
      <c r="S240" s="32" t="n">
        <v>75993204600</v>
      </c>
      <c r="T240" s="15" t="n">
        <v>0.00713266761768905</v>
      </c>
      <c r="U240" s="32" t="n">
        <v>31329142232.5</v>
      </c>
      <c r="V240" s="14" t="n">
        <v>2.27347198868577</v>
      </c>
      <c r="W240" s="13" t="n">
        <v>0.0261627906976745</v>
      </c>
      <c r="X240" s="15" t="n">
        <v>0.0169971671388103</v>
      </c>
      <c r="Y240" s="13" t="n">
        <v>0.000212737760603599</v>
      </c>
      <c r="Z240" s="13" t="n">
        <v>0.0264780727341705</v>
      </c>
      <c r="AA240" s="30" t="s">
        <v>97</v>
      </c>
      <c r="AB240" s="28" t="s">
        <v>93</v>
      </c>
      <c r="AC240" s="28" t="s">
        <v>100</v>
      </c>
      <c r="AD240" s="28" t="s">
        <v>108</v>
      </c>
      <c r="AE240" s="28" t="s">
        <v>112</v>
      </c>
      <c r="AF240" s="28" t="s">
        <v>117</v>
      </c>
      <c r="AG240" s="30" t="s">
        <v>122</v>
      </c>
    </row>
    <row r="241" customFormat="false" ht="15" hidden="false" customHeight="false" outlineLevel="0" collapsed="false">
      <c r="A241" s="10" t="n">
        <v>2024</v>
      </c>
      <c r="B241" s="28" t="s">
        <v>57</v>
      </c>
      <c r="C241" s="29" t="n">
        <v>45483</v>
      </c>
      <c r="D241" s="30" t="s">
        <v>127</v>
      </c>
      <c r="E241" s="28" t="s">
        <v>1279</v>
      </c>
      <c r="F241" s="30" t="s">
        <v>1280</v>
      </c>
      <c r="G241" s="31" t="n">
        <v>96496</v>
      </c>
      <c r="H241" s="31" t="n">
        <v>1</v>
      </c>
      <c r="I241" s="31" t="n">
        <v>96496</v>
      </c>
      <c r="J241" s="29" t="n">
        <v>45489</v>
      </c>
      <c r="K241" s="31" t="n">
        <v>91808</v>
      </c>
      <c r="L241" s="30" t="s">
        <v>32</v>
      </c>
      <c r="M241" s="10" t="n">
        <v>4</v>
      </c>
      <c r="N241" s="12" t="n">
        <v>-4882</v>
      </c>
      <c r="O241" s="13" t="n">
        <v>-0.05059049099241</v>
      </c>
      <c r="P241" s="15" t="n">
        <v>0.00832777181324906</v>
      </c>
      <c r="Q241" s="13" t="n">
        <v>-0.0693953349555009</v>
      </c>
      <c r="R241" s="15" t="n">
        <v>0.0332261521972133</v>
      </c>
      <c r="S241" s="32" t="n">
        <v>45049358800</v>
      </c>
      <c r="T241" s="15" t="n">
        <v>0.0222693531283138</v>
      </c>
      <c r="U241" s="32" t="n">
        <v>26798942945</v>
      </c>
      <c r="V241" s="14" t="n">
        <v>1.59653591981192</v>
      </c>
      <c r="W241" s="13" t="n">
        <v>0.0104821802935011</v>
      </c>
      <c r="X241" s="15" t="n">
        <v>0.0248962655601659</v>
      </c>
      <c r="Y241" s="13" t="n">
        <v>0.000212737760603599</v>
      </c>
      <c r="Z241" s="13" t="n">
        <v>0.0264780727341705</v>
      </c>
      <c r="AA241" s="30" t="s">
        <v>97</v>
      </c>
      <c r="AB241" s="28" t="s">
        <v>93</v>
      </c>
      <c r="AC241" s="28" t="s">
        <v>100</v>
      </c>
      <c r="AD241" s="28" t="s">
        <v>107</v>
      </c>
      <c r="AE241" s="28" t="s">
        <v>113</v>
      </c>
      <c r="AF241" s="28" t="s">
        <v>116</v>
      </c>
      <c r="AG241" s="30" t="s">
        <v>122</v>
      </c>
    </row>
    <row r="242" customFormat="false" ht="15" hidden="false" customHeight="false" outlineLevel="0" collapsed="false">
      <c r="A242" s="10" t="n">
        <v>2024</v>
      </c>
      <c r="B242" s="28" t="s">
        <v>57</v>
      </c>
      <c r="C242" s="29" t="n">
        <v>45483</v>
      </c>
      <c r="D242" s="30" t="s">
        <v>127</v>
      </c>
      <c r="E242" s="28" t="s">
        <v>413</v>
      </c>
      <c r="F242" s="30" t="s">
        <v>414</v>
      </c>
      <c r="G242" s="31" t="n">
        <v>25225</v>
      </c>
      <c r="H242" s="31" t="n">
        <v>3</v>
      </c>
      <c r="I242" s="31" t="n">
        <v>75676</v>
      </c>
      <c r="J242" s="29" t="n">
        <v>45496</v>
      </c>
      <c r="K242" s="31" t="n">
        <v>23976</v>
      </c>
      <c r="L242" s="30" t="s">
        <v>32</v>
      </c>
      <c r="M242" s="10" t="n">
        <v>9</v>
      </c>
      <c r="N242" s="12" t="n">
        <v>-3899</v>
      </c>
      <c r="O242" s="13" t="n">
        <v>-0.0515253389467676</v>
      </c>
      <c r="P242" s="15" t="n">
        <v>0.0862153719296577</v>
      </c>
      <c r="Q242" s="13" t="n">
        <v>-0.0604633461776318</v>
      </c>
      <c r="R242" s="15" t="n">
        <v>0.0306748466257669</v>
      </c>
      <c r="S242" s="32" t="n">
        <v>30754256400</v>
      </c>
      <c r="T242" s="15" t="n">
        <v>0.00800000000000001</v>
      </c>
      <c r="U242" s="32" t="n">
        <v>27475121720</v>
      </c>
      <c r="V242" s="14" t="n">
        <v>1.03321022901045</v>
      </c>
      <c r="W242" s="13" t="n">
        <v>0.0161290322580645</v>
      </c>
      <c r="X242" s="15" t="n">
        <v>0.00595238095238093</v>
      </c>
      <c r="Y242" s="13" t="n">
        <v>0.000212737760603599</v>
      </c>
      <c r="Z242" s="13" t="n">
        <v>0.0264780727341705</v>
      </c>
      <c r="AA242" s="30" t="s">
        <v>97</v>
      </c>
      <c r="AB242" s="28" t="s">
        <v>93</v>
      </c>
      <c r="AC242" s="28" t="s">
        <v>100</v>
      </c>
      <c r="AD242" s="28" t="s">
        <v>107</v>
      </c>
      <c r="AE242" s="28" t="s">
        <v>112</v>
      </c>
      <c r="AF242" s="28" t="s">
        <v>116</v>
      </c>
      <c r="AG242" s="30" t="s">
        <v>122</v>
      </c>
    </row>
    <row r="243" customFormat="false" ht="15" hidden="false" customHeight="false" outlineLevel="0" collapsed="false">
      <c r="A243" s="10" t="n">
        <v>2024</v>
      </c>
      <c r="B243" s="28" t="s">
        <v>57</v>
      </c>
      <c r="C243" s="29" t="n">
        <v>45484</v>
      </c>
      <c r="D243" s="30" t="s">
        <v>128</v>
      </c>
      <c r="E243" s="28" t="s">
        <v>431</v>
      </c>
      <c r="F243" s="28" t="s">
        <v>432</v>
      </c>
      <c r="G243" s="31" t="n">
        <v>42893</v>
      </c>
      <c r="H243" s="31" t="n">
        <v>2</v>
      </c>
      <c r="I243" s="31" t="n">
        <v>85786</v>
      </c>
      <c r="J243" s="29" t="n">
        <v>45488</v>
      </c>
      <c r="K243" s="31" t="n">
        <v>40809</v>
      </c>
      <c r="L243" s="30" t="s">
        <v>32</v>
      </c>
      <c r="M243" s="10" t="n">
        <v>2</v>
      </c>
      <c r="N243" s="12" t="n">
        <v>-4339</v>
      </c>
      <c r="O243" s="13" t="n">
        <v>-0.0505844626785117</v>
      </c>
      <c r="P243" s="15" t="n">
        <v>0.0164864307221366</v>
      </c>
      <c r="Q243" s="13" t="n">
        <v>-0.0522896007143382</v>
      </c>
      <c r="R243" s="15" t="n">
        <v>0.0766331658291457</v>
      </c>
      <c r="S243" s="32" t="n">
        <v>294882344750</v>
      </c>
      <c r="T243" s="15" t="n">
        <v>0.0337756332931243</v>
      </c>
      <c r="U243" s="32" t="n">
        <v>39714159510</v>
      </c>
      <c r="V243" s="14" t="n">
        <v>6.82154340636806</v>
      </c>
      <c r="W243" s="13" t="n">
        <v>0.0659203980099503</v>
      </c>
      <c r="X243" s="15" t="n">
        <v>0.0490081680280046</v>
      </c>
      <c r="Y243" s="13" t="n">
        <v>0.00814507721435565</v>
      </c>
      <c r="Z243" s="13" t="n">
        <v>0.0235084638965784</v>
      </c>
      <c r="AA243" s="30" t="s">
        <v>97</v>
      </c>
      <c r="AB243" s="28" t="s">
        <v>93</v>
      </c>
      <c r="AC243" s="28" t="s">
        <v>101</v>
      </c>
      <c r="AD243" s="28" t="s">
        <v>110</v>
      </c>
      <c r="AE243" s="28" t="s">
        <v>113</v>
      </c>
      <c r="AF243" s="28" t="s">
        <v>119</v>
      </c>
      <c r="AG243" s="30" t="s">
        <v>122</v>
      </c>
    </row>
    <row r="244" customFormat="false" ht="15" hidden="false" customHeight="false" outlineLevel="0" collapsed="false">
      <c r="A244" s="10" t="n">
        <v>2024</v>
      </c>
      <c r="B244" s="28" t="s">
        <v>57</v>
      </c>
      <c r="C244" s="29" t="n">
        <v>45484</v>
      </c>
      <c r="D244" s="30" t="s">
        <v>128</v>
      </c>
      <c r="E244" s="28" t="s">
        <v>805</v>
      </c>
      <c r="F244" s="28" t="s">
        <v>806</v>
      </c>
      <c r="G244" s="31" t="n">
        <v>19897</v>
      </c>
      <c r="H244" s="31" t="n">
        <v>5</v>
      </c>
      <c r="I244" s="31" t="n">
        <v>99484</v>
      </c>
      <c r="J244" s="29" t="n">
        <v>45485</v>
      </c>
      <c r="K244" s="31" t="n">
        <v>18941</v>
      </c>
      <c r="L244" s="30" t="s">
        <v>32</v>
      </c>
      <c r="M244" s="10" t="n">
        <v>1</v>
      </c>
      <c r="N244" s="12" t="n">
        <v>-4978</v>
      </c>
      <c r="O244" s="13" t="n">
        <v>-0.0500409665708729</v>
      </c>
      <c r="P244" s="15" t="n">
        <v>0.0555482253595463</v>
      </c>
      <c r="Q244" s="13" t="n">
        <v>-0.0533575439235814</v>
      </c>
      <c r="R244" s="15" t="n">
        <v>0.0258064516129031</v>
      </c>
      <c r="S244" s="32" t="n">
        <v>104772096000</v>
      </c>
      <c r="T244" s="15" t="n">
        <v>0.00632911392405067</v>
      </c>
      <c r="U244" s="32" t="n">
        <v>33884151901.5</v>
      </c>
      <c r="V244" s="14" t="n">
        <v>2.80550381891748</v>
      </c>
      <c r="W244" s="13" t="n">
        <v>0.0369565217391303</v>
      </c>
      <c r="X244" s="15" t="n">
        <v>0.0230607966457024</v>
      </c>
      <c r="Y244" s="13" t="n">
        <v>0.00814507721435565</v>
      </c>
      <c r="Z244" s="13" t="n">
        <v>0.0235084638965784</v>
      </c>
      <c r="AA244" s="30" t="s">
        <v>97</v>
      </c>
      <c r="AB244" s="28" t="s">
        <v>93</v>
      </c>
      <c r="AC244" s="28" t="s">
        <v>99</v>
      </c>
      <c r="AD244" s="28" t="s">
        <v>109</v>
      </c>
      <c r="AE244" s="28" t="s">
        <v>112</v>
      </c>
      <c r="AF244" s="28" t="s">
        <v>117</v>
      </c>
      <c r="AG244" s="30" t="s">
        <v>122</v>
      </c>
    </row>
    <row r="245" customFormat="false" ht="15" hidden="false" customHeight="false" outlineLevel="0" collapsed="false">
      <c r="A245" s="10" t="n">
        <v>2024</v>
      </c>
      <c r="B245" s="28" t="s">
        <v>57</v>
      </c>
      <c r="C245" s="29" t="n">
        <v>45484</v>
      </c>
      <c r="D245" s="30" t="s">
        <v>128</v>
      </c>
      <c r="E245" s="28" t="s">
        <v>1157</v>
      </c>
      <c r="F245" s="30" t="s">
        <v>1158</v>
      </c>
      <c r="G245" s="31" t="n">
        <v>4487</v>
      </c>
      <c r="H245" s="31" t="n">
        <v>22</v>
      </c>
      <c r="I245" s="31" t="n">
        <v>98711</v>
      </c>
      <c r="J245" s="29" t="n">
        <v>45485</v>
      </c>
      <c r="K245" s="31" t="n">
        <v>4271</v>
      </c>
      <c r="L245" s="30" t="s">
        <v>32</v>
      </c>
      <c r="M245" s="10" t="n">
        <v>1</v>
      </c>
      <c r="N245" s="12" t="n">
        <v>-4953</v>
      </c>
      <c r="O245" s="13" t="n">
        <v>-0.0501746260262279</v>
      </c>
      <c r="P245" s="15" t="n">
        <v>0.0187506068889927</v>
      </c>
      <c r="Q245" s="13" t="n">
        <v>-0.0882264358376383</v>
      </c>
      <c r="R245" s="15" t="n">
        <v>0.132462686567164</v>
      </c>
      <c r="S245" s="32" t="n">
        <v>96923201495</v>
      </c>
      <c r="T245" s="15" t="n">
        <v>0.0667838312829525</v>
      </c>
      <c r="U245" s="32" t="n">
        <v>9765882662</v>
      </c>
      <c r="V245" s="14" t="n">
        <v>8.69059880081211</v>
      </c>
      <c r="W245" s="13" t="n">
        <v>0.111721611721612</v>
      </c>
      <c r="X245" s="15" t="n">
        <v>0.069192751235585</v>
      </c>
      <c r="Y245" s="13" t="n">
        <v>0.00814507721435565</v>
      </c>
      <c r="Z245" s="13" t="n">
        <v>0.0235084638965784</v>
      </c>
      <c r="AA245" s="30" t="s">
        <v>97</v>
      </c>
      <c r="AB245" s="28" t="s">
        <v>93</v>
      </c>
      <c r="AC245" s="28" t="s">
        <v>102</v>
      </c>
      <c r="AD245" s="28" t="s">
        <v>108</v>
      </c>
      <c r="AE245" s="28" t="s">
        <v>101</v>
      </c>
      <c r="AF245" s="28" t="s">
        <v>119</v>
      </c>
      <c r="AG245" s="30" t="s">
        <v>122</v>
      </c>
    </row>
    <row r="246" customFormat="false" ht="15" hidden="false" customHeight="false" outlineLevel="0" collapsed="false">
      <c r="A246" s="10" t="n">
        <v>2024</v>
      </c>
      <c r="B246" s="28" t="s">
        <v>57</v>
      </c>
      <c r="C246" s="29" t="n">
        <v>45485</v>
      </c>
      <c r="D246" s="30" t="s">
        <v>129</v>
      </c>
      <c r="E246" s="28" t="s">
        <v>565</v>
      </c>
      <c r="F246" s="30" t="s">
        <v>566</v>
      </c>
      <c r="G246" s="31" t="n">
        <v>37087</v>
      </c>
      <c r="H246" s="31" t="n">
        <v>2</v>
      </c>
      <c r="I246" s="31" t="n">
        <v>74174</v>
      </c>
      <c r="J246" s="29" t="n">
        <v>45492</v>
      </c>
      <c r="K246" s="31" t="n">
        <v>35265</v>
      </c>
      <c r="L246" s="30" t="s">
        <v>32</v>
      </c>
      <c r="M246" s="10" t="n">
        <v>5</v>
      </c>
      <c r="N246" s="12" t="n">
        <v>-3793</v>
      </c>
      <c r="O246" s="13" t="n">
        <v>-0.0511412803795396</v>
      </c>
      <c r="P246" s="15" t="n">
        <v>0.0313573066609505</v>
      </c>
      <c r="Q246" s="13" t="n">
        <v>-0.0562743599180845</v>
      </c>
      <c r="R246" s="15" t="n">
        <v>0.121028744326778</v>
      </c>
      <c r="S246" s="32" t="n">
        <v>112392619950</v>
      </c>
      <c r="T246" s="15" t="n">
        <v>0.0977777777777777</v>
      </c>
      <c r="U246" s="32" t="n">
        <v>13768832335</v>
      </c>
      <c r="V246" s="14" t="n">
        <v>7.17033686204234</v>
      </c>
      <c r="W246" s="13" t="n">
        <v>0.102678571428571</v>
      </c>
      <c r="X246" s="15" t="n">
        <v>0.0121457489878543</v>
      </c>
      <c r="Y246" s="13" t="n">
        <v>-0.011880263544711</v>
      </c>
      <c r="Z246" s="13" t="n">
        <v>-0.00182724658745104</v>
      </c>
      <c r="AA246" s="30" t="s">
        <v>97</v>
      </c>
      <c r="AB246" s="28" t="s">
        <v>94</v>
      </c>
      <c r="AC246" s="28" t="s">
        <v>102</v>
      </c>
      <c r="AD246" s="28" t="s">
        <v>109</v>
      </c>
      <c r="AE246" s="28" t="s">
        <v>101</v>
      </c>
      <c r="AF246" s="28" t="s">
        <v>119</v>
      </c>
      <c r="AG246" s="30" t="s">
        <v>122</v>
      </c>
    </row>
    <row r="247" customFormat="false" ht="15" hidden="false" customHeight="false" outlineLevel="0" collapsed="false">
      <c r="A247" s="10" t="n">
        <v>2024</v>
      </c>
      <c r="B247" s="28" t="s">
        <v>57</v>
      </c>
      <c r="C247" s="29" t="n">
        <v>45485</v>
      </c>
      <c r="D247" s="30" t="s">
        <v>129</v>
      </c>
      <c r="E247" s="28" t="s">
        <v>685</v>
      </c>
      <c r="F247" s="30" t="s">
        <v>686</v>
      </c>
      <c r="G247" s="31" t="n">
        <v>91300</v>
      </c>
      <c r="H247" s="31" t="n">
        <v>1</v>
      </c>
      <c r="I247" s="31" t="n">
        <v>91300</v>
      </c>
      <c r="J247" s="29" t="n">
        <v>45497</v>
      </c>
      <c r="K247" s="31" t="n">
        <v>86913</v>
      </c>
      <c r="L247" s="30" t="s">
        <v>32</v>
      </c>
      <c r="M247" s="10" t="n">
        <v>8</v>
      </c>
      <c r="N247" s="12" t="n">
        <v>-4571</v>
      </c>
      <c r="O247" s="13" t="n">
        <v>-0.0500611860511767</v>
      </c>
      <c r="P247" s="15" t="n">
        <v>0.0250982037815895</v>
      </c>
      <c r="Q247" s="13" t="n">
        <v>-0.0531934105601817</v>
      </c>
      <c r="R247" s="15" t="n">
        <v>0.0279269602577874</v>
      </c>
      <c r="S247" s="32" t="n">
        <v>35790077400</v>
      </c>
      <c r="T247" s="15" t="n">
        <v>0.0116279069767442</v>
      </c>
      <c r="U247" s="32" t="n">
        <v>9660411000</v>
      </c>
      <c r="V247" s="14" t="n">
        <v>3.57977540135617</v>
      </c>
      <c r="W247" s="13" t="n">
        <v>0.0279269602577874</v>
      </c>
      <c r="X247" s="15" t="n">
        <v>0.0355276907001045</v>
      </c>
      <c r="Y247" s="13" t="n">
        <v>-0.011880263544711</v>
      </c>
      <c r="Z247" s="13" t="n">
        <v>-0.00182724658745104</v>
      </c>
      <c r="AA247" s="30" t="s">
        <v>97</v>
      </c>
      <c r="AB247" s="28" t="s">
        <v>94</v>
      </c>
      <c r="AC247" s="28" t="s">
        <v>99</v>
      </c>
      <c r="AD247" s="28" t="s">
        <v>107</v>
      </c>
      <c r="AE247" s="28" t="s">
        <v>112</v>
      </c>
      <c r="AF247" s="28" t="s">
        <v>118</v>
      </c>
      <c r="AG247" s="30" t="s">
        <v>122</v>
      </c>
    </row>
    <row r="248" customFormat="false" ht="15" hidden="false" customHeight="false" outlineLevel="0" collapsed="false">
      <c r="A248" s="10" t="n">
        <v>2024</v>
      </c>
      <c r="B248" s="28" t="s">
        <v>57</v>
      </c>
      <c r="C248" s="29" t="n">
        <v>45488</v>
      </c>
      <c r="D248" s="30" t="s">
        <v>125</v>
      </c>
      <c r="E248" s="28" t="s">
        <v>309</v>
      </c>
      <c r="F248" s="28" t="s">
        <v>310</v>
      </c>
      <c r="G248" s="31" t="n">
        <v>8088</v>
      </c>
      <c r="H248" s="31" t="n">
        <v>12</v>
      </c>
      <c r="I248" s="31" t="n">
        <v>97057</v>
      </c>
      <c r="J248" s="29" t="n">
        <v>45506</v>
      </c>
      <c r="K248" s="31" t="n">
        <v>7692</v>
      </c>
      <c r="L248" s="30" t="s">
        <v>32</v>
      </c>
      <c r="M248" s="10" t="n">
        <v>14</v>
      </c>
      <c r="N248" s="12" t="n">
        <v>-4944</v>
      </c>
      <c r="O248" s="13" t="n">
        <v>-0.0509383187357197</v>
      </c>
      <c r="P248" s="15" t="n">
        <v>0.132530835501133</v>
      </c>
      <c r="Q248" s="13" t="n">
        <v>-0.0628183697490627</v>
      </c>
      <c r="R248" s="15" t="n">
        <v>0.0993197278911564</v>
      </c>
      <c r="S248" s="32" t="n">
        <v>57427985920</v>
      </c>
      <c r="T248" s="15" t="n">
        <v>0.00123915737298641</v>
      </c>
      <c r="U248" s="32" t="n">
        <v>9432466397</v>
      </c>
      <c r="V248" s="14" t="n">
        <v>5.78823938524698</v>
      </c>
      <c r="W248" s="13" t="n">
        <v>0.0874831763122477</v>
      </c>
      <c r="X248" s="15" t="n">
        <v>0.00247524752475248</v>
      </c>
      <c r="Y248" s="13" t="n">
        <v>0.0013720686034302</v>
      </c>
      <c r="Z248" s="13" t="n">
        <v>0.00110576115559025</v>
      </c>
      <c r="AA248" s="30" t="s">
        <v>97</v>
      </c>
      <c r="AB248" s="28" t="s">
        <v>93</v>
      </c>
      <c r="AC248" s="28" t="s">
        <v>101</v>
      </c>
      <c r="AD248" s="28" t="s">
        <v>108</v>
      </c>
      <c r="AE248" s="28" t="s">
        <v>112</v>
      </c>
      <c r="AF248" s="28" t="s">
        <v>119</v>
      </c>
      <c r="AG248" s="30" t="s">
        <v>122</v>
      </c>
    </row>
    <row r="249" customFormat="false" ht="15" hidden="false" customHeight="false" outlineLevel="0" collapsed="false">
      <c r="A249" s="10" t="n">
        <v>2024</v>
      </c>
      <c r="B249" s="28" t="s">
        <v>57</v>
      </c>
      <c r="C249" s="29" t="n">
        <v>45488</v>
      </c>
      <c r="D249" s="30" t="s">
        <v>125</v>
      </c>
      <c r="E249" s="28" t="s">
        <v>315</v>
      </c>
      <c r="F249" s="30" t="s">
        <v>316</v>
      </c>
      <c r="G249" s="31" t="n">
        <v>43644</v>
      </c>
      <c r="H249" s="31" t="n">
        <v>2</v>
      </c>
      <c r="I249" s="31" t="n">
        <v>87287</v>
      </c>
      <c r="J249" s="29" t="n">
        <v>45489</v>
      </c>
      <c r="K249" s="31" t="n">
        <v>41508</v>
      </c>
      <c r="L249" s="30" t="s">
        <v>32</v>
      </c>
      <c r="M249" s="10" t="n">
        <v>1</v>
      </c>
      <c r="N249" s="12" t="n">
        <v>-4445</v>
      </c>
      <c r="O249" s="13" t="n">
        <v>-0.0509270091720207</v>
      </c>
      <c r="P249" s="15" t="n">
        <v>0.0138943625182157</v>
      </c>
      <c r="Q249" s="13" t="n">
        <v>-0.0823396786699538</v>
      </c>
      <c r="R249" s="15" t="n">
        <v>0.0246768507638073</v>
      </c>
      <c r="S249" s="32" t="n">
        <v>28960776800</v>
      </c>
      <c r="T249" s="15" t="n">
        <v>0.00345224395857313</v>
      </c>
      <c r="U249" s="32" t="n">
        <v>8589956417.5</v>
      </c>
      <c r="V249" s="14" t="n">
        <v>3.27168450589899</v>
      </c>
      <c r="W249" s="13" t="n">
        <v>0.00809248554913289</v>
      </c>
      <c r="X249" s="15" t="n">
        <v>0.036697247706422</v>
      </c>
      <c r="Y249" s="13" t="n">
        <v>0.0013720686034302</v>
      </c>
      <c r="Z249" s="13" t="n">
        <v>0.00110576115559025</v>
      </c>
      <c r="AA249" s="30" t="s">
        <v>97</v>
      </c>
      <c r="AB249" s="28" t="s">
        <v>93</v>
      </c>
      <c r="AC249" s="28" t="s">
        <v>99</v>
      </c>
      <c r="AD249" s="28" t="s">
        <v>106</v>
      </c>
      <c r="AE249" s="28" t="s">
        <v>112</v>
      </c>
      <c r="AF249" s="28" t="s">
        <v>118</v>
      </c>
      <c r="AG249" s="30" t="s">
        <v>122</v>
      </c>
    </row>
    <row r="250" customFormat="false" ht="15" hidden="false" customHeight="false" outlineLevel="0" collapsed="false">
      <c r="A250" s="10" t="n">
        <v>2024</v>
      </c>
      <c r="B250" s="28" t="s">
        <v>57</v>
      </c>
      <c r="C250" s="29" t="n">
        <v>45489</v>
      </c>
      <c r="D250" s="30" t="s">
        <v>126</v>
      </c>
      <c r="E250" s="28" t="s">
        <v>531</v>
      </c>
      <c r="F250" s="30" t="s">
        <v>532</v>
      </c>
      <c r="G250" s="31" t="n">
        <v>7898</v>
      </c>
      <c r="H250" s="31" t="n">
        <v>12</v>
      </c>
      <c r="I250" s="31" t="n">
        <v>94775</v>
      </c>
      <c r="J250" s="29" t="n">
        <v>45495</v>
      </c>
      <c r="K250" s="31" t="n">
        <v>9480</v>
      </c>
      <c r="L250" s="30" t="s">
        <v>31</v>
      </c>
      <c r="M250" s="10" t="n">
        <v>4</v>
      </c>
      <c r="N250" s="12" t="n">
        <v>18749</v>
      </c>
      <c r="O250" s="13" t="n">
        <v>0.19782996680126</v>
      </c>
      <c r="P250" s="15" t="n">
        <v>0.262362479092517</v>
      </c>
      <c r="Q250" s="13" t="n">
        <v>-0.0364515079343976</v>
      </c>
      <c r="R250" s="15" t="n">
        <v>0.254372019077902</v>
      </c>
      <c r="S250" s="32" t="n">
        <v>160804188510</v>
      </c>
      <c r="T250" s="15" t="n">
        <v>0.254372019077902</v>
      </c>
      <c r="U250" s="32" t="n">
        <v>3809911136.5</v>
      </c>
      <c r="V250" s="14" t="n">
        <v>33.1289116119257</v>
      </c>
      <c r="W250" s="13" t="n">
        <v>0.219474497681607</v>
      </c>
      <c r="X250" s="15" t="n">
        <v>0.0228136882129277</v>
      </c>
      <c r="Y250" s="13" t="n">
        <v>0.00180711099925901</v>
      </c>
      <c r="Z250" s="13" t="n">
        <v>-0.000449888051112901</v>
      </c>
      <c r="AA250" s="30" t="s">
        <v>97</v>
      </c>
      <c r="AB250" s="28" t="s">
        <v>94</v>
      </c>
      <c r="AC250" s="28" t="s">
        <v>104</v>
      </c>
      <c r="AD250" s="28" t="s">
        <v>109</v>
      </c>
      <c r="AE250" s="28" t="s">
        <v>114</v>
      </c>
      <c r="AF250" s="28" t="s">
        <v>120</v>
      </c>
      <c r="AG250" s="30" t="s">
        <v>122</v>
      </c>
    </row>
    <row r="251" customFormat="false" ht="15" hidden="false" customHeight="false" outlineLevel="0" collapsed="false">
      <c r="A251" s="10" t="n">
        <v>2024</v>
      </c>
      <c r="B251" s="28" t="s">
        <v>57</v>
      </c>
      <c r="C251" s="29" t="n">
        <v>45489</v>
      </c>
      <c r="D251" s="30" t="s">
        <v>126</v>
      </c>
      <c r="E251" s="28" t="s">
        <v>1183</v>
      </c>
      <c r="F251" s="30" t="s">
        <v>1184</v>
      </c>
      <c r="G251" s="31" t="n">
        <v>28911</v>
      </c>
      <c r="H251" s="31" t="n">
        <v>3</v>
      </c>
      <c r="I251" s="31" t="n">
        <v>86733</v>
      </c>
      <c r="J251" s="29" t="n">
        <v>45491</v>
      </c>
      <c r="K251" s="31" t="n">
        <v>27522</v>
      </c>
      <c r="L251" s="30" t="s">
        <v>32</v>
      </c>
      <c r="M251" s="10" t="n">
        <v>2</v>
      </c>
      <c r="N251" s="12" t="n">
        <v>-4339</v>
      </c>
      <c r="O251" s="13" t="n">
        <v>-0.0500295714975961</v>
      </c>
      <c r="P251" s="15" t="n">
        <v>0.0732589129801673</v>
      </c>
      <c r="Q251" s="13" t="n">
        <v>-0.0717760752603958</v>
      </c>
      <c r="R251" s="15" t="n">
        <v>0.15803631472764</v>
      </c>
      <c r="S251" s="32" t="n">
        <v>145906895652</v>
      </c>
      <c r="T251" s="15" t="n">
        <v>0.0629629629629629</v>
      </c>
      <c r="U251" s="32" t="n">
        <v>3696443305.35</v>
      </c>
      <c r="V251" s="14" t="n">
        <v>35.160870265615</v>
      </c>
      <c r="W251" s="13" t="n">
        <v>0.131406044678055</v>
      </c>
      <c r="X251" s="15" t="n">
        <v>0.056910569105691</v>
      </c>
      <c r="Y251" s="13" t="n">
        <v>0.00180711099925901</v>
      </c>
      <c r="Z251" s="13" t="n">
        <v>-0.000449888051112901</v>
      </c>
      <c r="AA251" s="30" t="s">
        <v>97</v>
      </c>
      <c r="AB251" s="28" t="s">
        <v>94</v>
      </c>
      <c r="AC251" s="28" t="s">
        <v>103</v>
      </c>
      <c r="AD251" s="28" t="s">
        <v>109</v>
      </c>
      <c r="AE251" s="28" t="s">
        <v>101</v>
      </c>
      <c r="AF251" s="28" t="s">
        <v>120</v>
      </c>
      <c r="AG251" s="30" t="s">
        <v>122</v>
      </c>
    </row>
    <row r="252" customFormat="false" ht="15" hidden="false" customHeight="false" outlineLevel="0" collapsed="false">
      <c r="A252" s="10" t="n">
        <v>2024</v>
      </c>
      <c r="B252" s="28" t="s">
        <v>57</v>
      </c>
      <c r="C252" s="29" t="n">
        <v>45489</v>
      </c>
      <c r="D252" s="30" t="s">
        <v>126</v>
      </c>
      <c r="E252" s="28" t="s">
        <v>1325</v>
      </c>
      <c r="F252" s="30" t="s">
        <v>1326</v>
      </c>
      <c r="G252" s="31" t="n">
        <v>11892</v>
      </c>
      <c r="H252" s="31" t="n">
        <v>8</v>
      </c>
      <c r="I252" s="31" t="n">
        <v>95135</v>
      </c>
      <c r="J252" s="29" t="n">
        <v>45491</v>
      </c>
      <c r="K252" s="31" t="n">
        <v>14280</v>
      </c>
      <c r="L252" s="30" t="s">
        <v>31</v>
      </c>
      <c r="M252" s="10" t="n">
        <v>2</v>
      </c>
      <c r="N252" s="12" t="n">
        <v>18868</v>
      </c>
      <c r="O252" s="13" t="n">
        <v>0.198327784841421</v>
      </c>
      <c r="P252" s="15" t="n">
        <v>0.244546699092154</v>
      </c>
      <c r="Q252" s="13" t="n">
        <v>-0.0396808578626759</v>
      </c>
      <c r="R252" s="15" t="n">
        <v>0.189189189189189</v>
      </c>
      <c r="S252" s="32" t="n">
        <v>84963087000</v>
      </c>
      <c r="T252" s="15" t="n">
        <v>0.0339425587467364</v>
      </c>
      <c r="U252" s="32" t="n">
        <v>4913764250.5</v>
      </c>
      <c r="V252" s="14" t="n">
        <v>13.8601109948421</v>
      </c>
      <c r="W252" s="13" t="n">
        <v>0.193969849246231</v>
      </c>
      <c r="X252" s="15" t="n">
        <v>0.042929292929293</v>
      </c>
      <c r="Y252" s="13" t="n">
        <v>0.00180711099925901</v>
      </c>
      <c r="Z252" s="13" t="n">
        <v>-0.000449888051112901</v>
      </c>
      <c r="AA252" s="30" t="s">
        <v>97</v>
      </c>
      <c r="AB252" s="28" t="s">
        <v>94</v>
      </c>
      <c r="AC252" s="28" t="s">
        <v>103</v>
      </c>
      <c r="AD252" s="28" t="s">
        <v>108</v>
      </c>
      <c r="AE252" s="28" t="s">
        <v>113</v>
      </c>
      <c r="AF252" s="28" t="s">
        <v>120</v>
      </c>
      <c r="AG252" s="30" t="s">
        <v>122</v>
      </c>
    </row>
    <row r="253" customFormat="false" ht="15" hidden="false" customHeight="false" outlineLevel="0" collapsed="false">
      <c r="A253" s="10" t="n">
        <v>2024</v>
      </c>
      <c r="B253" s="28" t="s">
        <v>57</v>
      </c>
      <c r="C253" s="29" t="n">
        <v>45489</v>
      </c>
      <c r="D253" s="30" t="s">
        <v>126</v>
      </c>
      <c r="E253" s="28" t="s">
        <v>1327</v>
      </c>
      <c r="F253" s="30" t="s">
        <v>1328</v>
      </c>
      <c r="G253" s="31" t="n">
        <v>22823</v>
      </c>
      <c r="H253" s="31" t="n">
        <v>4</v>
      </c>
      <c r="I253" s="31" t="n">
        <v>91291</v>
      </c>
      <c r="J253" s="29" t="n">
        <v>45491</v>
      </c>
      <c r="K253" s="31" t="n">
        <v>21578</v>
      </c>
      <c r="L253" s="30" t="s">
        <v>32</v>
      </c>
      <c r="M253" s="10" t="n">
        <v>2</v>
      </c>
      <c r="N253" s="12" t="n">
        <v>-5160</v>
      </c>
      <c r="O253" s="13" t="n">
        <v>-0.056518100320732</v>
      </c>
      <c r="P253" s="15" t="n">
        <v>0.00995495732337837</v>
      </c>
      <c r="Q253" s="13" t="n">
        <v>-0.0754859175911807</v>
      </c>
      <c r="R253" s="15" t="n">
        <v>0.0340136054421769</v>
      </c>
      <c r="S253" s="32" t="n">
        <v>32238151200</v>
      </c>
      <c r="T253" s="15" t="n">
        <v>0.0178571428571428</v>
      </c>
      <c r="U253" s="32" t="n">
        <v>9496804461.5</v>
      </c>
      <c r="V253" s="14" t="n">
        <v>3.18105827397902</v>
      </c>
      <c r="W253" s="13" t="n">
        <v>0.0410958904109589</v>
      </c>
      <c r="X253" s="15" t="n">
        <v>0.0570175438596492</v>
      </c>
      <c r="Y253" s="13" t="n">
        <v>0.00180711099925901</v>
      </c>
      <c r="Z253" s="13" t="n">
        <v>-0.000449888051112901</v>
      </c>
      <c r="AA253" s="30" t="s">
        <v>97</v>
      </c>
      <c r="AB253" s="28" t="s">
        <v>94</v>
      </c>
      <c r="AC253" s="28" t="s">
        <v>100</v>
      </c>
      <c r="AD253" s="28" t="s">
        <v>107</v>
      </c>
      <c r="AE253" s="28" t="s">
        <v>112</v>
      </c>
      <c r="AF253" s="28" t="s">
        <v>118</v>
      </c>
      <c r="AG253" s="30" t="s">
        <v>122</v>
      </c>
    </row>
    <row r="254" customFormat="false" ht="15" hidden="false" customHeight="false" outlineLevel="0" collapsed="false">
      <c r="A254" s="10" t="n">
        <v>2024</v>
      </c>
      <c r="B254" s="28" t="s">
        <v>57</v>
      </c>
      <c r="C254" s="29" t="n">
        <v>45489</v>
      </c>
      <c r="D254" s="30" t="s">
        <v>126</v>
      </c>
      <c r="E254" s="28" t="s">
        <v>833</v>
      </c>
      <c r="F254" s="30" t="s">
        <v>834</v>
      </c>
      <c r="G254" s="31" t="n">
        <v>4004</v>
      </c>
      <c r="H254" s="31" t="n">
        <v>24</v>
      </c>
      <c r="I254" s="31" t="n">
        <v>96096</v>
      </c>
      <c r="J254" s="29" t="n">
        <v>45492</v>
      </c>
      <c r="K254" s="31" t="n">
        <v>3811</v>
      </c>
      <c r="L254" s="30" t="s">
        <v>32</v>
      </c>
      <c r="M254" s="10" t="n">
        <v>3</v>
      </c>
      <c r="N254" s="12" t="n">
        <v>-4820</v>
      </c>
      <c r="O254" s="13" t="n">
        <v>-0.0501616909965035</v>
      </c>
      <c r="P254" s="15" t="n">
        <v>0.0389610389610391</v>
      </c>
      <c r="Q254" s="13" t="n">
        <v>-0.0484515484515483</v>
      </c>
      <c r="R254" s="15" t="n">
        <v>0.0243277848911652</v>
      </c>
      <c r="S254" s="32" t="n">
        <v>23238660000</v>
      </c>
      <c r="T254" s="15" t="n">
        <v>0.00882723833543508</v>
      </c>
      <c r="U254" s="32" t="n">
        <v>3614486403.5</v>
      </c>
      <c r="V254" s="14" t="n">
        <v>6.18642377572293</v>
      </c>
      <c r="W254" s="13" t="n">
        <v>-0.0407673860911271</v>
      </c>
      <c r="X254" s="15" t="n">
        <v>0.06125</v>
      </c>
      <c r="Y254" s="13" t="n">
        <v>0.00180711099925901</v>
      </c>
      <c r="Z254" s="13" t="n">
        <v>-0.000449888051112901</v>
      </c>
      <c r="AA254" s="30" t="s">
        <v>97</v>
      </c>
      <c r="AB254" s="28" t="s">
        <v>94</v>
      </c>
      <c r="AC254" s="28" t="s">
        <v>99</v>
      </c>
      <c r="AD254" s="28" t="s">
        <v>106</v>
      </c>
      <c r="AE254" s="28" t="s">
        <v>112</v>
      </c>
      <c r="AF254" s="28" t="s">
        <v>119</v>
      </c>
      <c r="AG254" s="30" t="s">
        <v>123</v>
      </c>
    </row>
    <row r="255" customFormat="false" ht="15" hidden="false" customHeight="false" outlineLevel="0" collapsed="false">
      <c r="A255" s="10" t="n">
        <v>2024</v>
      </c>
      <c r="B255" s="28" t="s">
        <v>57</v>
      </c>
      <c r="C255" s="29" t="n">
        <v>45489</v>
      </c>
      <c r="D255" s="30" t="s">
        <v>126</v>
      </c>
      <c r="E255" s="28" t="s">
        <v>279</v>
      </c>
      <c r="F255" s="30" t="s">
        <v>280</v>
      </c>
      <c r="G255" s="31" t="n">
        <v>50250</v>
      </c>
      <c r="H255" s="31" t="n">
        <v>1</v>
      </c>
      <c r="I255" s="31" t="n">
        <v>50250</v>
      </c>
      <c r="J255" s="29" t="n">
        <v>45490</v>
      </c>
      <c r="K255" s="31" t="n">
        <v>47802</v>
      </c>
      <c r="L255" s="30" t="s">
        <v>32</v>
      </c>
      <c r="M255" s="10" t="n">
        <v>1</v>
      </c>
      <c r="N255" s="12" t="n">
        <v>-2549</v>
      </c>
      <c r="O255" s="13" t="n">
        <v>-0.0507222204588241</v>
      </c>
      <c r="P255" s="15" t="n">
        <v>-0.000999000999000965</v>
      </c>
      <c r="Q255" s="13" t="n">
        <v>-0.0527400885966622</v>
      </c>
      <c r="R255" s="15" t="n">
        <v>0.0404145077720208</v>
      </c>
      <c r="S255" s="32" t="n">
        <v>22877746400</v>
      </c>
      <c r="T255" s="15" t="n">
        <v>0.00803212851405633</v>
      </c>
      <c r="U255" s="32" t="n">
        <v>11084281212.5</v>
      </c>
      <c r="V255" s="14" t="n">
        <v>1.930341464737</v>
      </c>
      <c r="W255" s="13" t="n">
        <v>0.0350515463917527</v>
      </c>
      <c r="X255" s="15" t="n">
        <v>0.0258964143426295</v>
      </c>
      <c r="Y255" s="13" t="n">
        <v>0.00180711099925901</v>
      </c>
      <c r="Z255" s="13" t="n">
        <v>-0.000449888051112901</v>
      </c>
      <c r="AA255" s="30" t="s">
        <v>97</v>
      </c>
      <c r="AB255" s="28" t="s">
        <v>94</v>
      </c>
      <c r="AC255" s="28" t="s">
        <v>100</v>
      </c>
      <c r="AD255" s="28" t="s">
        <v>106</v>
      </c>
      <c r="AE255" s="28" t="s">
        <v>112</v>
      </c>
      <c r="AF255" s="28" t="s">
        <v>116</v>
      </c>
      <c r="AG255" s="30" t="s">
        <v>122</v>
      </c>
    </row>
    <row r="256" customFormat="false" ht="15" hidden="false" customHeight="false" outlineLevel="0" collapsed="false">
      <c r="A256" s="10" t="n">
        <v>2024</v>
      </c>
      <c r="B256" s="28" t="s">
        <v>57</v>
      </c>
      <c r="C256" s="29" t="n">
        <v>45490</v>
      </c>
      <c r="D256" s="30" t="s">
        <v>127</v>
      </c>
      <c r="E256" s="28" t="s">
        <v>717</v>
      </c>
      <c r="F256" s="30" t="s">
        <v>718</v>
      </c>
      <c r="G256" s="31" t="n">
        <v>34484</v>
      </c>
      <c r="H256" s="31" t="n">
        <v>2</v>
      </c>
      <c r="I256" s="31" t="n">
        <v>68969</v>
      </c>
      <c r="J256" s="29" t="n">
        <v>45491</v>
      </c>
      <c r="K256" s="31" t="n">
        <v>32817</v>
      </c>
      <c r="L256" s="30" t="s">
        <v>32</v>
      </c>
      <c r="M256" s="10" t="n">
        <v>1</v>
      </c>
      <c r="N256" s="12" t="n">
        <v>-3473</v>
      </c>
      <c r="O256" s="13" t="n">
        <v>-0.0503550472749311</v>
      </c>
      <c r="P256" s="15" t="n">
        <v>0.0106004300489062</v>
      </c>
      <c r="Q256" s="13" t="n">
        <v>-0.0473967251906293</v>
      </c>
      <c r="R256" s="15" t="n">
        <v>0.0487062404870624</v>
      </c>
      <c r="S256" s="32" t="n">
        <v>75242968450</v>
      </c>
      <c r="T256" s="15" t="n">
        <v>0.0376506024096386</v>
      </c>
      <c r="U256" s="32" t="n">
        <v>13869426577.5</v>
      </c>
      <c r="V256" s="14" t="n">
        <v>5.08666946060885</v>
      </c>
      <c r="W256" s="13" t="n">
        <v>0.0392156862745099</v>
      </c>
      <c r="X256" s="15" t="n">
        <v>0.0130624092888243</v>
      </c>
      <c r="Y256" s="13" t="n">
        <v>-0.00795508863992411</v>
      </c>
      <c r="Z256" s="13" t="n">
        <v>-0.00861230339017916</v>
      </c>
      <c r="AA256" s="30" t="s">
        <v>97</v>
      </c>
      <c r="AB256" s="28" t="s">
        <v>94</v>
      </c>
      <c r="AC256" s="28" t="s">
        <v>100</v>
      </c>
      <c r="AD256" s="28" t="s">
        <v>108</v>
      </c>
      <c r="AE256" s="28" t="s">
        <v>113</v>
      </c>
      <c r="AF256" s="28" t="s">
        <v>119</v>
      </c>
      <c r="AG256" s="30" t="s">
        <v>122</v>
      </c>
    </row>
    <row r="257" customFormat="false" ht="15" hidden="false" customHeight="false" outlineLevel="0" collapsed="false">
      <c r="A257" s="10" t="n">
        <v>2024</v>
      </c>
      <c r="B257" s="28" t="s">
        <v>57</v>
      </c>
      <c r="C257" s="29" t="n">
        <v>45490</v>
      </c>
      <c r="D257" s="30" t="s">
        <v>127</v>
      </c>
      <c r="E257" s="28" t="s">
        <v>409</v>
      </c>
      <c r="F257" s="30" t="s">
        <v>410</v>
      </c>
      <c r="G257" s="31" t="n">
        <v>15826</v>
      </c>
      <c r="H257" s="31" t="n">
        <v>6</v>
      </c>
      <c r="I257" s="31" t="n">
        <v>94959</v>
      </c>
      <c r="J257" s="29" t="n">
        <v>45491</v>
      </c>
      <c r="K257" s="31" t="n">
        <v>14995</v>
      </c>
      <c r="L257" s="30" t="s">
        <v>32</v>
      </c>
      <c r="M257" s="10" t="n">
        <v>1</v>
      </c>
      <c r="N257" s="12" t="n">
        <v>-5178</v>
      </c>
      <c r="O257" s="13" t="n">
        <v>-0.0545273157222523</v>
      </c>
      <c r="P257" s="15" t="n">
        <v>-0.042097143362966</v>
      </c>
      <c r="Q257" s="13" t="n">
        <v>-0.0990022635592254</v>
      </c>
      <c r="R257" s="15" t="n">
        <v>0.0766609880749574</v>
      </c>
      <c r="S257" s="32" t="n">
        <v>70296386720</v>
      </c>
      <c r="T257" s="15" t="n">
        <v>0.0360655737704918</v>
      </c>
      <c r="U257" s="32" t="n">
        <v>9511004918.5</v>
      </c>
      <c r="V257" s="14" t="n">
        <v>6.75385676640255</v>
      </c>
      <c r="W257" s="13" t="n">
        <v>0.0859106529209621</v>
      </c>
      <c r="X257" s="15" t="n">
        <v>0.0379746835443038</v>
      </c>
      <c r="Y257" s="13" t="n">
        <v>-0.00795508863992411</v>
      </c>
      <c r="Z257" s="13" t="n">
        <v>-0.00861230339017916</v>
      </c>
      <c r="AA257" s="30" t="s">
        <v>97</v>
      </c>
      <c r="AB257" s="28" t="s">
        <v>94</v>
      </c>
      <c r="AC257" s="28" t="s">
        <v>101</v>
      </c>
      <c r="AD257" s="28" t="s">
        <v>108</v>
      </c>
      <c r="AE257" s="28" t="s">
        <v>113</v>
      </c>
      <c r="AF257" s="28" t="s">
        <v>119</v>
      </c>
      <c r="AG257" s="30" t="s">
        <v>122</v>
      </c>
    </row>
    <row r="258" customFormat="false" ht="15" hidden="false" customHeight="false" outlineLevel="0" collapsed="false">
      <c r="A258" s="10" t="n">
        <v>2024</v>
      </c>
      <c r="B258" s="28" t="s">
        <v>57</v>
      </c>
      <c r="C258" s="29" t="n">
        <v>45492</v>
      </c>
      <c r="D258" s="30" t="s">
        <v>129</v>
      </c>
      <c r="E258" s="28" t="s">
        <v>229</v>
      </c>
      <c r="F258" s="30" t="s">
        <v>230</v>
      </c>
      <c r="G258" s="31" t="n">
        <v>37888</v>
      </c>
      <c r="H258" s="31" t="n">
        <v>2</v>
      </c>
      <c r="I258" s="31" t="n">
        <v>75776</v>
      </c>
      <c r="J258" s="29" t="n">
        <v>45498</v>
      </c>
      <c r="K258" s="31" t="n">
        <v>36064</v>
      </c>
      <c r="L258" s="30" t="s">
        <v>32</v>
      </c>
      <c r="M258" s="10" t="n">
        <v>4</v>
      </c>
      <c r="N258" s="12" t="n">
        <v>-3800</v>
      </c>
      <c r="O258" s="13" t="n">
        <v>-0.0501468883164392</v>
      </c>
      <c r="P258" s="15" t="n">
        <v>0.0517883701503252</v>
      </c>
      <c r="Q258" s="13" t="n">
        <v>-0.0828194262804566</v>
      </c>
      <c r="R258" s="15" t="n">
        <v>0.131539611360239</v>
      </c>
      <c r="S258" s="32" t="n">
        <v>131422656450</v>
      </c>
      <c r="T258" s="15" t="n">
        <v>0.0692090395480225</v>
      </c>
      <c r="U258" s="32" t="n">
        <v>42897853100</v>
      </c>
      <c r="V258" s="14" t="n">
        <v>2.62308745789237</v>
      </c>
      <c r="W258" s="13" t="n">
        <v>0.109970674486803</v>
      </c>
      <c r="X258" s="15" t="n">
        <v>0.00660501981505934</v>
      </c>
      <c r="Y258" s="13" t="n">
        <v>-0.0102289022252907</v>
      </c>
      <c r="Z258" s="13" t="n">
        <v>-0.0215400770038502</v>
      </c>
      <c r="AA258" s="30" t="s">
        <v>96</v>
      </c>
      <c r="AB258" s="28" t="s">
        <v>94</v>
      </c>
      <c r="AC258" s="28" t="s">
        <v>102</v>
      </c>
      <c r="AD258" s="28" t="s">
        <v>109</v>
      </c>
      <c r="AE258" s="28" t="s">
        <v>101</v>
      </c>
      <c r="AF258" s="28" t="s">
        <v>117</v>
      </c>
      <c r="AG258" s="30" t="s">
        <v>122</v>
      </c>
    </row>
    <row r="259" customFormat="false" ht="15" hidden="false" customHeight="false" outlineLevel="0" collapsed="false">
      <c r="A259" s="10" t="n">
        <v>2024</v>
      </c>
      <c r="B259" s="28" t="s">
        <v>57</v>
      </c>
      <c r="C259" s="29" t="n">
        <v>45492</v>
      </c>
      <c r="D259" s="30" t="s">
        <v>129</v>
      </c>
      <c r="E259" s="28" t="s">
        <v>675</v>
      </c>
      <c r="F259" s="28" t="s">
        <v>676</v>
      </c>
      <c r="G259" s="31" t="n">
        <v>55055</v>
      </c>
      <c r="H259" s="31" t="n">
        <v>1</v>
      </c>
      <c r="I259" s="31" t="n">
        <v>55055</v>
      </c>
      <c r="J259" s="29" t="n">
        <v>45497</v>
      </c>
      <c r="K259" s="31" t="n">
        <v>52148</v>
      </c>
      <c r="L259" s="30" t="s">
        <v>32</v>
      </c>
      <c r="M259" s="10" t="n">
        <v>3</v>
      </c>
      <c r="N259" s="12" t="n">
        <v>-3017</v>
      </c>
      <c r="O259" s="13" t="n">
        <v>-0.0548024059576786</v>
      </c>
      <c r="P259" s="15" t="n">
        <v>0.0117155571701029</v>
      </c>
      <c r="Q259" s="13" t="n">
        <v>-0.0700208882027062</v>
      </c>
      <c r="R259" s="15" t="n">
        <v>0.0204081632653062</v>
      </c>
      <c r="S259" s="32" t="n">
        <v>48154040000</v>
      </c>
      <c r="T259" s="15" t="n">
        <v>0.0204081632653062</v>
      </c>
      <c r="U259" s="32" t="n">
        <v>50357222905</v>
      </c>
      <c r="V259" s="14" t="n">
        <v>0.894079296017022</v>
      </c>
      <c r="W259" s="13" t="n">
        <v>0.02803738317757</v>
      </c>
      <c r="X259" s="15" t="n">
        <v>0.00727272727272732</v>
      </c>
      <c r="Y259" s="13" t="n">
        <v>-0.0102289022252907</v>
      </c>
      <c r="Z259" s="13" t="n">
        <v>-0.0215400770038502</v>
      </c>
      <c r="AA259" s="30" t="s">
        <v>96</v>
      </c>
      <c r="AB259" s="28" t="s">
        <v>94</v>
      </c>
      <c r="AC259" s="28" t="s">
        <v>99</v>
      </c>
      <c r="AD259" s="28" t="s">
        <v>107</v>
      </c>
      <c r="AE259" s="28" t="s">
        <v>113</v>
      </c>
      <c r="AF259" s="28" t="s">
        <v>116</v>
      </c>
      <c r="AG259" s="30" t="s">
        <v>122</v>
      </c>
    </row>
    <row r="260" customFormat="false" ht="15" hidden="false" customHeight="false" outlineLevel="0" collapsed="false">
      <c r="A260" s="10" t="n">
        <v>2024</v>
      </c>
      <c r="B260" s="28" t="s">
        <v>57</v>
      </c>
      <c r="C260" s="29" t="n">
        <v>45492</v>
      </c>
      <c r="D260" s="30" t="s">
        <v>129</v>
      </c>
      <c r="E260" s="28" t="s">
        <v>355</v>
      </c>
      <c r="F260" s="30" t="s">
        <v>356</v>
      </c>
      <c r="G260" s="31" t="n">
        <v>50751</v>
      </c>
      <c r="H260" s="31" t="n">
        <v>1</v>
      </c>
      <c r="I260" s="31" t="n">
        <v>50751</v>
      </c>
      <c r="J260" s="29" t="n">
        <v>45495</v>
      </c>
      <c r="K260" s="31" t="n">
        <v>48302</v>
      </c>
      <c r="L260" s="30" t="s">
        <v>32</v>
      </c>
      <c r="M260" s="10" t="n">
        <v>1</v>
      </c>
      <c r="N260" s="12" t="n">
        <v>-2551</v>
      </c>
      <c r="O260" s="13" t="n">
        <v>-0.0502623771199214</v>
      </c>
      <c r="P260" s="15" t="n">
        <v>-0.00296941717060051</v>
      </c>
      <c r="Q260" s="13" t="n">
        <v>-0.0610966942327889</v>
      </c>
      <c r="R260" s="15" t="n">
        <v>0.0962162162162161</v>
      </c>
      <c r="S260" s="32" t="n">
        <v>44229919500</v>
      </c>
      <c r="T260" s="15" t="n">
        <v>0.0242424242424242</v>
      </c>
      <c r="U260" s="32" t="n">
        <v>11968476837.5</v>
      </c>
      <c r="V260" s="14" t="n">
        <v>3.47332167178576</v>
      </c>
      <c r="W260" s="13" t="n">
        <v>0.0903225806451613</v>
      </c>
      <c r="X260" s="15" t="n">
        <v>0</v>
      </c>
      <c r="Y260" s="13" t="n">
        <v>-0.0102289022252907</v>
      </c>
      <c r="Z260" s="13" t="n">
        <v>-0.0215400770038502</v>
      </c>
      <c r="AA260" s="30" t="s">
        <v>96</v>
      </c>
      <c r="AB260" s="28" t="s">
        <v>94</v>
      </c>
      <c r="AC260" s="28" t="s">
        <v>101</v>
      </c>
      <c r="AD260" s="28" t="s">
        <v>107</v>
      </c>
      <c r="AE260" s="28" t="s">
        <v>113</v>
      </c>
      <c r="AF260" s="28" t="s">
        <v>118</v>
      </c>
      <c r="AG260" s="30" t="s">
        <v>122</v>
      </c>
    </row>
    <row r="261" customFormat="false" ht="15" hidden="false" customHeight="false" outlineLevel="0" collapsed="false">
      <c r="A261" s="10" t="n">
        <v>2024</v>
      </c>
      <c r="B261" s="28" t="s">
        <v>57</v>
      </c>
      <c r="C261" s="29" t="n">
        <v>45492</v>
      </c>
      <c r="D261" s="30" t="s">
        <v>129</v>
      </c>
      <c r="E261" s="28" t="s">
        <v>523</v>
      </c>
      <c r="F261" s="30" t="s">
        <v>524</v>
      </c>
      <c r="G261" s="31" t="n">
        <v>17978</v>
      </c>
      <c r="H261" s="31" t="n">
        <v>5</v>
      </c>
      <c r="I261" s="31" t="n">
        <v>89890</v>
      </c>
      <c r="J261" s="29" t="n">
        <v>45495</v>
      </c>
      <c r="K261" s="31" t="n">
        <v>17113</v>
      </c>
      <c r="L261" s="30" t="s">
        <v>32</v>
      </c>
      <c r="M261" s="10" t="n">
        <v>1</v>
      </c>
      <c r="N261" s="12" t="n">
        <v>-4506</v>
      </c>
      <c r="O261" s="13" t="n">
        <v>-0.0501256422030086</v>
      </c>
      <c r="P261" s="15" t="n">
        <v>0.00178218218307302</v>
      </c>
      <c r="Q261" s="13" t="n">
        <v>-0.0532852448219932</v>
      </c>
      <c r="R261" s="15" t="n">
        <v>0.0496785505552309</v>
      </c>
      <c r="S261" s="32" t="n">
        <v>21535853960</v>
      </c>
      <c r="T261" s="15" t="n">
        <v>0.00167317345231455</v>
      </c>
      <c r="U261" s="32" t="n">
        <v>8527453785</v>
      </c>
      <c r="V261" s="14" t="n">
        <v>2.43421499372466</v>
      </c>
      <c r="W261" s="13" t="n">
        <v>0.00842223469960701</v>
      </c>
      <c r="X261" s="15" t="n">
        <v>0.0378619153674833</v>
      </c>
      <c r="Y261" s="13" t="n">
        <v>-0.0102289022252907</v>
      </c>
      <c r="Z261" s="13" t="n">
        <v>-0.0215400770038502</v>
      </c>
      <c r="AA261" s="30" t="s">
        <v>96</v>
      </c>
      <c r="AB261" s="28" t="s">
        <v>94</v>
      </c>
      <c r="AC261" s="28" t="s">
        <v>100</v>
      </c>
      <c r="AD261" s="28" t="s">
        <v>106</v>
      </c>
      <c r="AE261" s="28" t="s">
        <v>112</v>
      </c>
      <c r="AF261" s="28" t="s">
        <v>117</v>
      </c>
      <c r="AG261" s="30" t="s">
        <v>122</v>
      </c>
    </row>
    <row r="262" customFormat="false" ht="15" hidden="false" customHeight="false" outlineLevel="0" collapsed="false">
      <c r="A262" s="10" t="n">
        <v>2024</v>
      </c>
      <c r="B262" s="28" t="s">
        <v>57</v>
      </c>
      <c r="C262" s="29" t="n">
        <v>45495</v>
      </c>
      <c r="D262" s="30" t="s">
        <v>125</v>
      </c>
      <c r="E262" s="28" t="s">
        <v>1329</v>
      </c>
      <c r="F262" s="30" t="s">
        <v>1330</v>
      </c>
      <c r="G262" s="31" t="n">
        <v>3709</v>
      </c>
      <c r="H262" s="31" t="n">
        <v>26</v>
      </c>
      <c r="I262" s="31" t="n">
        <v>96426</v>
      </c>
      <c r="J262" s="29" t="n">
        <v>45496</v>
      </c>
      <c r="K262" s="31" t="n">
        <v>3526</v>
      </c>
      <c r="L262" s="30" t="s">
        <v>32</v>
      </c>
      <c r="M262" s="10" t="n">
        <v>1</v>
      </c>
      <c r="N262" s="12" t="n">
        <v>-4931</v>
      </c>
      <c r="O262" s="13" t="n">
        <v>-0.0511412803795396</v>
      </c>
      <c r="P262" s="15" t="n">
        <v>0.011134614373481</v>
      </c>
      <c r="Q262" s="13" t="n">
        <v>-0.0589707188897471</v>
      </c>
      <c r="R262" s="15" t="n">
        <v>0.150621118012422</v>
      </c>
      <c r="S262" s="32" t="n">
        <v>33508861035</v>
      </c>
      <c r="T262" s="15" t="n">
        <v>0.0451339915373765</v>
      </c>
      <c r="U262" s="32" t="n">
        <v>3836318724</v>
      </c>
      <c r="V262" s="14" t="n">
        <v>8.17004707731445</v>
      </c>
      <c r="W262" s="13" t="n">
        <v>0.136503067484663</v>
      </c>
      <c r="X262" s="15" t="n">
        <v>0.0661268556005399</v>
      </c>
      <c r="Y262" s="13" t="n">
        <v>-0.011429245991715</v>
      </c>
      <c r="Z262" s="13" t="n">
        <v>-0.0340484878989975</v>
      </c>
      <c r="AA262" s="30" t="s">
        <v>96</v>
      </c>
      <c r="AB262" s="28" t="s">
        <v>94</v>
      </c>
      <c r="AC262" s="28" t="s">
        <v>103</v>
      </c>
      <c r="AD262" s="28" t="s">
        <v>107</v>
      </c>
      <c r="AE262" s="28" t="s">
        <v>113</v>
      </c>
      <c r="AF262" s="28" t="s">
        <v>119</v>
      </c>
      <c r="AG262" s="30" t="s">
        <v>122</v>
      </c>
    </row>
    <row r="263" customFormat="false" ht="15" hidden="false" customHeight="false" outlineLevel="0" collapsed="false">
      <c r="A263" s="10" t="n">
        <v>2024</v>
      </c>
      <c r="B263" s="28" t="s">
        <v>57</v>
      </c>
      <c r="C263" s="29" t="n">
        <v>45496</v>
      </c>
      <c r="D263" s="30" t="s">
        <v>126</v>
      </c>
      <c r="E263" s="28" t="s">
        <v>295</v>
      </c>
      <c r="F263" s="30" t="s">
        <v>296</v>
      </c>
      <c r="G263" s="31" t="n">
        <v>20270</v>
      </c>
      <c r="H263" s="31" t="n">
        <v>4</v>
      </c>
      <c r="I263" s="31" t="n">
        <v>81081</v>
      </c>
      <c r="J263" s="29" t="n">
        <v>45504</v>
      </c>
      <c r="K263" s="31" t="n">
        <v>19291</v>
      </c>
      <c r="L263" s="30" t="s">
        <v>32</v>
      </c>
      <c r="M263" s="10" t="n">
        <v>6</v>
      </c>
      <c r="N263" s="12" t="n">
        <v>-4081</v>
      </c>
      <c r="O263" s="13" t="n">
        <v>-0.0503307745587745</v>
      </c>
      <c r="P263" s="15" t="n">
        <v>0.154401154401155</v>
      </c>
      <c r="Q263" s="13" t="n">
        <v>-0.0720390720390719</v>
      </c>
      <c r="R263" s="15" t="n">
        <v>0.0427394438722966</v>
      </c>
      <c r="S263" s="32" t="n">
        <v>59522384250</v>
      </c>
      <c r="T263" s="15" t="n">
        <v>0.00496277915632759</v>
      </c>
      <c r="U263" s="32" t="n">
        <v>48274497876</v>
      </c>
      <c r="V263" s="14" t="n">
        <v>1.16352605065515</v>
      </c>
      <c r="W263" s="13" t="n">
        <v>0.0492227979274611</v>
      </c>
      <c r="X263" s="15" t="n">
        <v>0.00740740740740731</v>
      </c>
      <c r="Y263" s="13" t="n">
        <v>0.00390083625534188</v>
      </c>
      <c r="Z263" s="13" t="n">
        <v>-0.0320296989975891</v>
      </c>
      <c r="AA263" s="30" t="s">
        <v>96</v>
      </c>
      <c r="AB263" s="28" t="s">
        <v>94</v>
      </c>
      <c r="AC263" s="28" t="s">
        <v>100</v>
      </c>
      <c r="AD263" s="28" t="s">
        <v>108</v>
      </c>
      <c r="AE263" s="28" t="s">
        <v>112</v>
      </c>
      <c r="AF263" s="28" t="s">
        <v>116</v>
      </c>
      <c r="AG263" s="30" t="s">
        <v>122</v>
      </c>
    </row>
    <row r="264" customFormat="false" ht="15" hidden="false" customHeight="false" outlineLevel="0" collapsed="false">
      <c r="A264" s="10" t="n">
        <v>2024</v>
      </c>
      <c r="B264" s="28" t="s">
        <v>57</v>
      </c>
      <c r="C264" s="29" t="n">
        <v>45502</v>
      </c>
      <c r="D264" s="30" t="s">
        <v>125</v>
      </c>
      <c r="E264" s="28" t="s">
        <v>425</v>
      </c>
      <c r="F264" s="30" t="s">
        <v>426</v>
      </c>
      <c r="G264" s="31" t="n">
        <v>13103</v>
      </c>
      <c r="H264" s="31" t="n">
        <v>7</v>
      </c>
      <c r="I264" s="31" t="n">
        <v>91722</v>
      </c>
      <c r="J264" s="29" t="n">
        <v>45504</v>
      </c>
      <c r="K264" s="31" t="n">
        <v>12468</v>
      </c>
      <c r="L264" s="30" t="s">
        <v>32</v>
      </c>
      <c r="M264" s="10" t="n">
        <v>2</v>
      </c>
      <c r="N264" s="12" t="n">
        <v>-4633</v>
      </c>
      <c r="O264" s="13" t="n">
        <v>-0.0505107671167641</v>
      </c>
      <c r="P264" s="15" t="n">
        <v>0.011975037949064</v>
      </c>
      <c r="Q264" s="13" t="n">
        <v>-0.107080848868473</v>
      </c>
      <c r="R264" s="15" t="n">
        <v>0.114042553191489</v>
      </c>
      <c r="S264" s="32" t="n">
        <v>64245379660</v>
      </c>
      <c r="T264" s="15" t="n">
        <v>0.0364212193190816</v>
      </c>
      <c r="U264" s="32" t="n">
        <v>46756072361.5</v>
      </c>
      <c r="V264" s="14" t="n">
        <v>1.2279582146724</v>
      </c>
      <c r="W264" s="13" t="n">
        <v>0.0480384307445956</v>
      </c>
      <c r="X264" s="15" t="n">
        <v>0.0252100840336134</v>
      </c>
      <c r="Y264" s="13" t="n">
        <v>0.0123101138401844</v>
      </c>
      <c r="Z264" s="13" t="n">
        <v>0.000730954474563061</v>
      </c>
      <c r="AA264" s="30" t="s">
        <v>96</v>
      </c>
      <c r="AB264" s="28" t="s">
        <v>93</v>
      </c>
      <c r="AC264" s="28" t="s">
        <v>102</v>
      </c>
      <c r="AD264" s="28" t="s">
        <v>108</v>
      </c>
      <c r="AE264" s="28" t="s">
        <v>113</v>
      </c>
      <c r="AF264" s="28" t="s">
        <v>116</v>
      </c>
      <c r="AG264" s="30" t="s">
        <v>122</v>
      </c>
    </row>
    <row r="265" customFormat="false" ht="15" hidden="false" customHeight="false" outlineLevel="0" collapsed="false">
      <c r="A265" s="10" t="n">
        <v>2024</v>
      </c>
      <c r="B265" s="28" t="s">
        <v>57</v>
      </c>
      <c r="C265" s="29" t="n">
        <v>45504</v>
      </c>
      <c r="D265" s="30" t="s">
        <v>127</v>
      </c>
      <c r="E265" s="28" t="s">
        <v>1331</v>
      </c>
      <c r="F265" s="30" t="s">
        <v>1332</v>
      </c>
      <c r="G265" s="31" t="n">
        <v>460</v>
      </c>
      <c r="H265" s="31" t="n">
        <v>215</v>
      </c>
      <c r="I265" s="31" t="n">
        <v>98999</v>
      </c>
      <c r="J265" s="29" t="n">
        <v>45505</v>
      </c>
      <c r="K265" s="31" t="n">
        <v>438</v>
      </c>
      <c r="L265" s="30" t="s">
        <v>32</v>
      </c>
      <c r="M265" s="10" t="n">
        <v>1</v>
      </c>
      <c r="N265" s="12" t="n">
        <v>-5121</v>
      </c>
      <c r="O265" s="13" t="n">
        <v>-0.0517315616991704</v>
      </c>
      <c r="P265" s="15" t="n">
        <v>0.0315771185336404</v>
      </c>
      <c r="Q265" s="13" t="n">
        <v>-0.0509490509490508</v>
      </c>
      <c r="R265" s="15" t="n">
        <v>0.127450980392157</v>
      </c>
      <c r="S265" s="32" t="n">
        <v>40353466880</v>
      </c>
      <c r="T265" s="15" t="n">
        <v>0.0502283105022832</v>
      </c>
      <c r="U265" s="32" t="n">
        <v>3522417500.15</v>
      </c>
      <c r="V265" s="14" t="n">
        <v>10.5081450229177</v>
      </c>
      <c r="W265" s="13" t="n">
        <v>0.108433734939759</v>
      </c>
      <c r="X265" s="15" t="n">
        <v>0.115217391304348</v>
      </c>
      <c r="Y265" s="13" t="n">
        <v>0.0118691544414376</v>
      </c>
      <c r="Z265" s="13" t="n">
        <v>0.00434260940802034</v>
      </c>
      <c r="AA265" s="30" t="s">
        <v>96</v>
      </c>
      <c r="AB265" s="28" t="s">
        <v>93</v>
      </c>
      <c r="AC265" s="28" t="s">
        <v>102</v>
      </c>
      <c r="AD265" s="28" t="s">
        <v>107</v>
      </c>
      <c r="AE265" s="28" t="s">
        <v>101</v>
      </c>
      <c r="AF265" s="28" t="s">
        <v>120</v>
      </c>
      <c r="AG265" s="30" t="s">
        <v>122</v>
      </c>
    </row>
    <row r="266" customFormat="false" ht="15" hidden="false" customHeight="false" outlineLevel="0" collapsed="false">
      <c r="A266" s="10" t="n">
        <v>2024</v>
      </c>
      <c r="B266" s="28" t="s">
        <v>57</v>
      </c>
      <c r="C266" s="29" t="n">
        <v>45504</v>
      </c>
      <c r="D266" s="30" t="s">
        <v>127</v>
      </c>
      <c r="E266" s="28" t="s">
        <v>211</v>
      </c>
      <c r="F266" s="30" t="s">
        <v>212</v>
      </c>
      <c r="G266" s="31" t="n">
        <v>44695</v>
      </c>
      <c r="H266" s="31" t="n">
        <v>2</v>
      </c>
      <c r="I266" s="31" t="n">
        <v>89389</v>
      </c>
      <c r="J266" s="29" t="n">
        <v>45506</v>
      </c>
      <c r="K266" s="31" t="n">
        <v>42458</v>
      </c>
      <c r="L266" s="30" t="s">
        <v>32</v>
      </c>
      <c r="M266" s="10" t="n">
        <v>2</v>
      </c>
      <c r="N266" s="12" t="n">
        <v>-4653</v>
      </c>
      <c r="O266" s="13" t="n">
        <v>-0.052056483773785</v>
      </c>
      <c r="P266" s="15" t="n">
        <v>-0.000999000999000854</v>
      </c>
      <c r="Q266" s="13" t="n">
        <v>-0.0491031924402584</v>
      </c>
      <c r="R266" s="15" t="n">
        <v>0.0407925407925407</v>
      </c>
      <c r="S266" s="32" t="n">
        <v>30235194000</v>
      </c>
      <c r="T266" s="15" t="n">
        <v>0.0205714285714285</v>
      </c>
      <c r="U266" s="32" t="n">
        <v>14627547402.5</v>
      </c>
      <c r="V266" s="14" t="n">
        <v>1.96646702691652</v>
      </c>
      <c r="W266" s="13" t="n">
        <v>0.0311778290993072</v>
      </c>
      <c r="X266" s="15" t="n">
        <v>0.00447928331466962</v>
      </c>
      <c r="Y266" s="13" t="n">
        <v>0.0118691544414376</v>
      </c>
      <c r="Z266" s="13" t="n">
        <v>0.00434260940802034</v>
      </c>
      <c r="AA266" s="30" t="s">
        <v>96</v>
      </c>
      <c r="AB266" s="28" t="s">
        <v>93</v>
      </c>
      <c r="AC266" s="28" t="s">
        <v>100</v>
      </c>
      <c r="AD266" s="28" t="s">
        <v>107</v>
      </c>
      <c r="AE266" s="28" t="s">
        <v>113</v>
      </c>
      <c r="AF266" s="28" t="s">
        <v>116</v>
      </c>
      <c r="AG266" s="30" t="s">
        <v>122</v>
      </c>
    </row>
    <row r="267" customFormat="false" ht="15" hidden="false" customHeight="false" outlineLevel="0" collapsed="false">
      <c r="A267" s="10" t="n">
        <v>2024</v>
      </c>
      <c r="B267" s="28" t="s">
        <v>58</v>
      </c>
      <c r="C267" s="29" t="n">
        <v>45505</v>
      </c>
      <c r="D267" s="30" t="s">
        <v>128</v>
      </c>
      <c r="E267" s="28" t="s">
        <v>347</v>
      </c>
      <c r="F267" s="30" t="s">
        <v>348</v>
      </c>
      <c r="G267" s="31" t="n">
        <v>2653</v>
      </c>
      <c r="H267" s="31" t="n">
        <v>37</v>
      </c>
      <c r="I267" s="31" t="n">
        <v>98148</v>
      </c>
      <c r="J267" s="29" t="n">
        <v>45509</v>
      </c>
      <c r="K267" s="31" t="n">
        <v>2522</v>
      </c>
      <c r="L267" s="30" t="s">
        <v>32</v>
      </c>
      <c r="M267" s="10" t="n">
        <v>2</v>
      </c>
      <c r="N267" s="12" t="n">
        <v>-5013</v>
      </c>
      <c r="O267" s="13" t="n">
        <v>-0.0510778744840065</v>
      </c>
      <c r="P267" s="15" t="n">
        <v>0.129059619625658</v>
      </c>
      <c r="Q267" s="13" t="n">
        <v>-0.0839349329915367</v>
      </c>
      <c r="R267" s="15" t="n">
        <v>0.0973084886128364</v>
      </c>
      <c r="S267" s="32" t="n">
        <v>173429501750</v>
      </c>
      <c r="T267" s="15" t="n">
        <v>0.0860655737704918</v>
      </c>
      <c r="U267" s="32" t="n">
        <v>7145216389.75</v>
      </c>
      <c r="V267" s="14" t="n">
        <v>21.5068810746294</v>
      </c>
      <c r="W267" s="13" t="n">
        <v>0.00569259962049329</v>
      </c>
      <c r="X267" s="15" t="n">
        <v>0.0245283018867926</v>
      </c>
      <c r="Y267" s="13" t="n">
        <v>0.0025228372715822</v>
      </c>
      <c r="Z267" s="13" t="n">
        <v>0.0247283861804364</v>
      </c>
      <c r="AA267" s="30" t="s">
        <v>96</v>
      </c>
      <c r="AB267" s="28" t="s">
        <v>93</v>
      </c>
      <c r="AC267" s="28" t="s">
        <v>101</v>
      </c>
      <c r="AD267" s="28" t="s">
        <v>109</v>
      </c>
      <c r="AE267" s="28" t="s">
        <v>101</v>
      </c>
      <c r="AF267" s="28" t="s">
        <v>120</v>
      </c>
      <c r="AG267" s="30" t="s">
        <v>122</v>
      </c>
    </row>
    <row r="268" customFormat="false" ht="15" hidden="false" customHeight="false" outlineLevel="0" collapsed="false">
      <c r="A268" s="10" t="n">
        <v>2024</v>
      </c>
      <c r="B268" s="28" t="s">
        <v>58</v>
      </c>
      <c r="C268" s="29" t="n">
        <v>45505</v>
      </c>
      <c r="D268" s="30" t="s">
        <v>128</v>
      </c>
      <c r="E268" s="28" t="s">
        <v>193</v>
      </c>
      <c r="F268" s="30" t="s">
        <v>194</v>
      </c>
      <c r="G268" s="31" t="n">
        <v>15235</v>
      </c>
      <c r="H268" s="31" t="n">
        <v>6</v>
      </c>
      <c r="I268" s="31" t="n">
        <v>91411</v>
      </c>
      <c r="J268" s="29" t="n">
        <v>45506</v>
      </c>
      <c r="K268" s="31" t="n">
        <v>14495</v>
      </c>
      <c r="L268" s="30" t="s">
        <v>32</v>
      </c>
      <c r="M268" s="10" t="n">
        <v>1</v>
      </c>
      <c r="N268" s="12" t="n">
        <v>-4622</v>
      </c>
      <c r="O268" s="13" t="n">
        <v>-0.0505592625836712</v>
      </c>
      <c r="P268" s="15" t="n">
        <v>-0.00362449639716378</v>
      </c>
      <c r="Q268" s="13" t="n">
        <v>-0.0482579181659338</v>
      </c>
      <c r="R268" s="15" t="n">
        <v>0.170769230769231</v>
      </c>
      <c r="S268" s="32" t="n">
        <v>169267814540</v>
      </c>
      <c r="T268" s="15" t="n">
        <v>0.0741002117148906</v>
      </c>
      <c r="U268" s="32" t="n">
        <v>5583519284.5</v>
      </c>
      <c r="V268" s="14" t="n">
        <v>26.086167284532</v>
      </c>
      <c r="W268" s="13" t="n">
        <v>0.135820895522388</v>
      </c>
      <c r="X268" s="15" t="n">
        <v>0.0466491458607097</v>
      </c>
      <c r="Y268" s="13" t="n">
        <v>0.0025228372715822</v>
      </c>
      <c r="Z268" s="13" t="n">
        <v>0.0247283861804364</v>
      </c>
      <c r="AA268" s="30" t="s">
        <v>96</v>
      </c>
      <c r="AB268" s="28" t="s">
        <v>93</v>
      </c>
      <c r="AC268" s="28" t="s">
        <v>103</v>
      </c>
      <c r="AD268" s="28" t="s">
        <v>109</v>
      </c>
      <c r="AE268" s="28" t="s">
        <v>101</v>
      </c>
      <c r="AF268" s="28" t="s">
        <v>120</v>
      </c>
      <c r="AG268" s="30" t="s">
        <v>122</v>
      </c>
    </row>
    <row r="269" customFormat="false" ht="15" hidden="false" customHeight="false" outlineLevel="0" collapsed="false">
      <c r="A269" s="10" t="n">
        <v>2024</v>
      </c>
      <c r="B269" s="28" t="s">
        <v>58</v>
      </c>
      <c r="C269" s="29" t="n">
        <v>45505</v>
      </c>
      <c r="D269" s="30" t="s">
        <v>128</v>
      </c>
      <c r="E269" s="28" t="s">
        <v>589</v>
      </c>
      <c r="F269" s="30" t="s">
        <v>590</v>
      </c>
      <c r="G269" s="31" t="n">
        <v>32633</v>
      </c>
      <c r="H269" s="31" t="n">
        <v>3</v>
      </c>
      <c r="I269" s="31" t="n">
        <v>97898</v>
      </c>
      <c r="J269" s="29" t="n">
        <v>45506</v>
      </c>
      <c r="K269" s="31" t="n">
        <v>31019</v>
      </c>
      <c r="L269" s="30" t="s">
        <v>32</v>
      </c>
      <c r="M269" s="10" t="n">
        <v>1</v>
      </c>
      <c r="N269" s="12" t="n">
        <v>-5037</v>
      </c>
      <c r="O269" s="13" t="n">
        <v>-0.0514525916568093</v>
      </c>
      <c r="P269" s="15" t="n">
        <v>-0.00406342124133519</v>
      </c>
      <c r="Q269" s="13" t="n">
        <v>-0.0592229856033536</v>
      </c>
      <c r="R269" s="15" t="n">
        <v>0.0671031096563011</v>
      </c>
      <c r="S269" s="32" t="n">
        <v>151265532200</v>
      </c>
      <c r="T269" s="15" t="n">
        <v>0.0382165605095541</v>
      </c>
      <c r="U269" s="32" t="n">
        <v>50704640120</v>
      </c>
      <c r="V269" s="14" t="n">
        <v>2.78629800194132</v>
      </c>
      <c r="W269" s="13" t="n">
        <v>0.065359477124183</v>
      </c>
      <c r="X269" s="15" t="n">
        <v>0.0107361963190185</v>
      </c>
      <c r="Y269" s="13" t="n">
        <v>0.0025228372715822</v>
      </c>
      <c r="Z269" s="13" t="n">
        <v>0.0247283861804364</v>
      </c>
      <c r="AA269" s="30" t="s">
        <v>96</v>
      </c>
      <c r="AB269" s="28" t="s">
        <v>93</v>
      </c>
      <c r="AC269" s="28" t="s">
        <v>101</v>
      </c>
      <c r="AD269" s="28" t="s">
        <v>109</v>
      </c>
      <c r="AE269" s="28" t="s">
        <v>113</v>
      </c>
      <c r="AF269" s="28" t="s">
        <v>117</v>
      </c>
      <c r="AG269" s="30" t="s">
        <v>122</v>
      </c>
    </row>
    <row r="270" customFormat="false" ht="15" hidden="false" customHeight="false" outlineLevel="0" collapsed="false">
      <c r="A270" s="10" t="n">
        <v>2024</v>
      </c>
      <c r="B270" s="28" t="s">
        <v>58</v>
      </c>
      <c r="C270" s="29" t="n">
        <v>45505</v>
      </c>
      <c r="D270" s="30" t="s">
        <v>128</v>
      </c>
      <c r="E270" s="28" t="s">
        <v>247</v>
      </c>
      <c r="F270" s="30" t="s">
        <v>248</v>
      </c>
      <c r="G270" s="31" t="n">
        <v>20220</v>
      </c>
      <c r="H270" s="31" t="n">
        <v>4</v>
      </c>
      <c r="I270" s="31" t="n">
        <v>80881</v>
      </c>
      <c r="J270" s="29" t="n">
        <v>45509</v>
      </c>
      <c r="K270" s="31" t="n">
        <v>19241</v>
      </c>
      <c r="L270" s="30" t="s">
        <v>32</v>
      </c>
      <c r="M270" s="10" t="n">
        <v>2</v>
      </c>
      <c r="N270" s="12" t="n">
        <v>-4080</v>
      </c>
      <c r="O270" s="13" t="n">
        <v>-0.0504452217584395</v>
      </c>
      <c r="P270" s="15" t="n">
        <v>0.00641932325100658</v>
      </c>
      <c r="Q270" s="13" t="n">
        <v>-0.1004045459491</v>
      </c>
      <c r="R270" s="15" t="n">
        <v>0.0227848101265822</v>
      </c>
      <c r="S270" s="32" t="n">
        <v>53930283200</v>
      </c>
      <c r="T270" s="15" t="n">
        <v>0.0186585980837115</v>
      </c>
      <c r="U270" s="32" t="n">
        <v>25018041735.5</v>
      </c>
      <c r="V270" s="14" t="n">
        <v>2.0947021253826</v>
      </c>
      <c r="W270" s="13" t="n">
        <v>0.0248604769152714</v>
      </c>
      <c r="X270" s="15" t="n">
        <v>0.00742574257425743</v>
      </c>
      <c r="Y270" s="13" t="n">
        <v>0.0025228372715822</v>
      </c>
      <c r="Z270" s="13" t="n">
        <v>0.0247283861804364</v>
      </c>
      <c r="AA270" s="30" t="s">
        <v>96</v>
      </c>
      <c r="AB270" s="28" t="s">
        <v>93</v>
      </c>
      <c r="AC270" s="28" t="s">
        <v>99</v>
      </c>
      <c r="AD270" s="28" t="s">
        <v>108</v>
      </c>
      <c r="AE270" s="28" t="s">
        <v>112</v>
      </c>
      <c r="AF270" s="28" t="s">
        <v>117</v>
      </c>
      <c r="AG270" s="30" t="s">
        <v>122</v>
      </c>
    </row>
    <row r="271" customFormat="false" ht="15" hidden="false" customHeight="false" outlineLevel="0" collapsed="false">
      <c r="A271" s="10" t="n">
        <v>2024</v>
      </c>
      <c r="B271" s="28" t="s">
        <v>58</v>
      </c>
      <c r="C271" s="29" t="n">
        <v>45505</v>
      </c>
      <c r="D271" s="30" t="s">
        <v>128</v>
      </c>
      <c r="E271" s="28" t="s">
        <v>1333</v>
      </c>
      <c r="F271" s="28" t="s">
        <v>1334</v>
      </c>
      <c r="G271" s="31" t="n">
        <v>14595</v>
      </c>
      <c r="H271" s="31" t="n">
        <v>6</v>
      </c>
      <c r="I271" s="31" t="n">
        <v>87567</v>
      </c>
      <c r="J271" s="29" t="n">
        <v>45506</v>
      </c>
      <c r="K271" s="31" t="n">
        <v>13886</v>
      </c>
      <c r="L271" s="30" t="s">
        <v>32</v>
      </c>
      <c r="M271" s="10" t="n">
        <v>1</v>
      </c>
      <c r="N271" s="12" t="n">
        <v>-4426</v>
      </c>
      <c r="O271" s="13" t="n">
        <v>-0.0505493876493874</v>
      </c>
      <c r="P271" s="15" t="n">
        <v>0.0743714447418153</v>
      </c>
      <c r="Q271" s="13" t="n">
        <v>-0.0674620304249932</v>
      </c>
      <c r="R271" s="15" t="n">
        <v>0.0414285714285714</v>
      </c>
      <c r="S271" s="32" t="n">
        <v>49801095540</v>
      </c>
      <c r="T271" s="15" t="n">
        <v>0.00137362637362637</v>
      </c>
      <c r="U271" s="32" t="n">
        <v>11281666074.5</v>
      </c>
      <c r="V271" s="14" t="n">
        <v>3.90739563640162</v>
      </c>
      <c r="W271" s="13" t="n">
        <v>0.0511896178803173</v>
      </c>
      <c r="X271" s="15" t="n">
        <v>0.0102880658436213</v>
      </c>
      <c r="Y271" s="13" t="n">
        <v>0.0025228372715822</v>
      </c>
      <c r="Z271" s="13" t="n">
        <v>0.0247283861804364</v>
      </c>
      <c r="AA271" s="30" t="s">
        <v>96</v>
      </c>
      <c r="AB271" s="28" t="s">
        <v>93</v>
      </c>
      <c r="AC271" s="28" t="s">
        <v>100</v>
      </c>
      <c r="AD271" s="28" t="s">
        <v>107</v>
      </c>
      <c r="AE271" s="28" t="s">
        <v>112</v>
      </c>
      <c r="AF271" s="28" t="s">
        <v>118</v>
      </c>
      <c r="AG271" s="30" t="s">
        <v>122</v>
      </c>
    </row>
    <row r="272" customFormat="false" ht="15" hidden="false" customHeight="false" outlineLevel="0" collapsed="false">
      <c r="A272" s="10" t="n">
        <v>2024</v>
      </c>
      <c r="B272" s="28" t="s">
        <v>58</v>
      </c>
      <c r="C272" s="29" t="n">
        <v>45517</v>
      </c>
      <c r="D272" s="30" t="s">
        <v>126</v>
      </c>
      <c r="E272" s="28" t="s">
        <v>1335</v>
      </c>
      <c r="F272" s="30" t="s">
        <v>1336</v>
      </c>
      <c r="G272" s="31" t="n">
        <v>4845</v>
      </c>
      <c r="H272" s="31" t="n">
        <v>20</v>
      </c>
      <c r="I272" s="31" t="n">
        <v>96897</v>
      </c>
      <c r="J272" s="29" t="n">
        <v>45520</v>
      </c>
      <c r="K272" s="31" t="n">
        <v>4610</v>
      </c>
      <c r="L272" s="30" t="s">
        <v>32</v>
      </c>
      <c r="M272" s="10" t="n">
        <v>2</v>
      </c>
      <c r="N272" s="12" t="n">
        <v>-4883</v>
      </c>
      <c r="O272" s="13" t="n">
        <v>-0.0503983571696898</v>
      </c>
      <c r="P272" s="15" t="n">
        <v>-0.0164793883802147</v>
      </c>
      <c r="Q272" s="13" t="n">
        <v>-0.0649846021746847</v>
      </c>
      <c r="R272" s="15" t="n">
        <v>0.0684326710816776</v>
      </c>
      <c r="S272" s="32" t="n">
        <v>22508995960</v>
      </c>
      <c r="T272" s="15" t="n">
        <v>0.00938477580813357</v>
      </c>
      <c r="U272" s="32" t="n">
        <v>3309350121</v>
      </c>
      <c r="V272" s="14" t="n">
        <v>6.40242356609791</v>
      </c>
      <c r="W272" s="13" t="n">
        <v>0.0614035087719298</v>
      </c>
      <c r="X272" s="15" t="n">
        <v>0.0289256198347108</v>
      </c>
      <c r="Y272" s="13" t="n">
        <v>0.00122216705495926</v>
      </c>
      <c r="Z272" s="13" t="n">
        <v>0.0393909957774121</v>
      </c>
      <c r="AA272" s="30" t="s">
        <v>96</v>
      </c>
      <c r="AB272" s="28" t="s">
        <v>93</v>
      </c>
      <c r="AC272" s="28" t="s">
        <v>101</v>
      </c>
      <c r="AD272" s="28" t="s">
        <v>106</v>
      </c>
      <c r="AE272" s="28" t="s">
        <v>112</v>
      </c>
      <c r="AF272" s="28" t="s">
        <v>119</v>
      </c>
      <c r="AG272" s="30" t="s">
        <v>122</v>
      </c>
    </row>
    <row r="273" customFormat="false" ht="15" hidden="false" customHeight="false" outlineLevel="0" collapsed="false">
      <c r="A273" s="10" t="n">
        <v>2024</v>
      </c>
      <c r="B273" s="28" t="s">
        <v>58</v>
      </c>
      <c r="C273" s="29" t="n">
        <v>45518</v>
      </c>
      <c r="D273" s="30" t="s">
        <v>127</v>
      </c>
      <c r="E273" s="28" t="s">
        <v>653</v>
      </c>
      <c r="F273" s="30" t="s">
        <v>654</v>
      </c>
      <c r="G273" s="31" t="n">
        <v>26532</v>
      </c>
      <c r="H273" s="31" t="n">
        <v>3</v>
      </c>
      <c r="I273" s="31" t="n">
        <v>79595</v>
      </c>
      <c r="J273" s="29" t="n">
        <v>45524</v>
      </c>
      <c r="K273" s="31" t="n">
        <v>25225</v>
      </c>
      <c r="L273" s="30" t="s">
        <v>32</v>
      </c>
      <c r="M273" s="10" t="n">
        <v>3</v>
      </c>
      <c r="N273" s="12" t="n">
        <v>-4080</v>
      </c>
      <c r="O273" s="13" t="n">
        <v>-0.0512617488009142</v>
      </c>
      <c r="P273" s="15" t="n">
        <v>0.0309974722786111</v>
      </c>
      <c r="Q273" s="13" t="n">
        <v>-0.0525488746129315</v>
      </c>
      <c r="R273" s="15" t="n">
        <v>0.0563909774436091</v>
      </c>
      <c r="S273" s="32" t="n">
        <v>74210891700</v>
      </c>
      <c r="T273" s="15" t="n">
        <v>0.0407407407407407</v>
      </c>
      <c r="U273" s="32" t="n">
        <v>27653366630</v>
      </c>
      <c r="V273" s="14" t="n">
        <v>2.40223720054491</v>
      </c>
      <c r="W273" s="13" t="n">
        <v>0.0236794171220403</v>
      </c>
      <c r="X273" s="15" t="n">
        <v>0.0160142348754448</v>
      </c>
      <c r="Y273" s="13" t="n">
        <v>0.00877360289910367</v>
      </c>
      <c r="Z273" s="13" t="n">
        <v>0.0296253324040945</v>
      </c>
      <c r="AA273" s="30" t="s">
        <v>96</v>
      </c>
      <c r="AB273" s="28" t="s">
        <v>93</v>
      </c>
      <c r="AC273" s="28" t="s">
        <v>101</v>
      </c>
      <c r="AD273" s="28" t="s">
        <v>108</v>
      </c>
      <c r="AE273" s="28" t="s">
        <v>113</v>
      </c>
      <c r="AF273" s="28" t="s">
        <v>117</v>
      </c>
      <c r="AG273" s="30" t="s">
        <v>122</v>
      </c>
    </row>
    <row r="274" customFormat="false" ht="15" hidden="false" customHeight="false" outlineLevel="0" collapsed="false">
      <c r="A274" s="10" t="n">
        <v>2024</v>
      </c>
      <c r="B274" s="28" t="s">
        <v>58</v>
      </c>
      <c r="C274" s="29" t="n">
        <v>45518</v>
      </c>
      <c r="D274" s="30" t="s">
        <v>127</v>
      </c>
      <c r="E274" s="28" t="s">
        <v>1265</v>
      </c>
      <c r="F274" s="30" t="s">
        <v>1266</v>
      </c>
      <c r="G274" s="31" t="n">
        <v>5896</v>
      </c>
      <c r="H274" s="31" t="n">
        <v>16</v>
      </c>
      <c r="I274" s="31" t="n">
        <v>94334</v>
      </c>
      <c r="J274" s="29" t="n">
        <v>45533</v>
      </c>
      <c r="K274" s="31" t="n">
        <v>7120</v>
      </c>
      <c r="L274" s="30" t="s">
        <v>31</v>
      </c>
      <c r="M274" s="10" t="n">
        <v>10</v>
      </c>
      <c r="N274" s="12" t="n">
        <v>19349</v>
      </c>
      <c r="O274" s="13" t="n">
        <v>0.20511604125925</v>
      </c>
      <c r="P274" s="15" t="n">
        <v>0.250023321330622</v>
      </c>
      <c r="Q274" s="13" t="n">
        <v>-0.0196560654964729</v>
      </c>
      <c r="R274" s="15" t="n">
        <v>0.102996254681648</v>
      </c>
      <c r="S274" s="32" t="n">
        <v>34051421140</v>
      </c>
      <c r="T274" s="15" t="n">
        <v>0.0461811722912966</v>
      </c>
      <c r="U274" s="32" t="n">
        <v>3648047492.5</v>
      </c>
      <c r="V274" s="14" t="n">
        <v>8.33091984832872</v>
      </c>
      <c r="W274" s="13" t="n">
        <v>-0.0166944908180301</v>
      </c>
      <c r="X274" s="15" t="n">
        <v>0.0543293718166384</v>
      </c>
      <c r="Y274" s="13" t="n">
        <v>0.00877360289910367</v>
      </c>
      <c r="Z274" s="13" t="n">
        <v>0.0296253324040945</v>
      </c>
      <c r="AA274" s="30" t="s">
        <v>96</v>
      </c>
      <c r="AB274" s="28" t="s">
        <v>93</v>
      </c>
      <c r="AC274" s="28" t="s">
        <v>102</v>
      </c>
      <c r="AD274" s="28" t="s">
        <v>107</v>
      </c>
      <c r="AE274" s="28" t="s">
        <v>113</v>
      </c>
      <c r="AF274" s="28" t="s">
        <v>119</v>
      </c>
      <c r="AG274" s="30" t="s">
        <v>123</v>
      </c>
    </row>
    <row r="275" customFormat="false" ht="15" hidden="false" customHeight="false" outlineLevel="0" collapsed="false">
      <c r="A275" s="10" t="n">
        <v>2024</v>
      </c>
      <c r="B275" s="28" t="s">
        <v>58</v>
      </c>
      <c r="C275" s="29" t="n">
        <v>45518</v>
      </c>
      <c r="D275" s="30" t="s">
        <v>127</v>
      </c>
      <c r="E275" s="28" t="s">
        <v>1337</v>
      </c>
      <c r="F275" s="30" t="s">
        <v>1338</v>
      </c>
      <c r="G275" s="31" t="n">
        <v>32929</v>
      </c>
      <c r="H275" s="31" t="n">
        <v>3</v>
      </c>
      <c r="I275" s="31" t="n">
        <v>98788</v>
      </c>
      <c r="J275" s="29" t="n">
        <v>45610</v>
      </c>
      <c r="K275" s="31" t="n">
        <v>31319</v>
      </c>
      <c r="L275" s="30" t="s">
        <v>32</v>
      </c>
      <c r="M275" s="10" t="n">
        <v>59</v>
      </c>
      <c r="N275" s="12" t="n">
        <v>-5030</v>
      </c>
      <c r="O275" s="13" t="n">
        <v>-0.0509151948181568</v>
      </c>
      <c r="P275" s="15" t="n">
        <v>0.198801198801199</v>
      </c>
      <c r="Q275" s="13" t="n">
        <v>-0.0563282870975178</v>
      </c>
      <c r="R275" s="15" t="n">
        <v>0.0500807754442649</v>
      </c>
      <c r="S275" s="32" t="n">
        <v>34023990000</v>
      </c>
      <c r="T275" s="15" t="n">
        <v>0.0252365930599368</v>
      </c>
      <c r="U275" s="32" t="n">
        <v>5527575910</v>
      </c>
      <c r="V275" s="14" t="n">
        <v>5.66263444059084</v>
      </c>
      <c r="W275" s="13" t="n">
        <v>0.036682615629984</v>
      </c>
      <c r="X275" s="15" t="n">
        <v>0.0461538461538462</v>
      </c>
      <c r="Y275" s="13" t="n">
        <v>0.00877360289910367</v>
      </c>
      <c r="Z275" s="13" t="n">
        <v>0.0296253324040945</v>
      </c>
      <c r="AA275" s="30" t="s">
        <v>96</v>
      </c>
      <c r="AB275" s="28" t="s">
        <v>93</v>
      </c>
      <c r="AC275" s="28" t="s">
        <v>101</v>
      </c>
      <c r="AD275" s="28" t="s">
        <v>107</v>
      </c>
      <c r="AE275" s="28" t="s">
        <v>113</v>
      </c>
      <c r="AF275" s="28" t="s">
        <v>119</v>
      </c>
      <c r="AG275" s="30" t="s">
        <v>122</v>
      </c>
    </row>
    <row r="276" customFormat="false" ht="15" hidden="false" customHeight="false" outlineLevel="0" collapsed="false">
      <c r="A276" s="10" t="n">
        <v>2024</v>
      </c>
      <c r="B276" s="28" t="s">
        <v>58</v>
      </c>
      <c r="C276" s="29" t="n">
        <v>45518</v>
      </c>
      <c r="D276" s="30" t="s">
        <v>127</v>
      </c>
      <c r="E276" s="28" t="s">
        <v>1249</v>
      </c>
      <c r="F276" s="30" t="s">
        <v>1250</v>
      </c>
      <c r="G276" s="31" t="n">
        <v>24524</v>
      </c>
      <c r="H276" s="31" t="n">
        <v>4</v>
      </c>
      <c r="I276" s="31" t="n">
        <v>98098</v>
      </c>
      <c r="J276" s="29" t="n">
        <v>45530</v>
      </c>
      <c r="K276" s="31" t="n">
        <v>23327</v>
      </c>
      <c r="L276" s="30" t="s">
        <v>32</v>
      </c>
      <c r="M276" s="10" t="n">
        <v>7</v>
      </c>
      <c r="N276" s="12" t="n">
        <v>-4988</v>
      </c>
      <c r="O276" s="13" t="n">
        <v>-0.050847749903158</v>
      </c>
      <c r="P276" s="15" t="n">
        <v>0.0622031030194297</v>
      </c>
      <c r="Q276" s="13" t="n">
        <v>-0.0519684397235416</v>
      </c>
      <c r="R276" s="15" t="n">
        <v>0.136890951276102</v>
      </c>
      <c r="S276" s="32" t="n">
        <v>27126645000</v>
      </c>
      <c r="T276" s="15" t="n">
        <v>0.044776119402985</v>
      </c>
      <c r="U276" s="32" t="n">
        <v>3153052484.5</v>
      </c>
      <c r="V276" s="14" t="n">
        <v>7.63577042000151</v>
      </c>
      <c r="W276" s="13" t="n">
        <v>0.118721461187215</v>
      </c>
      <c r="X276" s="15" t="n">
        <v>0.0142857142857142</v>
      </c>
      <c r="Y276" s="13" t="n">
        <v>0.00877360289910367</v>
      </c>
      <c r="Z276" s="13" t="n">
        <v>0.0296253324040945</v>
      </c>
      <c r="AA276" s="30" t="s">
        <v>96</v>
      </c>
      <c r="AB276" s="28" t="s">
        <v>93</v>
      </c>
      <c r="AC276" s="28" t="s">
        <v>102</v>
      </c>
      <c r="AD276" s="28" t="s">
        <v>106</v>
      </c>
      <c r="AE276" s="28" t="s">
        <v>113</v>
      </c>
      <c r="AF276" s="28" t="s">
        <v>119</v>
      </c>
      <c r="AG276" s="30" t="s">
        <v>122</v>
      </c>
    </row>
    <row r="277" customFormat="false" ht="15" hidden="false" customHeight="false" outlineLevel="0" collapsed="false">
      <c r="A277" s="10" t="n">
        <v>2024</v>
      </c>
      <c r="B277" s="28" t="s">
        <v>58</v>
      </c>
      <c r="C277" s="29" t="n">
        <v>45518</v>
      </c>
      <c r="D277" s="30" t="s">
        <v>127</v>
      </c>
      <c r="E277" s="28" t="s">
        <v>331</v>
      </c>
      <c r="F277" s="30" t="s">
        <v>332</v>
      </c>
      <c r="G277" s="31" t="n">
        <v>48048</v>
      </c>
      <c r="H277" s="31" t="n">
        <v>2</v>
      </c>
      <c r="I277" s="31" t="n">
        <v>96096</v>
      </c>
      <c r="J277" s="29" t="n">
        <v>45533</v>
      </c>
      <c r="K277" s="31" t="n">
        <v>45704</v>
      </c>
      <c r="L277" s="30" t="s">
        <v>32</v>
      </c>
      <c r="M277" s="10" t="n">
        <v>10</v>
      </c>
      <c r="N277" s="12" t="n">
        <v>-4880</v>
      </c>
      <c r="O277" s="13" t="n">
        <v>-0.0507842259303196</v>
      </c>
      <c r="P277" s="15" t="n">
        <v>0.0884948384948388</v>
      </c>
      <c r="Q277" s="13" t="n">
        <v>-0.0603146853146852</v>
      </c>
      <c r="R277" s="15" t="n">
        <v>0.0958904109589041</v>
      </c>
      <c r="S277" s="32" t="n">
        <v>22825392000</v>
      </c>
      <c r="T277" s="15" t="n">
        <v>0.00734522560335771</v>
      </c>
      <c r="U277" s="32" t="n">
        <v>9493427060</v>
      </c>
      <c r="V277" s="14" t="n">
        <v>2.17013901961791</v>
      </c>
      <c r="W277" s="13" t="n">
        <v>0.0503282275711159</v>
      </c>
      <c r="X277" s="15" t="n">
        <v>0.028125</v>
      </c>
      <c r="Y277" s="13" t="n">
        <v>0.00877360289910367</v>
      </c>
      <c r="Z277" s="13" t="n">
        <v>0.0296253324040945</v>
      </c>
      <c r="AA277" s="30" t="s">
        <v>96</v>
      </c>
      <c r="AB277" s="28" t="s">
        <v>93</v>
      </c>
      <c r="AC277" s="28" t="s">
        <v>101</v>
      </c>
      <c r="AD277" s="28" t="s">
        <v>106</v>
      </c>
      <c r="AE277" s="28" t="s">
        <v>112</v>
      </c>
      <c r="AF277" s="28" t="s">
        <v>117</v>
      </c>
      <c r="AG277" s="30" t="s">
        <v>122</v>
      </c>
    </row>
    <row r="278" customFormat="false" ht="15" hidden="false" customHeight="false" outlineLevel="0" collapsed="false">
      <c r="A278" s="10" t="n">
        <v>2024</v>
      </c>
      <c r="B278" s="28" t="s">
        <v>58</v>
      </c>
      <c r="C278" s="29" t="n">
        <v>45520</v>
      </c>
      <c r="D278" s="30" t="s">
        <v>129</v>
      </c>
      <c r="E278" s="28" t="s">
        <v>805</v>
      </c>
      <c r="F278" s="28" t="s">
        <v>806</v>
      </c>
      <c r="G278" s="31" t="n">
        <v>17477</v>
      </c>
      <c r="H278" s="31" t="n">
        <v>5</v>
      </c>
      <c r="I278" s="31" t="n">
        <v>87387</v>
      </c>
      <c r="J278" s="29" t="n">
        <v>45533</v>
      </c>
      <c r="K278" s="31" t="n">
        <v>16633</v>
      </c>
      <c r="L278" s="30" t="s">
        <v>32</v>
      </c>
      <c r="M278" s="10" t="n">
        <v>9</v>
      </c>
      <c r="N278" s="12" t="n">
        <v>-4396</v>
      </c>
      <c r="O278" s="13" t="n">
        <v>-0.0503028844866473</v>
      </c>
      <c r="P278" s="15" t="n">
        <v>0.127166075619684</v>
      </c>
      <c r="Q278" s="13" t="n">
        <v>-0.0685145324320582</v>
      </c>
      <c r="R278" s="15" t="n">
        <v>0.0422885572139304</v>
      </c>
      <c r="S278" s="32" t="n">
        <v>33915577900</v>
      </c>
      <c r="T278" s="15" t="n">
        <v>0.0294840294840295</v>
      </c>
      <c r="U278" s="32" t="n">
        <v>15996382509</v>
      </c>
      <c r="V278" s="14" t="n">
        <v>1.83436805918268</v>
      </c>
      <c r="W278" s="13" t="n">
        <v>0.0397022332506203</v>
      </c>
      <c r="X278" s="15" t="n">
        <v>0.0334128878281623</v>
      </c>
      <c r="Y278" s="13" t="n">
        <v>0.0199394970693894</v>
      </c>
      <c r="Z278" s="13" t="n">
        <v>0.0549530063792423</v>
      </c>
      <c r="AA278" s="30" t="s">
        <v>97</v>
      </c>
      <c r="AB278" s="28" t="s">
        <v>93</v>
      </c>
      <c r="AC278" s="28" t="s">
        <v>100</v>
      </c>
      <c r="AD278" s="28" t="s">
        <v>107</v>
      </c>
      <c r="AE278" s="28" t="s">
        <v>113</v>
      </c>
      <c r="AF278" s="28" t="s">
        <v>116</v>
      </c>
      <c r="AG278" s="30" t="s">
        <v>122</v>
      </c>
    </row>
    <row r="279" customFormat="false" ht="15" hidden="false" customHeight="false" outlineLevel="0" collapsed="false">
      <c r="A279" s="10" t="n">
        <v>2024</v>
      </c>
      <c r="B279" s="28" t="s">
        <v>58</v>
      </c>
      <c r="C279" s="29" t="n">
        <v>45523</v>
      </c>
      <c r="D279" s="30" t="s">
        <v>125</v>
      </c>
      <c r="E279" s="28" t="s">
        <v>815</v>
      </c>
      <c r="F279" s="30" t="s">
        <v>816</v>
      </c>
      <c r="G279" s="31" t="n">
        <v>2563</v>
      </c>
      <c r="H279" s="31" t="n">
        <v>38</v>
      </c>
      <c r="I279" s="31" t="n">
        <v>97377</v>
      </c>
      <c r="J279" s="29" t="n">
        <v>45525</v>
      </c>
      <c r="K279" s="31" t="n">
        <v>2438</v>
      </c>
      <c r="L279" s="30" t="s">
        <v>32</v>
      </c>
      <c r="M279" s="10" t="n">
        <v>2</v>
      </c>
      <c r="N279" s="12" t="n">
        <v>-4945</v>
      </c>
      <c r="O279" s="13" t="n">
        <v>-0.0507842259303197</v>
      </c>
      <c r="P279" s="15" t="n">
        <v>0.0633897352647355</v>
      </c>
      <c r="Q279" s="13" t="n">
        <v>-0.0497783466533465</v>
      </c>
      <c r="R279" s="15" t="n">
        <v>0.108225108225108</v>
      </c>
      <c r="S279" s="32" t="n">
        <v>28916515840</v>
      </c>
      <c r="T279" s="15" t="n">
        <v>0.0600414078674949</v>
      </c>
      <c r="U279" s="32" t="n">
        <v>3854392413.05</v>
      </c>
      <c r="V279" s="14" t="n">
        <v>6.51222358504743</v>
      </c>
      <c r="W279" s="13" t="n">
        <v>0.11304347826087</v>
      </c>
      <c r="X279" s="15" t="n">
        <v>0</v>
      </c>
      <c r="Y279" s="13" t="n">
        <v>-0.00847906926735942</v>
      </c>
      <c r="Z279" s="13" t="n">
        <v>0.0331977298980464</v>
      </c>
      <c r="AA279" s="30" t="s">
        <v>97</v>
      </c>
      <c r="AB279" s="28" t="s">
        <v>93</v>
      </c>
      <c r="AC279" s="28" t="s">
        <v>102</v>
      </c>
      <c r="AD279" s="28" t="s">
        <v>106</v>
      </c>
      <c r="AE279" s="28" t="s">
        <v>101</v>
      </c>
      <c r="AF279" s="28" t="s">
        <v>119</v>
      </c>
      <c r="AG279" s="30" t="s">
        <v>122</v>
      </c>
    </row>
    <row r="280" customFormat="false" ht="15" hidden="false" customHeight="false" outlineLevel="0" collapsed="false">
      <c r="A280" s="10" t="n">
        <v>2024</v>
      </c>
      <c r="B280" s="28" t="s">
        <v>58</v>
      </c>
      <c r="C280" s="29" t="n">
        <v>45523</v>
      </c>
      <c r="D280" s="30" t="s">
        <v>125</v>
      </c>
      <c r="E280" s="28" t="s">
        <v>1339</v>
      </c>
      <c r="F280" s="30" t="s">
        <v>1340</v>
      </c>
      <c r="G280" s="31" t="n">
        <v>2518</v>
      </c>
      <c r="H280" s="31" t="n">
        <v>39</v>
      </c>
      <c r="I280" s="31" t="n">
        <v>98183</v>
      </c>
      <c r="J280" s="29" t="n">
        <v>45526</v>
      </c>
      <c r="K280" s="31" t="n">
        <v>2393</v>
      </c>
      <c r="L280" s="30" t="s">
        <v>32</v>
      </c>
      <c r="M280" s="10" t="n">
        <v>3</v>
      </c>
      <c r="N280" s="12" t="n">
        <v>-5068</v>
      </c>
      <c r="O280" s="13" t="n">
        <v>-0.051619635632757</v>
      </c>
      <c r="P280" s="15" t="n">
        <v>0.0764583329195656</v>
      </c>
      <c r="Q280" s="13" t="n">
        <v>-0.0665398220070188</v>
      </c>
      <c r="R280" s="15" t="n">
        <v>0.0349794238683128</v>
      </c>
      <c r="S280" s="32" t="n">
        <v>20067896745</v>
      </c>
      <c r="T280" s="15" t="n">
        <v>0.0161616161616163</v>
      </c>
      <c r="U280" s="32" t="n">
        <v>6822265473.25</v>
      </c>
      <c r="V280" s="14" t="n">
        <v>2.77190276125082</v>
      </c>
      <c r="W280" s="13" t="n">
        <v>-0.017578125</v>
      </c>
      <c r="X280" s="15" t="n">
        <v>0.0656063618290259</v>
      </c>
      <c r="Y280" s="13" t="n">
        <v>-0.00847906926735942</v>
      </c>
      <c r="Z280" s="13" t="n">
        <v>0.0331977298980464</v>
      </c>
      <c r="AA280" s="30" t="s">
        <v>97</v>
      </c>
      <c r="AB280" s="28" t="s">
        <v>93</v>
      </c>
      <c r="AC280" s="28" t="s">
        <v>100</v>
      </c>
      <c r="AD280" s="28" t="s">
        <v>106</v>
      </c>
      <c r="AE280" s="28" t="s">
        <v>112</v>
      </c>
      <c r="AF280" s="28" t="s">
        <v>117</v>
      </c>
      <c r="AG280" s="30" t="s">
        <v>123</v>
      </c>
    </row>
    <row r="281" customFormat="false" ht="15" hidden="false" customHeight="false" outlineLevel="0" collapsed="false">
      <c r="A281" s="10" t="n">
        <v>2024</v>
      </c>
      <c r="B281" s="28" t="s">
        <v>58</v>
      </c>
      <c r="C281" s="29" t="n">
        <v>45524</v>
      </c>
      <c r="D281" s="30" t="s">
        <v>126</v>
      </c>
      <c r="E281" s="28" t="s">
        <v>597</v>
      </c>
      <c r="F281" s="30" t="s">
        <v>598</v>
      </c>
      <c r="G281" s="31" t="n">
        <v>28829</v>
      </c>
      <c r="H281" s="31" t="n">
        <v>3</v>
      </c>
      <c r="I281" s="31" t="n">
        <v>86486</v>
      </c>
      <c r="J281" s="29" t="n">
        <v>45526</v>
      </c>
      <c r="K281" s="31" t="n">
        <v>27423</v>
      </c>
      <c r="L281" s="30" t="s">
        <v>32</v>
      </c>
      <c r="M281" s="10" t="n">
        <v>2</v>
      </c>
      <c r="N281" s="12" t="n">
        <v>-4392</v>
      </c>
      <c r="O281" s="13" t="n">
        <v>-0.0507842259303199</v>
      </c>
      <c r="P281" s="15" t="n">
        <v>0.00420412920412927</v>
      </c>
      <c r="Q281" s="13" t="n">
        <v>-0.0564990564990564</v>
      </c>
      <c r="R281" s="15" t="n">
        <v>0.0453720508166968</v>
      </c>
      <c r="S281" s="32" t="n">
        <v>26653449600</v>
      </c>
      <c r="T281" s="15" t="n">
        <v>0.0105263157894737</v>
      </c>
      <c r="U281" s="32" t="n">
        <v>20479226260</v>
      </c>
      <c r="V281" s="14" t="n">
        <v>1.19208043938135</v>
      </c>
      <c r="W281" s="13" t="n">
        <v>0.0378378378378379</v>
      </c>
      <c r="X281" s="15" t="n">
        <v>0.0121527777777777</v>
      </c>
      <c r="Y281" s="13" t="n">
        <v>0.0083272259531253</v>
      </c>
      <c r="Z281" s="13" t="n">
        <v>0.0299163579421762</v>
      </c>
      <c r="AA281" s="30" t="s">
        <v>97</v>
      </c>
      <c r="AB281" s="28" t="s">
        <v>93</v>
      </c>
      <c r="AC281" s="28" t="s">
        <v>100</v>
      </c>
      <c r="AD281" s="28" t="s">
        <v>106</v>
      </c>
      <c r="AE281" s="28" t="s">
        <v>112</v>
      </c>
      <c r="AF281" s="28" t="s">
        <v>116</v>
      </c>
      <c r="AG281" s="30" t="s">
        <v>122</v>
      </c>
    </row>
    <row r="282" customFormat="false" ht="15" hidden="false" customHeight="false" outlineLevel="0" collapsed="false">
      <c r="A282" s="10" t="n">
        <v>2024</v>
      </c>
      <c r="B282" s="28" t="s">
        <v>58</v>
      </c>
      <c r="C282" s="29" t="n">
        <v>45524</v>
      </c>
      <c r="D282" s="30" t="s">
        <v>126</v>
      </c>
      <c r="E282" s="28" t="s">
        <v>751</v>
      </c>
      <c r="F282" s="30" t="s">
        <v>752</v>
      </c>
      <c r="G282" s="31" t="n">
        <v>21722</v>
      </c>
      <c r="H282" s="31" t="n">
        <v>4</v>
      </c>
      <c r="I282" s="31" t="n">
        <v>86887</v>
      </c>
      <c r="J282" s="29" t="n">
        <v>45628</v>
      </c>
      <c r="K282" s="31" t="n">
        <v>26100</v>
      </c>
      <c r="L282" s="30" t="s">
        <v>31</v>
      </c>
      <c r="M282" s="10" t="n">
        <v>68</v>
      </c>
      <c r="N282" s="12" t="n">
        <v>17297</v>
      </c>
      <c r="O282" s="13" t="n">
        <v>0.199070364888568</v>
      </c>
      <c r="P282" s="15" t="n">
        <v>0.203865259164799</v>
      </c>
      <c r="Q282" s="13" t="n">
        <v>-0.0194137659575446</v>
      </c>
      <c r="R282" s="15" t="n">
        <v>0.0260047281323876</v>
      </c>
      <c r="S282" s="32" t="n">
        <v>21036110200</v>
      </c>
      <c r="T282" s="15" t="n">
        <v>0.014018691588785</v>
      </c>
      <c r="U282" s="32" t="n">
        <v>14958730875</v>
      </c>
      <c r="V282" s="14" t="n">
        <v>1.34550750538429</v>
      </c>
      <c r="W282" s="13" t="n">
        <v>0.0211764705882354</v>
      </c>
      <c r="X282" s="15" t="n">
        <v>0.00230414746543772</v>
      </c>
      <c r="Y282" s="13" t="n">
        <v>0.0083272259531253</v>
      </c>
      <c r="Z282" s="13" t="n">
        <v>0.0299163579421762</v>
      </c>
      <c r="AA282" s="30" t="s">
        <v>97</v>
      </c>
      <c r="AB282" s="28" t="s">
        <v>93</v>
      </c>
      <c r="AC282" s="28" t="s">
        <v>99</v>
      </c>
      <c r="AD282" s="28" t="s">
        <v>106</v>
      </c>
      <c r="AE282" s="28" t="s">
        <v>112</v>
      </c>
      <c r="AF282" s="28" t="s">
        <v>116</v>
      </c>
      <c r="AG282" s="30" t="s">
        <v>122</v>
      </c>
    </row>
    <row r="283" customFormat="false" ht="15" hidden="false" customHeight="false" outlineLevel="0" collapsed="false">
      <c r="A283" s="10" t="n">
        <v>2024</v>
      </c>
      <c r="B283" s="28" t="s">
        <v>58</v>
      </c>
      <c r="C283" s="29" t="n">
        <v>45524</v>
      </c>
      <c r="D283" s="30" t="s">
        <v>126</v>
      </c>
      <c r="E283" s="28" t="s">
        <v>571</v>
      </c>
      <c r="F283" s="30" t="s">
        <v>572</v>
      </c>
      <c r="G283" s="31" t="n">
        <v>20520</v>
      </c>
      <c r="H283" s="31" t="n">
        <v>4</v>
      </c>
      <c r="I283" s="31" t="n">
        <v>82082</v>
      </c>
      <c r="J283" s="29" t="n">
        <v>45530</v>
      </c>
      <c r="K283" s="31" t="n">
        <v>24650</v>
      </c>
      <c r="L283" s="30" t="s">
        <v>31</v>
      </c>
      <c r="M283" s="10" t="n">
        <v>4</v>
      </c>
      <c r="N283" s="12" t="n">
        <v>16313</v>
      </c>
      <c r="O283" s="13" t="n">
        <v>0.198745372919763</v>
      </c>
      <c r="P283" s="15" t="n">
        <v>0.245096367047587</v>
      </c>
      <c r="Q283" s="13" t="n">
        <v>-0.0448575814429472</v>
      </c>
      <c r="R283" s="15" t="n">
        <v>0.0390268626457171</v>
      </c>
      <c r="S283" s="32" t="n">
        <v>20034834500</v>
      </c>
      <c r="T283" s="15" t="n">
        <v>0.0390268626457171</v>
      </c>
      <c r="U283" s="32" t="n">
        <v>9584141092.5</v>
      </c>
      <c r="V283" s="14" t="n">
        <v>1.89365224471195</v>
      </c>
      <c r="W283" s="13" t="n">
        <v>0.0255127563781892</v>
      </c>
      <c r="X283" s="15" t="n">
        <v>0.0219512195121951</v>
      </c>
      <c r="Y283" s="13" t="n">
        <v>0.0083272259531253</v>
      </c>
      <c r="Z283" s="13" t="n">
        <v>0.0299163579421762</v>
      </c>
      <c r="AA283" s="30" t="s">
        <v>97</v>
      </c>
      <c r="AB283" s="28" t="s">
        <v>93</v>
      </c>
      <c r="AC283" s="28" t="s">
        <v>100</v>
      </c>
      <c r="AD283" s="28" t="s">
        <v>106</v>
      </c>
      <c r="AE283" s="28" t="s">
        <v>113</v>
      </c>
      <c r="AF283" s="28" t="s">
        <v>116</v>
      </c>
      <c r="AG283" s="30" t="s">
        <v>122</v>
      </c>
    </row>
    <row r="284" customFormat="false" ht="15" hidden="false" customHeight="false" outlineLevel="0" collapsed="false">
      <c r="A284" s="10" t="n">
        <v>2024</v>
      </c>
      <c r="B284" s="28" t="s">
        <v>58</v>
      </c>
      <c r="C284" s="29" t="n">
        <v>45526</v>
      </c>
      <c r="D284" s="30" t="s">
        <v>128</v>
      </c>
      <c r="E284" s="28" t="s">
        <v>1341</v>
      </c>
      <c r="F284" s="28" t="s">
        <v>1342</v>
      </c>
      <c r="G284" s="31" t="n">
        <v>3939</v>
      </c>
      <c r="H284" s="31" t="n">
        <v>25</v>
      </c>
      <c r="I284" s="31" t="n">
        <v>98473</v>
      </c>
      <c r="J284" s="29" t="n">
        <v>45527</v>
      </c>
      <c r="K284" s="31" t="n">
        <v>3746</v>
      </c>
      <c r="L284" s="30" t="s">
        <v>32</v>
      </c>
      <c r="M284" s="10" t="n">
        <v>1</v>
      </c>
      <c r="N284" s="12" t="n">
        <v>-5015</v>
      </c>
      <c r="O284" s="13" t="n">
        <v>-0.0509226549181441</v>
      </c>
      <c r="P284" s="15" t="n">
        <v>0.0104254068675924</v>
      </c>
      <c r="Q284" s="13" t="n">
        <v>-0.0505047684209056</v>
      </c>
      <c r="R284" s="15" t="n">
        <v>0.114730878186969</v>
      </c>
      <c r="S284" s="32" t="n">
        <v>290204341525</v>
      </c>
      <c r="T284" s="15" t="n">
        <v>0.0780821917808219</v>
      </c>
      <c r="U284" s="32" t="n">
        <v>24803691614.5</v>
      </c>
      <c r="V284" s="14" t="n">
        <v>10.3796047686512</v>
      </c>
      <c r="W284" s="13" t="n">
        <v>0.127507163323782</v>
      </c>
      <c r="X284" s="15" t="n">
        <v>0.0711562897077509</v>
      </c>
      <c r="Y284" s="13" t="n">
        <v>0.00242120890145969</v>
      </c>
      <c r="Z284" s="13" t="n">
        <v>0.0238873132917377</v>
      </c>
      <c r="AA284" s="30" t="s">
        <v>97</v>
      </c>
      <c r="AB284" s="28" t="s">
        <v>93</v>
      </c>
      <c r="AC284" s="28" t="s">
        <v>102</v>
      </c>
      <c r="AD284" s="28" t="s">
        <v>110</v>
      </c>
      <c r="AE284" s="28" t="s">
        <v>101</v>
      </c>
      <c r="AF284" s="28" t="s">
        <v>120</v>
      </c>
      <c r="AG284" s="30" t="s">
        <v>122</v>
      </c>
    </row>
    <row r="285" customFormat="false" ht="15" hidden="false" customHeight="false" outlineLevel="0" collapsed="false">
      <c r="A285" s="10" t="n">
        <v>2024</v>
      </c>
      <c r="B285" s="28" t="s">
        <v>58</v>
      </c>
      <c r="C285" s="29" t="n">
        <v>45526</v>
      </c>
      <c r="D285" s="30" t="s">
        <v>128</v>
      </c>
      <c r="E285" s="28" t="s">
        <v>603</v>
      </c>
      <c r="F285" s="30" t="s">
        <v>604</v>
      </c>
      <c r="G285" s="31" t="n">
        <v>22124</v>
      </c>
      <c r="H285" s="31" t="n">
        <v>4</v>
      </c>
      <c r="I285" s="31" t="n">
        <v>88494</v>
      </c>
      <c r="J285" s="29" t="n">
        <v>45531</v>
      </c>
      <c r="K285" s="31" t="n">
        <v>21029</v>
      </c>
      <c r="L285" s="30" t="s">
        <v>32</v>
      </c>
      <c r="M285" s="10" t="n">
        <v>3</v>
      </c>
      <c r="N285" s="12" t="n">
        <v>-4556</v>
      </c>
      <c r="O285" s="13" t="n">
        <v>-0.051478164864825</v>
      </c>
      <c r="P285" s="15" t="n">
        <v>0.0445545970466439</v>
      </c>
      <c r="Q285" s="13" t="n">
        <v>-0.0772747930754293</v>
      </c>
      <c r="R285" s="15" t="n">
        <v>0.0977881257275901</v>
      </c>
      <c r="S285" s="32" t="n">
        <v>139635950900</v>
      </c>
      <c r="T285" s="15" t="n">
        <v>0.0272331154684098</v>
      </c>
      <c r="U285" s="32" t="n">
        <v>17110361340</v>
      </c>
      <c r="V285" s="14" t="n">
        <v>6.66197419455268</v>
      </c>
      <c r="W285" s="13" t="n">
        <v>0.065536723163842</v>
      </c>
      <c r="X285" s="15" t="n">
        <v>0.0572640509013784</v>
      </c>
      <c r="Y285" s="13" t="n">
        <v>0.00242120890145969</v>
      </c>
      <c r="Z285" s="13" t="n">
        <v>0.0238873132917377</v>
      </c>
      <c r="AA285" s="30" t="s">
        <v>97</v>
      </c>
      <c r="AB285" s="28" t="s">
        <v>93</v>
      </c>
      <c r="AC285" s="28" t="s">
        <v>101</v>
      </c>
      <c r="AD285" s="28" t="s">
        <v>109</v>
      </c>
      <c r="AE285" s="28" t="s">
        <v>113</v>
      </c>
      <c r="AF285" s="28" t="s">
        <v>119</v>
      </c>
      <c r="AG285" s="30" t="s">
        <v>122</v>
      </c>
    </row>
    <row r="286" customFormat="false" ht="15" hidden="false" customHeight="false" outlineLevel="0" collapsed="false">
      <c r="A286" s="10" t="n">
        <v>2024</v>
      </c>
      <c r="B286" s="28" t="s">
        <v>58</v>
      </c>
      <c r="C286" s="29" t="n">
        <v>45526</v>
      </c>
      <c r="D286" s="30" t="s">
        <v>128</v>
      </c>
      <c r="E286" s="28" t="s">
        <v>1121</v>
      </c>
      <c r="F286" s="30" t="s">
        <v>1122</v>
      </c>
      <c r="G286" s="31" t="n">
        <v>25075</v>
      </c>
      <c r="H286" s="31" t="n">
        <v>3</v>
      </c>
      <c r="I286" s="31" t="n">
        <v>75225</v>
      </c>
      <c r="J286" s="29" t="n">
        <v>45540</v>
      </c>
      <c r="K286" s="31" t="n">
        <v>23826</v>
      </c>
      <c r="L286" s="30" t="s">
        <v>32</v>
      </c>
      <c r="M286" s="10" t="n">
        <v>10</v>
      </c>
      <c r="N286" s="12" t="n">
        <v>-3897</v>
      </c>
      <c r="O286" s="13" t="n">
        <v>-0.0518093583063643</v>
      </c>
      <c r="P286" s="15" t="n">
        <v>0.0767675438334123</v>
      </c>
      <c r="Q286" s="13" t="n">
        <v>-0.0488553362804858</v>
      </c>
      <c r="R286" s="15" t="n">
        <v>0.050314465408805</v>
      </c>
      <c r="S286" s="32" t="n">
        <v>76045662750</v>
      </c>
      <c r="T286" s="15" t="n">
        <v>0.0100806451612903</v>
      </c>
      <c r="U286" s="32" t="n">
        <v>3476416922</v>
      </c>
      <c r="V286" s="14" t="n">
        <v>19.1761002038415</v>
      </c>
      <c r="W286" s="13" t="n">
        <v>0.0308641975308641</v>
      </c>
      <c r="X286" s="15" t="n">
        <v>0.105788423153693</v>
      </c>
      <c r="Y286" s="13" t="n">
        <v>0.00242120890145969</v>
      </c>
      <c r="Z286" s="13" t="n">
        <v>0.0238873132917377</v>
      </c>
      <c r="AA286" s="30" t="s">
        <v>97</v>
      </c>
      <c r="AB286" s="28" t="s">
        <v>93</v>
      </c>
      <c r="AC286" s="28" t="s">
        <v>101</v>
      </c>
      <c r="AD286" s="28" t="s">
        <v>108</v>
      </c>
      <c r="AE286" s="28" t="s">
        <v>112</v>
      </c>
      <c r="AF286" s="28" t="s">
        <v>120</v>
      </c>
      <c r="AG286" s="30" t="s">
        <v>122</v>
      </c>
    </row>
    <row r="287" customFormat="false" ht="15" hidden="false" customHeight="false" outlineLevel="0" collapsed="false">
      <c r="A287" s="10" t="n">
        <v>2024</v>
      </c>
      <c r="B287" s="28" t="s">
        <v>58</v>
      </c>
      <c r="C287" s="29" t="n">
        <v>45526</v>
      </c>
      <c r="D287" s="30" t="s">
        <v>128</v>
      </c>
      <c r="E287" s="28" t="s">
        <v>213</v>
      </c>
      <c r="F287" s="30" t="s">
        <v>214</v>
      </c>
      <c r="G287" s="31" t="n">
        <v>42042</v>
      </c>
      <c r="H287" s="31" t="n">
        <v>2</v>
      </c>
      <c r="I287" s="31" t="n">
        <v>84084</v>
      </c>
      <c r="J287" s="29" t="n">
        <v>45527</v>
      </c>
      <c r="K287" s="31" t="n">
        <v>40010</v>
      </c>
      <c r="L287" s="30" t="s">
        <v>32</v>
      </c>
      <c r="M287" s="10" t="n">
        <v>1</v>
      </c>
      <c r="N287" s="12" t="n">
        <v>-4233</v>
      </c>
      <c r="O287" s="13" t="n">
        <v>-0.050339558120451</v>
      </c>
      <c r="P287" s="15" t="n">
        <v>-0.00337757480614609</v>
      </c>
      <c r="Q287" s="13" t="n">
        <v>-0.053327624756196</v>
      </c>
      <c r="R287" s="15" t="n">
        <v>0.0783055198973042</v>
      </c>
      <c r="S287" s="32" t="n">
        <v>53057130000</v>
      </c>
      <c r="T287" s="15" t="n">
        <v>0.00358422939068093</v>
      </c>
      <c r="U287" s="32" t="n">
        <v>12371168377.5</v>
      </c>
      <c r="V287" s="14" t="n">
        <v>3.98508823399517</v>
      </c>
      <c r="W287" s="13" t="n">
        <v>0.0727969348659003</v>
      </c>
      <c r="X287" s="15" t="n">
        <v>0.0678571428571428</v>
      </c>
      <c r="Y287" s="13" t="n">
        <v>0.00242120890145969</v>
      </c>
      <c r="Z287" s="13" t="n">
        <v>0.0238873132917377</v>
      </c>
      <c r="AA287" s="30" t="s">
        <v>97</v>
      </c>
      <c r="AB287" s="28" t="s">
        <v>93</v>
      </c>
      <c r="AC287" s="28" t="s">
        <v>101</v>
      </c>
      <c r="AD287" s="28" t="s">
        <v>108</v>
      </c>
      <c r="AE287" s="28" t="s">
        <v>112</v>
      </c>
      <c r="AF287" s="28" t="s">
        <v>118</v>
      </c>
      <c r="AG287" s="30" t="s">
        <v>122</v>
      </c>
    </row>
    <row r="288" customFormat="false" ht="15" hidden="false" customHeight="false" outlineLevel="0" collapsed="false">
      <c r="A288" s="10" t="n">
        <v>2024</v>
      </c>
      <c r="B288" s="28" t="s">
        <v>58</v>
      </c>
      <c r="C288" s="29" t="n">
        <v>45530</v>
      </c>
      <c r="D288" s="30" t="s">
        <v>125</v>
      </c>
      <c r="E288" s="28" t="s">
        <v>1117</v>
      </c>
      <c r="F288" s="30" t="s">
        <v>1118</v>
      </c>
      <c r="G288" s="31" t="n">
        <v>14304</v>
      </c>
      <c r="H288" s="31" t="n">
        <v>6</v>
      </c>
      <c r="I288" s="31" t="n">
        <v>85826</v>
      </c>
      <c r="J288" s="29" t="n">
        <v>45533</v>
      </c>
      <c r="K288" s="31" t="n">
        <v>13616</v>
      </c>
      <c r="L288" s="30" t="s">
        <v>32</v>
      </c>
      <c r="M288" s="10" t="n">
        <v>3</v>
      </c>
      <c r="N288" s="12" t="n">
        <v>-4300</v>
      </c>
      <c r="O288" s="13" t="n">
        <v>-0.0500980870074642</v>
      </c>
      <c r="P288" s="15" t="n">
        <v>0.200339198939619</v>
      </c>
      <c r="Q288" s="13" t="n">
        <v>-0.0499353690396377</v>
      </c>
      <c r="R288" s="15" t="n">
        <v>0.218243819266837</v>
      </c>
      <c r="S288" s="32" t="n">
        <v>103299037560</v>
      </c>
      <c r="T288" s="15" t="n">
        <v>0.00704721634954186</v>
      </c>
      <c r="U288" s="32" t="n">
        <v>4981543474.5</v>
      </c>
      <c r="V288" s="14" t="n">
        <v>18.49022830256</v>
      </c>
      <c r="W288" s="13" t="n">
        <v>0.183927091963546</v>
      </c>
      <c r="X288" s="15" t="n">
        <v>0.0342897130860742</v>
      </c>
      <c r="Y288" s="13" t="n">
        <v>-0.00136211038276035</v>
      </c>
      <c r="Z288" s="13" t="n">
        <v>0.0088432372605034</v>
      </c>
      <c r="AA288" s="30" t="s">
        <v>97</v>
      </c>
      <c r="AB288" s="28" t="s">
        <v>93</v>
      </c>
      <c r="AC288" s="28" t="s">
        <v>104</v>
      </c>
      <c r="AD288" s="28" t="s">
        <v>109</v>
      </c>
      <c r="AE288" s="28" t="s">
        <v>112</v>
      </c>
      <c r="AF288" s="28" t="s">
        <v>120</v>
      </c>
      <c r="AG288" s="30" t="s">
        <v>122</v>
      </c>
    </row>
    <row r="289" customFormat="false" ht="15" hidden="false" customHeight="false" outlineLevel="0" collapsed="false">
      <c r="A289" s="10" t="n">
        <v>2024</v>
      </c>
      <c r="B289" s="28" t="s">
        <v>58</v>
      </c>
      <c r="C289" s="29" t="n">
        <v>45530</v>
      </c>
      <c r="D289" s="30" t="s">
        <v>125</v>
      </c>
      <c r="E289" s="28" t="s">
        <v>343</v>
      </c>
      <c r="F289" s="30" t="s">
        <v>344</v>
      </c>
      <c r="G289" s="31" t="n">
        <v>4655</v>
      </c>
      <c r="H289" s="31" t="n">
        <v>21</v>
      </c>
      <c r="I289" s="31" t="n">
        <v>97748</v>
      </c>
      <c r="J289" s="29" t="n">
        <v>45533</v>
      </c>
      <c r="K289" s="31" t="n">
        <v>4431</v>
      </c>
      <c r="L289" s="30" t="s">
        <v>32</v>
      </c>
      <c r="M289" s="10" t="n">
        <v>3</v>
      </c>
      <c r="N289" s="12" t="n">
        <v>-4902</v>
      </c>
      <c r="O289" s="13" t="n">
        <v>-0.0501483031484646</v>
      </c>
      <c r="P289" s="15" t="n">
        <v>0.134349521446296</v>
      </c>
      <c r="Q289" s="13" t="n">
        <v>-0.0815635976926299</v>
      </c>
      <c r="R289" s="15" t="n">
        <v>0.12183353437877</v>
      </c>
      <c r="S289" s="32" t="n">
        <v>72458480850</v>
      </c>
      <c r="T289" s="15" t="n">
        <v>0.0902696365767879</v>
      </c>
      <c r="U289" s="32" t="n">
        <v>3112328303</v>
      </c>
      <c r="V289" s="14" t="n">
        <v>20.3752612128067</v>
      </c>
      <c r="W289" s="13" t="n">
        <v>0.142506142506143</v>
      </c>
      <c r="X289" s="15" t="n">
        <v>0.0881720430107527</v>
      </c>
      <c r="Y289" s="13" t="n">
        <v>-0.00136211038276035</v>
      </c>
      <c r="Z289" s="13" t="n">
        <v>0.0088432372605034</v>
      </c>
      <c r="AA289" s="30" t="s">
        <v>97</v>
      </c>
      <c r="AB289" s="28" t="s">
        <v>93</v>
      </c>
      <c r="AC289" s="28" t="s">
        <v>102</v>
      </c>
      <c r="AD289" s="28" t="s">
        <v>108</v>
      </c>
      <c r="AE289" s="28" t="s">
        <v>101</v>
      </c>
      <c r="AF289" s="28" t="s">
        <v>120</v>
      </c>
      <c r="AG289" s="30" t="s">
        <v>122</v>
      </c>
    </row>
    <row r="290" customFormat="false" ht="15" hidden="false" customHeight="false" outlineLevel="0" collapsed="false">
      <c r="A290" s="10" t="n">
        <v>2024</v>
      </c>
      <c r="B290" s="28" t="s">
        <v>58</v>
      </c>
      <c r="C290" s="29" t="n">
        <v>45530</v>
      </c>
      <c r="D290" s="30" t="s">
        <v>125</v>
      </c>
      <c r="E290" s="28" t="s">
        <v>1317</v>
      </c>
      <c r="F290" s="30" t="s">
        <v>1318</v>
      </c>
      <c r="G290" s="31" t="n">
        <v>18935</v>
      </c>
      <c r="H290" s="31" t="n">
        <v>5</v>
      </c>
      <c r="I290" s="31" t="n">
        <v>94676</v>
      </c>
      <c r="J290" s="29" t="n">
        <v>45531</v>
      </c>
      <c r="K290" s="31" t="n">
        <v>18022</v>
      </c>
      <c r="L290" s="30" t="s">
        <v>32</v>
      </c>
      <c r="M290" s="10" t="n">
        <v>1</v>
      </c>
      <c r="N290" s="12" t="n">
        <v>-4756</v>
      </c>
      <c r="O290" s="13" t="n">
        <v>-0.0502381955803454</v>
      </c>
      <c r="P290" s="15" t="n">
        <v>0.011781395576705</v>
      </c>
      <c r="Q290" s="13" t="n">
        <v>-0.0542506533977748</v>
      </c>
      <c r="R290" s="15" t="n">
        <v>0.155172413793103</v>
      </c>
      <c r="S290" s="32" t="n">
        <v>64024198350</v>
      </c>
      <c r="T290" s="15" t="n">
        <v>0.0781609195402298</v>
      </c>
      <c r="U290" s="32" t="n">
        <v>12828433758</v>
      </c>
      <c r="V290" s="14" t="n">
        <v>4.26657067476608</v>
      </c>
      <c r="W290" s="13" t="n">
        <v>0.135593220338983</v>
      </c>
      <c r="X290" s="15" t="n">
        <v>0.0255863539445629</v>
      </c>
      <c r="Y290" s="13" t="n">
        <v>-0.00136211038276035</v>
      </c>
      <c r="Z290" s="13" t="n">
        <v>0.0088432372605034</v>
      </c>
      <c r="AA290" s="30" t="s">
        <v>97</v>
      </c>
      <c r="AB290" s="28" t="s">
        <v>93</v>
      </c>
      <c r="AC290" s="28" t="s">
        <v>103</v>
      </c>
      <c r="AD290" s="28" t="s">
        <v>108</v>
      </c>
      <c r="AE290" s="28" t="s">
        <v>101</v>
      </c>
      <c r="AF290" s="28" t="s">
        <v>118</v>
      </c>
      <c r="AG290" s="30" t="s">
        <v>122</v>
      </c>
    </row>
    <row r="291" customFormat="false" ht="15" hidden="false" customHeight="false" outlineLevel="0" collapsed="false">
      <c r="A291" s="10" t="n">
        <v>2024</v>
      </c>
      <c r="B291" s="28" t="s">
        <v>58</v>
      </c>
      <c r="C291" s="29" t="n">
        <v>45530</v>
      </c>
      <c r="D291" s="30" t="s">
        <v>125</v>
      </c>
      <c r="E291" s="28" t="s">
        <v>565</v>
      </c>
      <c r="F291" s="30" t="s">
        <v>566</v>
      </c>
      <c r="G291" s="31" t="n">
        <v>37738</v>
      </c>
      <c r="H291" s="31" t="n">
        <v>2</v>
      </c>
      <c r="I291" s="31" t="n">
        <v>75475</v>
      </c>
      <c r="J291" s="29" t="n">
        <v>45539</v>
      </c>
      <c r="K291" s="31" t="n">
        <v>35914</v>
      </c>
      <c r="L291" s="30" t="s">
        <v>32</v>
      </c>
      <c r="M291" s="10" t="n">
        <v>7</v>
      </c>
      <c r="N291" s="12" t="n">
        <v>-3799</v>
      </c>
      <c r="O291" s="13" t="n">
        <v>-0.0503301221987562</v>
      </c>
      <c r="P291" s="15" t="n">
        <v>0.0718724246575706</v>
      </c>
      <c r="Q291" s="13" t="n">
        <v>-0.0539964014765075</v>
      </c>
      <c r="R291" s="15" t="n">
        <v>0.0300546448087431</v>
      </c>
      <c r="S291" s="32" t="n">
        <v>46743664500</v>
      </c>
      <c r="T291" s="15" t="n">
        <v>0.0134408602150538</v>
      </c>
      <c r="U291" s="32" t="n">
        <v>16826241087.5</v>
      </c>
      <c r="V291" s="14" t="n">
        <v>2.57423302540713</v>
      </c>
      <c r="W291" s="13" t="n">
        <v>0.0216802168021679</v>
      </c>
      <c r="X291" s="15" t="n">
        <v>0.0384615384615386</v>
      </c>
      <c r="Y291" s="13" t="n">
        <v>-0.00136211038276035</v>
      </c>
      <c r="Z291" s="13" t="n">
        <v>0.0088432372605034</v>
      </c>
      <c r="AA291" s="30" t="s">
        <v>97</v>
      </c>
      <c r="AB291" s="28" t="s">
        <v>93</v>
      </c>
      <c r="AC291" s="28" t="s">
        <v>100</v>
      </c>
      <c r="AD291" s="28" t="s">
        <v>107</v>
      </c>
      <c r="AE291" s="28" t="s">
        <v>112</v>
      </c>
      <c r="AF291" s="28" t="s">
        <v>117</v>
      </c>
      <c r="AG291" s="30" t="s">
        <v>122</v>
      </c>
    </row>
    <row r="292" customFormat="false" ht="15" hidden="false" customHeight="false" outlineLevel="0" collapsed="false">
      <c r="A292" s="10" t="n">
        <v>2024</v>
      </c>
      <c r="B292" s="28" t="s">
        <v>58</v>
      </c>
      <c r="C292" s="29" t="n">
        <v>45530</v>
      </c>
      <c r="D292" s="30" t="s">
        <v>125</v>
      </c>
      <c r="E292" s="28" t="s">
        <v>1125</v>
      </c>
      <c r="F292" s="30" t="s">
        <v>1126</v>
      </c>
      <c r="G292" s="31" t="n">
        <v>61061</v>
      </c>
      <c r="H292" s="31" t="n">
        <v>1</v>
      </c>
      <c r="I292" s="31" t="n">
        <v>61061</v>
      </c>
      <c r="J292" s="29" t="n">
        <v>45544</v>
      </c>
      <c r="K292" s="31" t="n">
        <v>58042</v>
      </c>
      <c r="L292" s="30" t="s">
        <v>32</v>
      </c>
      <c r="M292" s="10" t="n">
        <v>10</v>
      </c>
      <c r="N292" s="12" t="n">
        <v>-3141</v>
      </c>
      <c r="O292" s="13" t="n">
        <v>-0.0514475828270091</v>
      </c>
      <c r="P292" s="15" t="n">
        <v>0.120191284125711</v>
      </c>
      <c r="Q292" s="13" t="n">
        <v>-0.10253680745484</v>
      </c>
      <c r="R292" s="15" t="n">
        <v>0.0590277777777777</v>
      </c>
      <c r="S292" s="32" t="n">
        <v>43175739000</v>
      </c>
      <c r="T292" s="15" t="n">
        <v>0.0166666666666666</v>
      </c>
      <c r="U292" s="32" t="n">
        <v>17879713100</v>
      </c>
      <c r="V292" s="14" t="n">
        <v>2.22033934725758</v>
      </c>
      <c r="W292" s="13" t="n">
        <v>0.0427350427350428</v>
      </c>
      <c r="X292" s="15" t="n">
        <v>0.0229508196721311</v>
      </c>
      <c r="Y292" s="13" t="n">
        <v>-0.00136211038276035</v>
      </c>
      <c r="Z292" s="13" t="n">
        <v>0.0088432372605034</v>
      </c>
      <c r="AA292" s="30" t="s">
        <v>97</v>
      </c>
      <c r="AB292" s="28" t="s">
        <v>93</v>
      </c>
      <c r="AC292" s="28" t="s">
        <v>101</v>
      </c>
      <c r="AD292" s="28" t="s">
        <v>107</v>
      </c>
      <c r="AE292" s="28" t="s">
        <v>112</v>
      </c>
      <c r="AF292" s="28" t="s">
        <v>117</v>
      </c>
      <c r="AG292" s="30" t="s">
        <v>122</v>
      </c>
    </row>
    <row r="293" customFormat="false" ht="15" hidden="false" customHeight="false" outlineLevel="0" collapsed="false">
      <c r="A293" s="10" t="n">
        <v>2024</v>
      </c>
      <c r="B293" s="28" t="s">
        <v>58</v>
      </c>
      <c r="C293" s="29" t="n">
        <v>45531</v>
      </c>
      <c r="D293" s="30" t="s">
        <v>126</v>
      </c>
      <c r="E293" s="28" t="s">
        <v>681</v>
      </c>
      <c r="F293" s="30" t="s">
        <v>682</v>
      </c>
      <c r="G293" s="31" t="n">
        <v>55055</v>
      </c>
      <c r="H293" s="31" t="n">
        <v>1</v>
      </c>
      <c r="I293" s="31" t="n">
        <v>55055</v>
      </c>
      <c r="J293" s="29" t="n">
        <v>45533</v>
      </c>
      <c r="K293" s="31" t="n">
        <v>52348</v>
      </c>
      <c r="L293" s="30" t="s">
        <v>32</v>
      </c>
      <c r="M293" s="10" t="n">
        <v>2</v>
      </c>
      <c r="N293" s="12" t="n">
        <v>-2818</v>
      </c>
      <c r="O293" s="13" t="n">
        <v>-0.0511803845245663</v>
      </c>
      <c r="P293" s="15" t="n">
        <v>0.0298792116973936</v>
      </c>
      <c r="Q293" s="13" t="n">
        <v>-0.0536735991281445</v>
      </c>
      <c r="R293" s="15" t="n">
        <v>0.0128913443830572</v>
      </c>
      <c r="S293" s="32" t="n">
        <v>66086185000</v>
      </c>
      <c r="T293" s="15" t="n">
        <v>0.00364963503649629</v>
      </c>
      <c r="U293" s="32" t="n">
        <v>49085957397.5</v>
      </c>
      <c r="V293" s="14" t="n">
        <v>1.25420772884988</v>
      </c>
      <c r="W293" s="13" t="n">
        <v>0.0110294117647058</v>
      </c>
      <c r="X293" s="15" t="n">
        <v>0.0181818181818181</v>
      </c>
      <c r="Y293" s="13" t="n">
        <v>-0.0032468374839234</v>
      </c>
      <c r="Z293" s="13" t="n">
        <v>-0.00273674920178157</v>
      </c>
      <c r="AA293" s="30" t="s">
        <v>97</v>
      </c>
      <c r="AB293" s="28" t="s">
        <v>94</v>
      </c>
      <c r="AC293" s="28" t="s">
        <v>99</v>
      </c>
      <c r="AD293" s="28" t="s">
        <v>108</v>
      </c>
      <c r="AE293" s="28" t="s">
        <v>112</v>
      </c>
      <c r="AF293" s="28" t="s">
        <v>116</v>
      </c>
      <c r="AG293" s="30" t="s">
        <v>122</v>
      </c>
    </row>
    <row r="294" customFormat="false" ht="15" hidden="false" customHeight="false" outlineLevel="0" collapsed="false">
      <c r="A294" s="10" t="n">
        <v>2024</v>
      </c>
      <c r="B294" s="28" t="s">
        <v>58</v>
      </c>
      <c r="C294" s="29" t="n">
        <v>45531</v>
      </c>
      <c r="D294" s="30" t="s">
        <v>126</v>
      </c>
      <c r="E294" s="28" t="s">
        <v>601</v>
      </c>
      <c r="F294" s="30" t="s">
        <v>602</v>
      </c>
      <c r="G294" s="31" t="n">
        <v>38338</v>
      </c>
      <c r="H294" s="31" t="n">
        <v>2</v>
      </c>
      <c r="I294" s="31" t="n">
        <v>76677</v>
      </c>
      <c r="J294" s="29" t="n">
        <v>45533</v>
      </c>
      <c r="K294" s="31" t="n">
        <v>36464</v>
      </c>
      <c r="L294" s="30" t="s">
        <v>32</v>
      </c>
      <c r="M294" s="10" t="n">
        <v>2</v>
      </c>
      <c r="N294" s="12" t="n">
        <v>-3903</v>
      </c>
      <c r="O294" s="13" t="n">
        <v>-0.0509061322489521</v>
      </c>
      <c r="P294" s="15" t="n">
        <v>-0.00621571639848395</v>
      </c>
      <c r="Q294" s="13" t="n">
        <v>-0.107941666688403</v>
      </c>
      <c r="R294" s="15" t="n">
        <v>0.0974212034383954</v>
      </c>
      <c r="S294" s="32" t="n">
        <v>55106269800</v>
      </c>
      <c r="T294" s="15" t="n">
        <v>0.0536451169188446</v>
      </c>
      <c r="U294" s="32" t="n">
        <v>32274227352.5</v>
      </c>
      <c r="V294" s="14" t="n">
        <v>1.50745173408612</v>
      </c>
      <c r="W294" s="13" t="n">
        <v>0.0958512160228899</v>
      </c>
      <c r="X294" s="15" t="n">
        <v>0.00261096605744116</v>
      </c>
      <c r="Y294" s="13" t="n">
        <v>-0.0032468374839234</v>
      </c>
      <c r="Z294" s="13" t="n">
        <v>-0.00273674920178157</v>
      </c>
      <c r="AA294" s="30" t="s">
        <v>97</v>
      </c>
      <c r="AB294" s="28" t="s">
        <v>94</v>
      </c>
      <c r="AC294" s="28" t="s">
        <v>101</v>
      </c>
      <c r="AD294" s="28" t="s">
        <v>108</v>
      </c>
      <c r="AE294" s="28" t="s">
        <v>101</v>
      </c>
      <c r="AF294" s="28" t="s">
        <v>116</v>
      </c>
      <c r="AG294" s="30" t="s">
        <v>122</v>
      </c>
    </row>
    <row r="295" customFormat="false" ht="15" hidden="false" customHeight="false" outlineLevel="0" collapsed="false">
      <c r="A295" s="10" t="n">
        <v>2024</v>
      </c>
      <c r="B295" s="28" t="s">
        <v>58</v>
      </c>
      <c r="C295" s="29" t="n">
        <v>45531</v>
      </c>
      <c r="D295" s="30" t="s">
        <v>126</v>
      </c>
      <c r="E295" s="28" t="s">
        <v>481</v>
      </c>
      <c r="F295" s="30" t="s">
        <v>482</v>
      </c>
      <c r="G295" s="31" t="n">
        <v>43794</v>
      </c>
      <c r="H295" s="31" t="n">
        <v>2</v>
      </c>
      <c r="I295" s="31" t="n">
        <v>87587</v>
      </c>
      <c r="J295" s="29" t="n">
        <v>45533</v>
      </c>
      <c r="K295" s="31" t="n">
        <v>41658</v>
      </c>
      <c r="L295" s="30" t="s">
        <v>32</v>
      </c>
      <c r="M295" s="10" t="n">
        <v>2</v>
      </c>
      <c r="N295" s="12" t="n">
        <v>-4447</v>
      </c>
      <c r="O295" s="13" t="n">
        <v>-0.0507664392179248</v>
      </c>
      <c r="P295" s="15" t="n">
        <v>0.0492364778079066</v>
      </c>
      <c r="Q295" s="13" t="n">
        <v>-0.0854859426287996</v>
      </c>
      <c r="R295" s="15" t="n">
        <v>0.0491606714628297</v>
      </c>
      <c r="S295" s="32" t="n">
        <v>46926293750</v>
      </c>
      <c r="T295" s="15" t="n">
        <v>0.0491606714628297</v>
      </c>
      <c r="U295" s="32" t="n">
        <v>18693947282.5</v>
      </c>
      <c r="V295" s="14" t="n">
        <v>2.23839815485711</v>
      </c>
      <c r="W295" s="13" t="n">
        <v>0.0441527446300716</v>
      </c>
      <c r="X295" s="15" t="n">
        <v>0.00457142857142867</v>
      </c>
      <c r="Y295" s="13" t="n">
        <v>-0.0032468374839234</v>
      </c>
      <c r="Z295" s="13" t="n">
        <v>-0.00273674920178157</v>
      </c>
      <c r="AA295" s="30" t="s">
        <v>97</v>
      </c>
      <c r="AB295" s="28" t="s">
        <v>94</v>
      </c>
      <c r="AC295" s="28" t="s">
        <v>100</v>
      </c>
      <c r="AD295" s="28" t="s">
        <v>107</v>
      </c>
      <c r="AE295" s="28" t="s">
        <v>113</v>
      </c>
      <c r="AF295" s="28" t="s">
        <v>117</v>
      </c>
      <c r="AG295" s="30" t="s">
        <v>122</v>
      </c>
    </row>
    <row r="296" customFormat="false" ht="15" hidden="false" customHeight="false" outlineLevel="0" collapsed="false">
      <c r="A296" s="10" t="n">
        <v>2024</v>
      </c>
      <c r="B296" s="28" t="s">
        <v>58</v>
      </c>
      <c r="C296" s="29" t="n">
        <v>45531</v>
      </c>
      <c r="D296" s="30" t="s">
        <v>126</v>
      </c>
      <c r="E296" s="28" t="s">
        <v>669</v>
      </c>
      <c r="F296" s="30" t="s">
        <v>670</v>
      </c>
      <c r="G296" s="31" t="n">
        <v>15526</v>
      </c>
      <c r="H296" s="31" t="n">
        <v>6</v>
      </c>
      <c r="I296" s="31" t="n">
        <v>93153</v>
      </c>
      <c r="J296" s="29" t="n">
        <v>45533</v>
      </c>
      <c r="K296" s="31" t="n">
        <v>14775</v>
      </c>
      <c r="L296" s="30" t="s">
        <v>32</v>
      </c>
      <c r="M296" s="10" t="n">
        <v>2</v>
      </c>
      <c r="N296" s="12" t="n">
        <v>-4689</v>
      </c>
      <c r="O296" s="13" t="n">
        <v>-0.0503326773806466</v>
      </c>
      <c r="P296" s="15" t="n">
        <v>0.0820900569449894</v>
      </c>
      <c r="Q296" s="13" t="n">
        <v>-0.0898849699623393</v>
      </c>
      <c r="R296" s="15" t="n">
        <v>0.112625538020086</v>
      </c>
      <c r="S296" s="32" t="n">
        <v>44515871400</v>
      </c>
      <c r="T296" s="15" t="n">
        <v>0.00388349514563102</v>
      </c>
      <c r="U296" s="32" t="n">
        <v>3268214879.5</v>
      </c>
      <c r="V296" s="14" t="n">
        <v>12.3285629419757</v>
      </c>
      <c r="W296" s="13" t="n">
        <v>0.0374581939799332</v>
      </c>
      <c r="X296" s="15" t="n">
        <v>0.0554480980012895</v>
      </c>
      <c r="Y296" s="13" t="n">
        <v>-0.0032468374839234</v>
      </c>
      <c r="Z296" s="13" t="n">
        <v>-0.00273674920178157</v>
      </c>
      <c r="AA296" s="30" t="s">
        <v>97</v>
      </c>
      <c r="AB296" s="28" t="s">
        <v>94</v>
      </c>
      <c r="AC296" s="28" t="s">
        <v>102</v>
      </c>
      <c r="AD296" s="28" t="s">
        <v>107</v>
      </c>
      <c r="AE296" s="28" t="s">
        <v>112</v>
      </c>
      <c r="AF296" s="28" t="s">
        <v>120</v>
      </c>
      <c r="AG296" s="30" t="s">
        <v>122</v>
      </c>
    </row>
    <row r="297" customFormat="false" ht="15" hidden="false" customHeight="false" outlineLevel="0" collapsed="false">
      <c r="A297" s="10" t="n">
        <v>2024</v>
      </c>
      <c r="B297" s="28" t="s">
        <v>58</v>
      </c>
      <c r="C297" s="29" t="n">
        <v>45532</v>
      </c>
      <c r="D297" s="30" t="s">
        <v>127</v>
      </c>
      <c r="E297" s="28" t="s">
        <v>299</v>
      </c>
      <c r="F297" s="30" t="s">
        <v>300</v>
      </c>
      <c r="G297" s="31" t="n">
        <v>4660</v>
      </c>
      <c r="H297" s="31" t="n">
        <v>21</v>
      </c>
      <c r="I297" s="31" t="n">
        <v>97853</v>
      </c>
      <c r="J297" s="29" t="n">
        <v>45533</v>
      </c>
      <c r="K297" s="31" t="n">
        <v>4436</v>
      </c>
      <c r="L297" s="30" t="s">
        <v>32</v>
      </c>
      <c r="M297" s="10" t="n">
        <v>1</v>
      </c>
      <c r="N297" s="12" t="n">
        <v>-4902</v>
      </c>
      <c r="O297" s="13" t="n">
        <v>-0.0500988356970633</v>
      </c>
      <c r="P297" s="15" t="n">
        <v>0.0150966112298014</v>
      </c>
      <c r="Q297" s="13" t="n">
        <v>-0.130836939644673</v>
      </c>
      <c r="R297" s="15" t="n">
        <v>0.0850815850815851</v>
      </c>
      <c r="S297" s="32" t="n">
        <v>38058502615</v>
      </c>
      <c r="T297" s="15" t="n">
        <v>0.0825581395348838</v>
      </c>
      <c r="U297" s="32" t="n">
        <v>3778609937.75</v>
      </c>
      <c r="V297" s="14" t="n">
        <v>8.95960588325864</v>
      </c>
      <c r="W297" s="13" t="n">
        <v>0.0344444444444445</v>
      </c>
      <c r="X297" s="15" t="n">
        <v>0.00751879699248126</v>
      </c>
      <c r="Y297" s="13" t="n">
        <v>0.000215673514920578</v>
      </c>
      <c r="Z297" s="13" t="n">
        <v>-0.00418343434044277</v>
      </c>
      <c r="AA297" s="30" t="s">
        <v>97</v>
      </c>
      <c r="AB297" s="28" t="s">
        <v>94</v>
      </c>
      <c r="AC297" s="28" t="s">
        <v>101</v>
      </c>
      <c r="AD297" s="28" t="s">
        <v>107</v>
      </c>
      <c r="AE297" s="28" t="s">
        <v>101</v>
      </c>
      <c r="AF297" s="28" t="s">
        <v>119</v>
      </c>
      <c r="AG297" s="30" t="s">
        <v>122</v>
      </c>
    </row>
    <row r="298" customFormat="false" ht="15" hidden="false" customHeight="false" outlineLevel="0" collapsed="false">
      <c r="A298" s="10" t="n">
        <v>2024</v>
      </c>
      <c r="B298" s="28" t="s">
        <v>58</v>
      </c>
      <c r="C298" s="29" t="n">
        <v>45532</v>
      </c>
      <c r="D298" s="30" t="s">
        <v>127</v>
      </c>
      <c r="E298" s="28" t="s">
        <v>1343</v>
      </c>
      <c r="F298" s="30" t="s">
        <v>1344</v>
      </c>
      <c r="G298" s="31" t="n">
        <v>56056</v>
      </c>
      <c r="H298" s="31" t="n">
        <v>1</v>
      </c>
      <c r="I298" s="31" t="n">
        <v>56056</v>
      </c>
      <c r="J298" s="29" t="n">
        <v>45533</v>
      </c>
      <c r="K298" s="31" t="n">
        <v>50949</v>
      </c>
      <c r="L298" s="30" t="s">
        <v>32</v>
      </c>
      <c r="M298" s="10" t="n">
        <v>1</v>
      </c>
      <c r="N298" s="12" t="n">
        <v>-5215</v>
      </c>
      <c r="O298" s="13" t="n">
        <v>-0.0930276678678465</v>
      </c>
      <c r="P298" s="15" t="n">
        <v>-0.0777080062794348</v>
      </c>
      <c r="Q298" s="13" t="n">
        <v>-0.133009847295561</v>
      </c>
      <c r="R298" s="15" t="n">
        <v>0.111111111111111</v>
      </c>
      <c r="S298" s="32" t="n">
        <v>30623768000</v>
      </c>
      <c r="T298" s="15" t="n">
        <v>0.0389610389610389</v>
      </c>
      <c r="U298" s="32" t="n">
        <v>21402726500</v>
      </c>
      <c r="V298" s="14" t="n">
        <v>1.2449161271244</v>
      </c>
      <c r="W298" s="13" t="n">
        <v>0.113320079522863</v>
      </c>
      <c r="X298" s="15" t="n">
        <v>0</v>
      </c>
      <c r="Y298" s="13" t="n">
        <v>0.000215673514920578</v>
      </c>
      <c r="Z298" s="13" t="n">
        <v>-0.00418343434044277</v>
      </c>
      <c r="AA298" s="30" t="s">
        <v>97</v>
      </c>
      <c r="AB298" s="28" t="s">
        <v>94</v>
      </c>
      <c r="AC298" s="28" t="s">
        <v>102</v>
      </c>
      <c r="AD298" s="28" t="s">
        <v>107</v>
      </c>
      <c r="AE298" s="28" t="s">
        <v>113</v>
      </c>
      <c r="AF298" s="28" t="s">
        <v>116</v>
      </c>
      <c r="AG298" s="30" t="s">
        <v>122</v>
      </c>
    </row>
    <row r="299" customFormat="false" ht="15" hidden="false" customHeight="false" outlineLevel="0" collapsed="false">
      <c r="A299" s="10" t="n">
        <v>2024</v>
      </c>
      <c r="B299" s="28" t="s">
        <v>58</v>
      </c>
      <c r="C299" s="29" t="n">
        <v>45534</v>
      </c>
      <c r="D299" s="30" t="s">
        <v>129</v>
      </c>
      <c r="E299" s="28" t="s">
        <v>1345</v>
      </c>
      <c r="F299" s="30" t="s">
        <v>1346</v>
      </c>
      <c r="G299" s="31" t="n">
        <v>8973</v>
      </c>
      <c r="H299" s="31" t="n">
        <v>11</v>
      </c>
      <c r="I299" s="31" t="n">
        <v>98703</v>
      </c>
      <c r="J299" s="29" t="n">
        <v>45539</v>
      </c>
      <c r="K299" s="31" t="n">
        <v>8541</v>
      </c>
      <c r="L299" s="30" t="s">
        <v>32</v>
      </c>
      <c r="M299" s="10" t="n">
        <v>3</v>
      </c>
      <c r="N299" s="12" t="n">
        <v>-4945</v>
      </c>
      <c r="O299" s="13" t="n">
        <v>-0.0500996833936477</v>
      </c>
      <c r="P299" s="15" t="n">
        <v>0.0752650612790473</v>
      </c>
      <c r="Q299" s="13" t="n">
        <v>-0.0574693371896169</v>
      </c>
      <c r="R299" s="15" t="n">
        <v>0.233644859813084</v>
      </c>
      <c r="S299" s="32" t="n">
        <v>87107900880</v>
      </c>
      <c r="T299" s="15" t="n">
        <v>0.0275449101796408</v>
      </c>
      <c r="U299" s="32" t="n">
        <v>6097734691.5</v>
      </c>
      <c r="V299" s="14" t="n">
        <v>12.7586330400473</v>
      </c>
      <c r="W299" s="13" t="n">
        <v>0.222222222222222</v>
      </c>
      <c r="X299" s="15" t="n">
        <v>0.0448717948717949</v>
      </c>
      <c r="Y299" s="13" t="n">
        <v>0.00451868323391969</v>
      </c>
      <c r="Z299" s="13" t="n">
        <v>-0.0101343973586904</v>
      </c>
      <c r="AA299" s="30" t="s">
        <v>97</v>
      </c>
      <c r="AB299" s="28" t="s">
        <v>94</v>
      </c>
      <c r="AC299" s="28" t="s">
        <v>104</v>
      </c>
      <c r="AD299" s="28" t="s">
        <v>108</v>
      </c>
      <c r="AE299" s="28" t="s">
        <v>113</v>
      </c>
      <c r="AF299" s="28" t="s">
        <v>120</v>
      </c>
      <c r="AG299" s="30" t="s">
        <v>122</v>
      </c>
    </row>
    <row r="300" customFormat="false" ht="15" hidden="false" customHeight="false" outlineLevel="0" collapsed="false">
      <c r="A300" s="10" t="n">
        <v>2024</v>
      </c>
      <c r="B300" s="28" t="s">
        <v>58</v>
      </c>
      <c r="C300" s="29" t="n">
        <v>45534</v>
      </c>
      <c r="D300" s="30" t="s">
        <v>129</v>
      </c>
      <c r="E300" s="28" t="s">
        <v>1347</v>
      </c>
      <c r="F300" s="30" t="s">
        <v>1348</v>
      </c>
      <c r="G300" s="31" t="n">
        <v>9079</v>
      </c>
      <c r="H300" s="31" t="n">
        <v>10</v>
      </c>
      <c r="I300" s="31" t="n">
        <v>90791</v>
      </c>
      <c r="J300" s="29" t="n">
        <v>45539</v>
      </c>
      <c r="K300" s="31" t="n">
        <v>8641</v>
      </c>
      <c r="L300" s="30" t="s">
        <v>32</v>
      </c>
      <c r="M300" s="10" t="n">
        <v>3</v>
      </c>
      <c r="N300" s="12" t="n">
        <v>-4559</v>
      </c>
      <c r="O300" s="13" t="n">
        <v>-0.0502179730963634</v>
      </c>
      <c r="P300" s="15" t="n">
        <v>0.0408555061256275</v>
      </c>
      <c r="Q300" s="13" t="n">
        <v>-0.0692879336760263</v>
      </c>
      <c r="R300" s="15" t="n">
        <v>0.20531561461794</v>
      </c>
      <c r="S300" s="32" t="n">
        <v>85667320030</v>
      </c>
      <c r="T300" s="15" t="n">
        <v>0.111519607843137</v>
      </c>
      <c r="U300" s="32" t="n">
        <v>4908637425.55</v>
      </c>
      <c r="V300" s="14" t="n">
        <v>14.5429759394099</v>
      </c>
      <c r="W300" s="13" t="n">
        <v>0.177922077922078</v>
      </c>
      <c r="X300" s="15" t="n">
        <v>0.031973539140022</v>
      </c>
      <c r="Y300" s="13" t="n">
        <v>0.00451868323391969</v>
      </c>
      <c r="Z300" s="13" t="n">
        <v>-0.0101343973586904</v>
      </c>
      <c r="AA300" s="30" t="s">
        <v>97</v>
      </c>
      <c r="AB300" s="28" t="s">
        <v>94</v>
      </c>
      <c r="AC300" s="28" t="s">
        <v>104</v>
      </c>
      <c r="AD300" s="28" t="s">
        <v>108</v>
      </c>
      <c r="AE300" s="28" t="s">
        <v>114</v>
      </c>
      <c r="AF300" s="28" t="s">
        <v>120</v>
      </c>
      <c r="AG300" s="30" t="s">
        <v>122</v>
      </c>
    </row>
    <row r="301" customFormat="false" ht="15" hidden="false" customHeight="false" outlineLevel="0" collapsed="false">
      <c r="A301" s="10" t="n">
        <v>2024</v>
      </c>
      <c r="B301" s="28" t="s">
        <v>58</v>
      </c>
      <c r="C301" s="29" t="n">
        <v>45534</v>
      </c>
      <c r="D301" s="30" t="s">
        <v>129</v>
      </c>
      <c r="E301" s="28" t="s">
        <v>413</v>
      </c>
      <c r="F301" s="30" t="s">
        <v>414</v>
      </c>
      <c r="G301" s="31" t="n">
        <v>23874</v>
      </c>
      <c r="H301" s="31" t="n">
        <v>4</v>
      </c>
      <c r="I301" s="31" t="n">
        <v>95495</v>
      </c>
      <c r="J301" s="29" t="n">
        <v>45538</v>
      </c>
      <c r="K301" s="31" t="n">
        <v>22727</v>
      </c>
      <c r="L301" s="30" t="s">
        <v>32</v>
      </c>
      <c r="M301" s="10" t="n">
        <v>2</v>
      </c>
      <c r="N301" s="12" t="n">
        <v>-4778</v>
      </c>
      <c r="O301" s="13" t="n">
        <v>-0.0500337907375643</v>
      </c>
      <c r="P301" s="15" t="n">
        <v>0.0220387578878145</v>
      </c>
      <c r="Q301" s="13" t="n">
        <v>-0.107810428565145</v>
      </c>
      <c r="R301" s="15" t="n">
        <v>0.163414634146341</v>
      </c>
      <c r="S301" s="32" t="n">
        <v>53197878150</v>
      </c>
      <c r="T301" s="15" t="n">
        <v>0.106728538283063</v>
      </c>
      <c r="U301" s="32" t="n">
        <v>9986595115.5</v>
      </c>
      <c r="V301" s="14" t="n">
        <v>4.56700624592418</v>
      </c>
      <c r="W301" s="13" t="n">
        <v>0.146634615384615</v>
      </c>
      <c r="X301" s="15" t="n">
        <v>0.00419287211740049</v>
      </c>
      <c r="Y301" s="13" t="n">
        <v>0.00451868323391969</v>
      </c>
      <c r="Z301" s="13" t="n">
        <v>-0.0101343973586904</v>
      </c>
      <c r="AA301" s="30" t="s">
        <v>97</v>
      </c>
      <c r="AB301" s="28" t="s">
        <v>94</v>
      </c>
      <c r="AC301" s="28" t="s">
        <v>103</v>
      </c>
      <c r="AD301" s="28" t="s">
        <v>108</v>
      </c>
      <c r="AE301" s="28" t="s">
        <v>114</v>
      </c>
      <c r="AF301" s="28" t="s">
        <v>118</v>
      </c>
      <c r="AG301" s="30" t="s">
        <v>122</v>
      </c>
    </row>
    <row r="302" customFormat="false" ht="15" hidden="false" customHeight="false" outlineLevel="0" collapsed="false">
      <c r="A302" s="10" t="n">
        <v>2024</v>
      </c>
      <c r="B302" s="28" t="s">
        <v>58</v>
      </c>
      <c r="C302" s="29" t="n">
        <v>45534</v>
      </c>
      <c r="D302" s="30" t="s">
        <v>129</v>
      </c>
      <c r="E302" s="28" t="s">
        <v>383</v>
      </c>
      <c r="F302" s="30" t="s">
        <v>384</v>
      </c>
      <c r="G302" s="31" t="n">
        <v>48498</v>
      </c>
      <c r="H302" s="31" t="n">
        <v>2</v>
      </c>
      <c r="I302" s="31" t="n">
        <v>96997</v>
      </c>
      <c r="J302" s="29" t="n">
        <v>45539</v>
      </c>
      <c r="K302" s="31" t="n">
        <v>44955</v>
      </c>
      <c r="L302" s="30" t="s">
        <v>32</v>
      </c>
      <c r="M302" s="10" t="n">
        <v>3</v>
      </c>
      <c r="N302" s="12" t="n">
        <v>-7277</v>
      </c>
      <c r="O302" s="13" t="n">
        <v>-0.075020686588953</v>
      </c>
      <c r="P302" s="15" t="n">
        <v>0.0237440577997854</v>
      </c>
      <c r="Q302" s="13" t="n">
        <v>-0.0783210597452083</v>
      </c>
      <c r="R302" s="15" t="n">
        <v>0.175970873786408</v>
      </c>
      <c r="S302" s="32" t="n">
        <v>26189502150</v>
      </c>
      <c r="T302" s="15" t="n">
        <v>0.0887640449438203</v>
      </c>
      <c r="U302" s="32" t="n">
        <v>3337763752.5</v>
      </c>
      <c r="V302" s="14" t="n">
        <v>6.38645126722523</v>
      </c>
      <c r="W302" s="13" t="n">
        <v>0.164663461538462</v>
      </c>
      <c r="X302" s="15" t="n">
        <v>0.00103199174406599</v>
      </c>
      <c r="Y302" s="13" t="n">
        <v>0.00451868323391969</v>
      </c>
      <c r="Z302" s="13" t="n">
        <v>-0.0101343973586904</v>
      </c>
      <c r="AA302" s="30" t="s">
        <v>97</v>
      </c>
      <c r="AB302" s="28" t="s">
        <v>94</v>
      </c>
      <c r="AC302" s="28" t="s">
        <v>103</v>
      </c>
      <c r="AD302" s="28" t="s">
        <v>106</v>
      </c>
      <c r="AE302" s="28" t="s">
        <v>101</v>
      </c>
      <c r="AF302" s="28" t="s">
        <v>119</v>
      </c>
      <c r="AG302" s="30" t="s">
        <v>122</v>
      </c>
    </row>
    <row r="303" customFormat="false" ht="15" hidden="false" customHeight="false" outlineLevel="0" collapsed="false">
      <c r="A303" s="10" t="n">
        <v>2024</v>
      </c>
      <c r="B303" s="28" t="s">
        <v>59</v>
      </c>
      <c r="C303" s="29" t="n">
        <v>45537</v>
      </c>
      <c r="D303" s="30" t="s">
        <v>125</v>
      </c>
      <c r="E303" s="28" t="s">
        <v>455</v>
      </c>
      <c r="F303" s="30" t="s">
        <v>456</v>
      </c>
      <c r="G303" s="31" t="n">
        <v>30430</v>
      </c>
      <c r="H303" s="31" t="n">
        <v>3</v>
      </c>
      <c r="I303" s="31" t="n">
        <v>91291</v>
      </c>
      <c r="J303" s="29" t="n">
        <v>45539</v>
      </c>
      <c r="K303" s="31" t="n">
        <v>28971</v>
      </c>
      <c r="L303" s="30" t="s">
        <v>32</v>
      </c>
      <c r="M303" s="10" t="n">
        <v>2</v>
      </c>
      <c r="N303" s="12" t="n">
        <v>-4561</v>
      </c>
      <c r="O303" s="13" t="n">
        <v>-0.0499651010174037</v>
      </c>
      <c r="P303" s="15" t="n">
        <v>0.071297123928703</v>
      </c>
      <c r="Q303" s="13" t="n">
        <v>-0.0502918134497081</v>
      </c>
      <c r="R303" s="15" t="n">
        <v>0.142857142857143</v>
      </c>
      <c r="S303" s="32" t="n">
        <v>171673177600</v>
      </c>
      <c r="T303" s="15" t="n">
        <v>0.0464716006884682</v>
      </c>
      <c r="U303" s="32" t="n">
        <v>14979891980</v>
      </c>
      <c r="V303" s="14" t="n">
        <v>10.274824066092</v>
      </c>
      <c r="W303" s="13" t="n">
        <v>0.130111524163569</v>
      </c>
      <c r="X303" s="15" t="n">
        <v>0.042763157894737</v>
      </c>
      <c r="Y303" s="13" t="n">
        <v>0.00250157984676425</v>
      </c>
      <c r="Z303" s="13" t="n">
        <v>-0.00630464675816633</v>
      </c>
      <c r="AA303" s="30" t="s">
        <v>97</v>
      </c>
      <c r="AB303" s="28" t="s">
        <v>94</v>
      </c>
      <c r="AC303" s="28" t="s">
        <v>102</v>
      </c>
      <c r="AD303" s="28" t="s">
        <v>109</v>
      </c>
      <c r="AE303" s="28" t="s">
        <v>113</v>
      </c>
      <c r="AF303" s="28" t="s">
        <v>120</v>
      </c>
      <c r="AG303" s="30" t="s">
        <v>122</v>
      </c>
    </row>
    <row r="304" customFormat="false" ht="15" hidden="false" customHeight="false" outlineLevel="0" collapsed="false">
      <c r="A304" s="10" t="n">
        <v>2024</v>
      </c>
      <c r="B304" s="28" t="s">
        <v>59</v>
      </c>
      <c r="C304" s="29" t="n">
        <v>45537</v>
      </c>
      <c r="D304" s="30" t="s">
        <v>125</v>
      </c>
      <c r="E304" s="28" t="s">
        <v>1349</v>
      </c>
      <c r="F304" s="30" t="s">
        <v>1350</v>
      </c>
      <c r="G304" s="31" t="n">
        <v>16066</v>
      </c>
      <c r="H304" s="31" t="n">
        <v>6</v>
      </c>
      <c r="I304" s="31" t="n">
        <v>96396</v>
      </c>
      <c r="J304" s="29" t="n">
        <v>45539</v>
      </c>
      <c r="K304" s="31" t="n">
        <v>14855</v>
      </c>
      <c r="L304" s="30" t="s">
        <v>32</v>
      </c>
      <c r="M304" s="10" t="n">
        <v>2</v>
      </c>
      <c r="N304" s="12" t="n">
        <v>-7454</v>
      </c>
      <c r="O304" s="13" t="n">
        <v>-0.0773243834670004</v>
      </c>
      <c r="P304" s="15" t="n">
        <v>0.0332346780944914</v>
      </c>
      <c r="Q304" s="13" t="n">
        <v>-0.119260801503792</v>
      </c>
      <c r="R304" s="15" t="n">
        <v>0.0490196078431373</v>
      </c>
      <c r="S304" s="32" t="n">
        <v>81936822900</v>
      </c>
      <c r="T304" s="15" t="n">
        <v>0.02555910543131</v>
      </c>
      <c r="U304" s="32" t="n">
        <v>19490163544.5</v>
      </c>
      <c r="V304" s="14" t="n">
        <v>3.83361268857136</v>
      </c>
      <c r="W304" s="13" t="n">
        <v>0.00943396226415105</v>
      </c>
      <c r="X304" s="15" t="n">
        <v>0.0373831775700935</v>
      </c>
      <c r="Y304" s="13" t="n">
        <v>0.00250157984676425</v>
      </c>
      <c r="Z304" s="13" t="n">
        <v>-0.00630464675816633</v>
      </c>
      <c r="AA304" s="30" t="s">
        <v>97</v>
      </c>
      <c r="AB304" s="28" t="s">
        <v>94</v>
      </c>
      <c r="AC304" s="28" t="s">
        <v>100</v>
      </c>
      <c r="AD304" s="28" t="s">
        <v>108</v>
      </c>
      <c r="AE304" s="28" t="s">
        <v>113</v>
      </c>
      <c r="AF304" s="28" t="s">
        <v>118</v>
      </c>
      <c r="AG304" s="30" t="s">
        <v>122</v>
      </c>
    </row>
    <row r="305" customFormat="false" ht="15" hidden="false" customHeight="false" outlineLevel="0" collapsed="false">
      <c r="A305" s="10" t="n">
        <v>2024</v>
      </c>
      <c r="B305" s="28" t="s">
        <v>59</v>
      </c>
      <c r="C305" s="29" t="n">
        <v>45537</v>
      </c>
      <c r="D305" s="30" t="s">
        <v>125</v>
      </c>
      <c r="E305" s="28" t="s">
        <v>1049</v>
      </c>
      <c r="F305" s="28" t="s">
        <v>1050</v>
      </c>
      <c r="G305" s="31" t="n">
        <v>18518</v>
      </c>
      <c r="H305" s="31" t="n">
        <v>5</v>
      </c>
      <c r="I305" s="31" t="n">
        <v>92592</v>
      </c>
      <c r="J305" s="29" t="n">
        <v>45539</v>
      </c>
      <c r="K305" s="31" t="n">
        <v>17622</v>
      </c>
      <c r="L305" s="30" t="s">
        <v>32</v>
      </c>
      <c r="M305" s="10" t="n">
        <v>2</v>
      </c>
      <c r="N305" s="12" t="n">
        <v>-4666</v>
      </c>
      <c r="O305" s="13" t="n">
        <v>-0.0503972447552447</v>
      </c>
      <c r="P305" s="15" t="n">
        <v>0.0341010341010344</v>
      </c>
      <c r="Q305" s="13" t="n">
        <v>-0.0657990657990656</v>
      </c>
      <c r="R305" s="15" t="n">
        <v>0.0535307517084283</v>
      </c>
      <c r="S305" s="32" t="n">
        <v>40975150500</v>
      </c>
      <c r="T305" s="15" t="n">
        <v>0.0204081632653062</v>
      </c>
      <c r="U305" s="32" t="n">
        <v>6423034216.5</v>
      </c>
      <c r="V305" s="14" t="n">
        <v>5.79378791846169</v>
      </c>
      <c r="W305" s="13" t="n">
        <v>0.0511363636363635</v>
      </c>
      <c r="X305" s="15" t="n">
        <v>0.0837837837837838</v>
      </c>
      <c r="Y305" s="13" t="n">
        <v>0.00250157984676425</v>
      </c>
      <c r="Z305" s="13" t="n">
        <v>-0.00630464675816633</v>
      </c>
      <c r="AA305" s="30" t="s">
        <v>97</v>
      </c>
      <c r="AB305" s="28" t="s">
        <v>94</v>
      </c>
      <c r="AC305" s="28" t="s">
        <v>101</v>
      </c>
      <c r="AD305" s="28" t="s">
        <v>107</v>
      </c>
      <c r="AE305" s="28" t="s">
        <v>113</v>
      </c>
      <c r="AF305" s="28" t="s">
        <v>119</v>
      </c>
      <c r="AG305" s="30" t="s">
        <v>122</v>
      </c>
    </row>
    <row r="306" customFormat="false" ht="15" hidden="false" customHeight="false" outlineLevel="0" collapsed="false">
      <c r="A306" s="10" t="n">
        <v>2024</v>
      </c>
      <c r="B306" s="28" t="s">
        <v>59</v>
      </c>
      <c r="C306" s="29" t="n">
        <v>45537</v>
      </c>
      <c r="D306" s="30" t="s">
        <v>125</v>
      </c>
      <c r="E306" s="28" t="s">
        <v>607</v>
      </c>
      <c r="F306" s="30" t="s">
        <v>608</v>
      </c>
      <c r="G306" s="31" t="n">
        <v>2297</v>
      </c>
      <c r="H306" s="31" t="n">
        <v>43</v>
      </c>
      <c r="I306" s="31" t="n">
        <v>98784</v>
      </c>
      <c r="J306" s="29" t="n">
        <v>45539</v>
      </c>
      <c r="K306" s="31" t="n">
        <v>2183</v>
      </c>
      <c r="L306" s="30" t="s">
        <v>32</v>
      </c>
      <c r="M306" s="10" t="n">
        <v>2</v>
      </c>
      <c r="N306" s="12" t="n">
        <v>-5120</v>
      </c>
      <c r="O306" s="13" t="n">
        <v>-0.0518353470059353</v>
      </c>
      <c r="P306" s="15" t="n">
        <v>0.0534128181187006</v>
      </c>
      <c r="Q306" s="13" t="n">
        <v>-0.0597637656461184</v>
      </c>
      <c r="R306" s="15" t="n">
        <v>0.0154867256637168</v>
      </c>
      <c r="S306" s="32" t="n">
        <v>26735884785</v>
      </c>
      <c r="T306" s="15" t="n">
        <v>0.00879120879120876</v>
      </c>
      <c r="U306" s="32" t="n">
        <v>19970895934.2</v>
      </c>
      <c r="V306" s="14" t="n">
        <v>1.25854199554568</v>
      </c>
      <c r="W306" s="13" t="n">
        <v>-0.0171306209850107</v>
      </c>
      <c r="X306" s="15" t="n">
        <v>0.0174291938997822</v>
      </c>
      <c r="Y306" s="13" t="n">
        <v>0.00250157984676425</v>
      </c>
      <c r="Z306" s="13" t="n">
        <v>-0.00630464675816633</v>
      </c>
      <c r="AA306" s="30" t="s">
        <v>97</v>
      </c>
      <c r="AB306" s="28" t="s">
        <v>94</v>
      </c>
      <c r="AC306" s="28" t="s">
        <v>99</v>
      </c>
      <c r="AD306" s="28" t="s">
        <v>106</v>
      </c>
      <c r="AE306" s="28" t="s">
        <v>112</v>
      </c>
      <c r="AF306" s="28" t="s">
        <v>116</v>
      </c>
      <c r="AG306" s="30" t="s">
        <v>123</v>
      </c>
    </row>
    <row r="307" customFormat="false" ht="15" hidden="false" customHeight="false" outlineLevel="0" collapsed="false">
      <c r="A307" s="10" t="n">
        <v>2024</v>
      </c>
      <c r="B307" s="28" t="s">
        <v>59</v>
      </c>
      <c r="C307" s="29" t="n">
        <v>45537</v>
      </c>
      <c r="D307" s="30" t="s">
        <v>125</v>
      </c>
      <c r="E307" s="28" t="s">
        <v>445</v>
      </c>
      <c r="F307" s="28" t="s">
        <v>446</v>
      </c>
      <c r="G307" s="31" t="n">
        <v>36887</v>
      </c>
      <c r="H307" s="31" t="n">
        <v>2</v>
      </c>
      <c r="I307" s="31" t="n">
        <v>73774</v>
      </c>
      <c r="J307" s="29" t="n">
        <v>45539</v>
      </c>
      <c r="K307" s="31" t="n">
        <v>35115</v>
      </c>
      <c r="L307" s="30" t="s">
        <v>32</v>
      </c>
      <c r="M307" s="10" t="n">
        <v>2</v>
      </c>
      <c r="N307" s="12" t="n">
        <v>-3692</v>
      </c>
      <c r="O307" s="13" t="n">
        <v>-0.0500451240753819</v>
      </c>
      <c r="P307" s="15" t="n">
        <v>0.0274664277377983</v>
      </c>
      <c r="Q307" s="13" t="n">
        <v>-0.0579298584725992</v>
      </c>
      <c r="R307" s="15" t="n">
        <v>0.108270676691729</v>
      </c>
      <c r="S307" s="32" t="n">
        <v>22226335450</v>
      </c>
      <c r="T307" s="15" t="n">
        <v>0.0634920634920635</v>
      </c>
      <c r="U307" s="32" t="n">
        <v>6737391642.5</v>
      </c>
      <c r="V307" s="14" t="n">
        <v>2.86997314442438</v>
      </c>
      <c r="W307" s="13" t="n">
        <v>0.0806451612903225</v>
      </c>
      <c r="X307" s="15" t="n">
        <v>0.00407055630936237</v>
      </c>
      <c r="Y307" s="13" t="n">
        <v>0.00250157984676425</v>
      </c>
      <c r="Z307" s="13" t="n">
        <v>-0.00630464675816633</v>
      </c>
      <c r="AA307" s="30" t="s">
        <v>97</v>
      </c>
      <c r="AB307" s="28" t="s">
        <v>94</v>
      </c>
      <c r="AC307" s="28" t="s">
        <v>102</v>
      </c>
      <c r="AD307" s="28" t="s">
        <v>106</v>
      </c>
      <c r="AE307" s="28" t="s">
        <v>101</v>
      </c>
      <c r="AF307" s="28" t="s">
        <v>117</v>
      </c>
      <c r="AG307" s="30" t="s">
        <v>122</v>
      </c>
    </row>
    <row r="308" customFormat="false" ht="15" hidden="false" customHeight="false" outlineLevel="0" collapsed="false">
      <c r="A308" s="10" t="n">
        <v>2024</v>
      </c>
      <c r="B308" s="28" t="s">
        <v>59</v>
      </c>
      <c r="C308" s="29" t="n">
        <v>45537</v>
      </c>
      <c r="D308" s="30" t="s">
        <v>125</v>
      </c>
      <c r="E308" s="28" t="s">
        <v>1351</v>
      </c>
      <c r="F308" s="30" t="s">
        <v>1352</v>
      </c>
      <c r="G308" s="31" t="n">
        <v>95595</v>
      </c>
      <c r="H308" s="31" t="n">
        <v>1</v>
      </c>
      <c r="I308" s="31" t="n">
        <v>95595</v>
      </c>
      <c r="J308" s="29" t="n">
        <v>45539</v>
      </c>
      <c r="K308" s="31" t="n">
        <v>90310</v>
      </c>
      <c r="L308" s="30" t="s">
        <v>32</v>
      </c>
      <c r="M308" s="10" t="n">
        <v>2</v>
      </c>
      <c r="N308" s="12" t="n">
        <v>-5476</v>
      </c>
      <c r="O308" s="13" t="n">
        <v>-0.0572866196107556</v>
      </c>
      <c r="P308" s="15" t="n">
        <v>0.00736959375702839</v>
      </c>
      <c r="Q308" s="13" t="n">
        <v>-0.087823171592805</v>
      </c>
      <c r="R308" s="15" t="n">
        <v>0.0471491228070176</v>
      </c>
      <c r="S308" s="32" t="n">
        <v>20036473000</v>
      </c>
      <c r="T308" s="15" t="n">
        <v>0.0471491228070176</v>
      </c>
      <c r="U308" s="32" t="n">
        <v>7629323075</v>
      </c>
      <c r="V308" s="14" t="n">
        <v>2.35389152325972</v>
      </c>
      <c r="W308" s="13" t="n">
        <v>0.0471491228070176</v>
      </c>
      <c r="X308" s="15" t="n">
        <v>0.00628272251308903</v>
      </c>
      <c r="Y308" s="13" t="n">
        <v>0.00250157984676425</v>
      </c>
      <c r="Z308" s="13" t="n">
        <v>-0.00630464675816633</v>
      </c>
      <c r="AA308" s="30" t="s">
        <v>97</v>
      </c>
      <c r="AB308" s="28" t="s">
        <v>94</v>
      </c>
      <c r="AC308" s="28" t="s">
        <v>100</v>
      </c>
      <c r="AD308" s="28" t="s">
        <v>106</v>
      </c>
      <c r="AE308" s="28" t="s">
        <v>113</v>
      </c>
      <c r="AF308" s="28" t="s">
        <v>117</v>
      </c>
      <c r="AG308" s="30" t="s">
        <v>122</v>
      </c>
    </row>
    <row r="309" customFormat="false" ht="15" hidden="false" customHeight="false" outlineLevel="0" collapsed="false">
      <c r="A309" s="10" t="n">
        <v>2024</v>
      </c>
      <c r="B309" s="28" t="s">
        <v>59</v>
      </c>
      <c r="C309" s="29" t="n">
        <v>45538</v>
      </c>
      <c r="D309" s="30" t="s">
        <v>126</v>
      </c>
      <c r="E309" s="28" t="s">
        <v>403</v>
      </c>
      <c r="F309" s="30" t="s">
        <v>404</v>
      </c>
      <c r="G309" s="31" t="n">
        <v>57357</v>
      </c>
      <c r="H309" s="31" t="n">
        <v>1</v>
      </c>
      <c r="I309" s="31" t="n">
        <v>57357</v>
      </c>
      <c r="J309" s="29" t="n">
        <v>45560</v>
      </c>
      <c r="K309" s="31" t="n">
        <v>54545</v>
      </c>
      <c r="L309" s="30" t="s">
        <v>32</v>
      </c>
      <c r="M309" s="10" t="n">
        <v>13</v>
      </c>
      <c r="N309" s="12" t="n">
        <v>-2927</v>
      </c>
      <c r="O309" s="13" t="n">
        <v>-0.0510286768205617</v>
      </c>
      <c r="P309" s="15" t="n">
        <v>0.0547916307078611</v>
      </c>
      <c r="Q309" s="13" t="n">
        <v>-0.0899153202818124</v>
      </c>
      <c r="R309" s="15" t="n">
        <v>0.0831758034026464</v>
      </c>
      <c r="S309" s="32" t="n">
        <v>75779536500</v>
      </c>
      <c r="T309" s="15" t="n">
        <v>0.0418181818181818</v>
      </c>
      <c r="U309" s="32" t="n">
        <v>28388709400</v>
      </c>
      <c r="V309" s="14" t="n">
        <v>2.28800265043993</v>
      </c>
      <c r="W309" s="13" t="n">
        <v>0.0811320754716982</v>
      </c>
      <c r="X309" s="15" t="n">
        <v>0.0104712041884816</v>
      </c>
      <c r="Y309" s="13" t="n">
        <v>-0.00610593062290188</v>
      </c>
      <c r="Z309" s="13" t="n">
        <v>-0.00915496885748812</v>
      </c>
      <c r="AA309" s="30" t="s">
        <v>97</v>
      </c>
      <c r="AB309" s="28" t="s">
        <v>94</v>
      </c>
      <c r="AC309" s="28" t="s">
        <v>101</v>
      </c>
      <c r="AD309" s="28" t="s">
        <v>108</v>
      </c>
      <c r="AE309" s="28" t="s">
        <v>113</v>
      </c>
      <c r="AF309" s="28" t="s">
        <v>117</v>
      </c>
      <c r="AG309" s="30" t="s">
        <v>122</v>
      </c>
    </row>
    <row r="310" customFormat="false" ht="15" hidden="false" customHeight="false" outlineLevel="0" collapsed="false">
      <c r="A310" s="10" t="n">
        <v>2024</v>
      </c>
      <c r="B310" s="28" t="s">
        <v>59</v>
      </c>
      <c r="C310" s="29" t="n">
        <v>45538</v>
      </c>
      <c r="D310" s="30" t="s">
        <v>126</v>
      </c>
      <c r="E310" s="28" t="s">
        <v>651</v>
      </c>
      <c r="F310" s="30" t="s">
        <v>652</v>
      </c>
      <c r="G310" s="31" t="n">
        <v>2378</v>
      </c>
      <c r="H310" s="31" t="n">
        <v>41</v>
      </c>
      <c r="I310" s="31" t="n">
        <v>97485</v>
      </c>
      <c r="J310" s="29" t="n">
        <v>45539</v>
      </c>
      <c r="K310" s="31" t="n">
        <v>2237</v>
      </c>
      <c r="L310" s="30" t="s">
        <v>32</v>
      </c>
      <c r="M310" s="10" t="n">
        <v>1</v>
      </c>
      <c r="N310" s="12" t="n">
        <v>-5973</v>
      </c>
      <c r="O310" s="13" t="n">
        <v>-0.0612750924075924</v>
      </c>
      <c r="P310" s="15" t="n">
        <v>0.206201206201206</v>
      </c>
      <c r="Q310" s="13" t="n">
        <v>-0.0786990786990787</v>
      </c>
      <c r="R310" s="15" t="n">
        <v>0.205357142857143</v>
      </c>
      <c r="S310" s="32" t="n">
        <v>51026349600</v>
      </c>
      <c r="T310" s="15" t="n">
        <v>0.00746268656716409</v>
      </c>
      <c r="U310" s="32" t="n">
        <v>8426408866</v>
      </c>
      <c r="V310" s="14" t="n">
        <v>5.04588034603545</v>
      </c>
      <c r="W310" s="13" t="n">
        <v>0.205357142857143</v>
      </c>
      <c r="X310" s="15" t="n">
        <v>0.0777777777777777</v>
      </c>
      <c r="Y310" s="13" t="n">
        <v>-0.00610593062290188</v>
      </c>
      <c r="Z310" s="13" t="n">
        <v>-0.00915496885748812</v>
      </c>
      <c r="AA310" s="30" t="s">
        <v>97</v>
      </c>
      <c r="AB310" s="28" t="s">
        <v>94</v>
      </c>
      <c r="AC310" s="28" t="s">
        <v>104</v>
      </c>
      <c r="AD310" s="28" t="s">
        <v>108</v>
      </c>
      <c r="AE310" s="28" t="s">
        <v>112</v>
      </c>
      <c r="AF310" s="28" t="s">
        <v>119</v>
      </c>
      <c r="AG310" s="30" t="s">
        <v>122</v>
      </c>
    </row>
    <row r="311" customFormat="false" ht="15" hidden="false" customHeight="false" outlineLevel="0" collapsed="false">
      <c r="A311" s="10" t="n">
        <v>2024</v>
      </c>
      <c r="B311" s="28" t="s">
        <v>59</v>
      </c>
      <c r="C311" s="29" t="n">
        <v>45538</v>
      </c>
      <c r="D311" s="30" t="s">
        <v>126</v>
      </c>
      <c r="E311" s="28" t="s">
        <v>255</v>
      </c>
      <c r="F311" s="28" t="s">
        <v>256</v>
      </c>
      <c r="G311" s="31" t="n">
        <v>85485</v>
      </c>
      <c r="H311" s="31" t="n">
        <v>1</v>
      </c>
      <c r="I311" s="31" t="n">
        <v>85485</v>
      </c>
      <c r="J311" s="29" t="n">
        <v>45560</v>
      </c>
      <c r="K311" s="31" t="n">
        <v>81319</v>
      </c>
      <c r="L311" s="30" t="s">
        <v>32</v>
      </c>
      <c r="M311" s="10" t="n">
        <v>13</v>
      </c>
      <c r="N311" s="12" t="n">
        <v>-4338</v>
      </c>
      <c r="O311" s="13" t="n">
        <v>-0.0507477777491829</v>
      </c>
      <c r="P311" s="15" t="n">
        <v>0.00952911257360922</v>
      </c>
      <c r="Q311" s="13" t="n">
        <v>-0.0793749575950981</v>
      </c>
      <c r="R311" s="15" t="n">
        <v>0.079646017699115</v>
      </c>
      <c r="S311" s="32" t="n">
        <v>48090960400</v>
      </c>
      <c r="T311" s="15" t="n">
        <v>0.0543209876543209</v>
      </c>
      <c r="U311" s="32" t="n">
        <v>10631719130</v>
      </c>
      <c r="V311" s="14" t="n">
        <v>4.19912837248598</v>
      </c>
      <c r="W311" s="13" t="n">
        <v>0.0715181932245923</v>
      </c>
      <c r="X311" s="15" t="n">
        <v>0.00585480093676805</v>
      </c>
      <c r="Y311" s="13" t="n">
        <v>-0.00610593062290188</v>
      </c>
      <c r="Z311" s="13" t="n">
        <v>-0.00915496885748812</v>
      </c>
      <c r="AA311" s="30" t="s">
        <v>97</v>
      </c>
      <c r="AB311" s="28" t="s">
        <v>94</v>
      </c>
      <c r="AC311" s="28" t="s">
        <v>101</v>
      </c>
      <c r="AD311" s="28" t="s">
        <v>107</v>
      </c>
      <c r="AE311" s="28" t="s">
        <v>101</v>
      </c>
      <c r="AF311" s="28" t="s">
        <v>118</v>
      </c>
      <c r="AG311" s="30" t="s">
        <v>122</v>
      </c>
    </row>
    <row r="312" customFormat="false" ht="15" hidden="false" customHeight="false" outlineLevel="0" collapsed="false">
      <c r="A312" s="10" t="n">
        <v>2024</v>
      </c>
      <c r="B312" s="28" t="s">
        <v>59</v>
      </c>
      <c r="C312" s="29" t="n">
        <v>45538</v>
      </c>
      <c r="D312" s="30" t="s">
        <v>126</v>
      </c>
      <c r="E312" s="28" t="s">
        <v>755</v>
      </c>
      <c r="F312" s="30" t="s">
        <v>756</v>
      </c>
      <c r="G312" s="31" t="n">
        <v>83784</v>
      </c>
      <c r="H312" s="31" t="n">
        <v>1</v>
      </c>
      <c r="I312" s="31" t="n">
        <v>83784</v>
      </c>
      <c r="J312" s="29" t="n">
        <v>45539</v>
      </c>
      <c r="K312" s="31" t="n">
        <v>79720</v>
      </c>
      <c r="L312" s="30" t="s">
        <v>32</v>
      </c>
      <c r="M312" s="10" t="n">
        <v>1</v>
      </c>
      <c r="N312" s="12" t="n">
        <v>-4232</v>
      </c>
      <c r="O312" s="13" t="n">
        <v>-0.050505312429506</v>
      </c>
      <c r="P312" s="15" t="n">
        <v>0.0407752343236214</v>
      </c>
      <c r="Q312" s="13" t="n">
        <v>-0.0535151825474406</v>
      </c>
      <c r="R312" s="15" t="n">
        <v>0.0072202166064983</v>
      </c>
      <c r="S312" s="32" t="n">
        <v>21514164300</v>
      </c>
      <c r="T312" s="15" t="n">
        <v>0.00600961538461542</v>
      </c>
      <c r="U312" s="32" t="n">
        <v>16553389705</v>
      </c>
      <c r="V312" s="14" t="n">
        <v>1.18390347445978</v>
      </c>
      <c r="W312" s="13" t="n">
        <v>0.0157766990291262</v>
      </c>
      <c r="X312" s="15" t="n">
        <v>0.063321385902031</v>
      </c>
      <c r="Y312" s="13" t="n">
        <v>-0.00610593062290188</v>
      </c>
      <c r="Z312" s="13" t="n">
        <v>-0.00915496885748812</v>
      </c>
      <c r="AA312" s="30" t="s">
        <v>97</v>
      </c>
      <c r="AB312" s="28" t="s">
        <v>94</v>
      </c>
      <c r="AC312" s="28" t="s">
        <v>99</v>
      </c>
      <c r="AD312" s="28" t="s">
        <v>106</v>
      </c>
      <c r="AE312" s="28" t="s">
        <v>112</v>
      </c>
      <c r="AF312" s="28" t="s">
        <v>116</v>
      </c>
      <c r="AG312" s="30" t="s">
        <v>122</v>
      </c>
    </row>
    <row r="313" customFormat="false" ht="15" hidden="false" customHeight="false" outlineLevel="0" collapsed="false">
      <c r="A313" s="10" t="n">
        <v>2024</v>
      </c>
      <c r="B313" s="28" t="s">
        <v>59</v>
      </c>
      <c r="C313" s="29" t="n">
        <v>45538</v>
      </c>
      <c r="D313" s="30" t="s">
        <v>126</v>
      </c>
      <c r="E313" s="28" t="s">
        <v>315</v>
      </c>
      <c r="F313" s="30" t="s">
        <v>316</v>
      </c>
      <c r="G313" s="31" t="n">
        <v>34785</v>
      </c>
      <c r="H313" s="31" t="n">
        <v>2</v>
      </c>
      <c r="I313" s="31" t="n">
        <v>69569</v>
      </c>
      <c r="J313" s="29" t="n">
        <v>45539</v>
      </c>
      <c r="K313" s="31" t="n">
        <v>33067</v>
      </c>
      <c r="L313" s="30" t="s">
        <v>32</v>
      </c>
      <c r="M313" s="10" t="n">
        <v>1</v>
      </c>
      <c r="N313" s="12" t="n">
        <v>-3575</v>
      </c>
      <c r="O313" s="13" t="n">
        <v>-0.0513888461897812</v>
      </c>
      <c r="P313" s="15" t="n">
        <v>-0.0110608815644785</v>
      </c>
      <c r="Q313" s="13" t="n">
        <v>-0.0743069879760525</v>
      </c>
      <c r="R313" s="15" t="n">
        <v>0.0235640648011781</v>
      </c>
      <c r="S313" s="32" t="n">
        <v>20542671000</v>
      </c>
      <c r="T313" s="15" t="n">
        <v>0.0235640648011781</v>
      </c>
      <c r="U313" s="32" t="n">
        <v>8108909640</v>
      </c>
      <c r="V313" s="14" t="n">
        <v>2.33199059008053</v>
      </c>
      <c r="W313" s="13" t="n">
        <v>0.0388639760837071</v>
      </c>
      <c r="X313" s="15" t="n">
        <v>0.0503597122302157</v>
      </c>
      <c r="Y313" s="13" t="n">
        <v>-0.00610593062290188</v>
      </c>
      <c r="Z313" s="13" t="n">
        <v>-0.00915496885748812</v>
      </c>
      <c r="AA313" s="30" t="s">
        <v>97</v>
      </c>
      <c r="AB313" s="28" t="s">
        <v>94</v>
      </c>
      <c r="AC313" s="28" t="s">
        <v>99</v>
      </c>
      <c r="AD313" s="28" t="s">
        <v>106</v>
      </c>
      <c r="AE313" s="28" t="s">
        <v>113</v>
      </c>
      <c r="AF313" s="28" t="s">
        <v>117</v>
      </c>
      <c r="AG313" s="30" t="s">
        <v>122</v>
      </c>
    </row>
    <row r="314" customFormat="false" ht="15" hidden="false" customHeight="false" outlineLevel="0" collapsed="false">
      <c r="A314" s="10" t="n">
        <v>2024</v>
      </c>
      <c r="B314" s="28" t="s">
        <v>59</v>
      </c>
      <c r="C314" s="29" t="n">
        <v>45554</v>
      </c>
      <c r="D314" s="30" t="s">
        <v>128</v>
      </c>
      <c r="E314" s="28" t="s">
        <v>1353</v>
      </c>
      <c r="F314" s="28" t="s">
        <v>1354</v>
      </c>
      <c r="G314" s="31" t="n">
        <v>15736</v>
      </c>
      <c r="H314" s="31" t="n">
        <v>6</v>
      </c>
      <c r="I314" s="31" t="n">
        <v>94414</v>
      </c>
      <c r="J314" s="29" t="n">
        <v>45558</v>
      </c>
      <c r="K314" s="31" t="n">
        <v>14975</v>
      </c>
      <c r="L314" s="30" t="s">
        <v>32</v>
      </c>
      <c r="M314" s="10" t="n">
        <v>2</v>
      </c>
      <c r="N314" s="12" t="n">
        <v>-4754</v>
      </c>
      <c r="O314" s="13" t="n">
        <v>-0.0503486098824838</v>
      </c>
      <c r="P314" s="15" t="n">
        <v>0.0384018017605805</v>
      </c>
      <c r="Q314" s="13" t="n">
        <v>-0.0499322560391261</v>
      </c>
      <c r="R314" s="15" t="n">
        <v>0.0254403131115459</v>
      </c>
      <c r="S314" s="32" t="n">
        <v>37021967640</v>
      </c>
      <c r="T314" s="15" t="n">
        <v>0.0227716330513987</v>
      </c>
      <c r="U314" s="32" t="n">
        <v>5586708708.6</v>
      </c>
      <c r="V314" s="14" t="n">
        <v>6.25284703114241</v>
      </c>
      <c r="W314" s="13" t="n">
        <v>-0.026625386996904</v>
      </c>
      <c r="X314" s="15" t="n">
        <v>0.122773536895674</v>
      </c>
      <c r="Y314" s="13" t="n">
        <v>0.00209287064972186</v>
      </c>
      <c r="Z314" s="13" t="n">
        <v>0.0176937060565554</v>
      </c>
      <c r="AA314" s="30" t="s">
        <v>96</v>
      </c>
      <c r="AB314" s="28" t="s">
        <v>93</v>
      </c>
      <c r="AC314" s="28" t="s">
        <v>99</v>
      </c>
      <c r="AD314" s="28" t="s">
        <v>107</v>
      </c>
      <c r="AE314" s="28" t="s">
        <v>113</v>
      </c>
      <c r="AF314" s="28" t="s">
        <v>119</v>
      </c>
      <c r="AG314" s="30" t="s">
        <v>123</v>
      </c>
    </row>
    <row r="315" customFormat="false" ht="15" hidden="false" customHeight="false" outlineLevel="0" collapsed="false">
      <c r="A315" s="10" t="n">
        <v>2024</v>
      </c>
      <c r="B315" s="28" t="s">
        <v>59</v>
      </c>
      <c r="C315" s="29" t="n">
        <v>45555</v>
      </c>
      <c r="D315" s="30" t="s">
        <v>129</v>
      </c>
      <c r="E315" s="28" t="s">
        <v>165</v>
      </c>
      <c r="F315" s="28" t="s">
        <v>166</v>
      </c>
      <c r="G315" s="31" t="n">
        <v>11511</v>
      </c>
      <c r="H315" s="31" t="n">
        <v>8</v>
      </c>
      <c r="I315" s="31" t="n">
        <v>92092</v>
      </c>
      <c r="J315" s="29" t="n">
        <v>45559</v>
      </c>
      <c r="K315" s="31" t="n">
        <v>10959</v>
      </c>
      <c r="L315" s="30" t="s">
        <v>32</v>
      </c>
      <c r="M315" s="10" t="n">
        <v>2</v>
      </c>
      <c r="N315" s="12" t="n">
        <v>-4605</v>
      </c>
      <c r="O315" s="13" t="n">
        <v>-0.049999290578986</v>
      </c>
      <c r="P315" s="15" t="n">
        <v>-0.00273639404074166</v>
      </c>
      <c r="Q315" s="13" t="n">
        <v>-0.085262563523433</v>
      </c>
      <c r="R315" s="15" t="n">
        <v>0.0369702434625789</v>
      </c>
      <c r="S315" s="32" t="n">
        <v>27236105500</v>
      </c>
      <c r="T315" s="15" t="n">
        <v>0.0213143872113677</v>
      </c>
      <c r="U315" s="32" t="n">
        <v>11055627678.5</v>
      </c>
      <c r="V315" s="14" t="n">
        <v>2.31551418762145</v>
      </c>
      <c r="W315" s="13" t="n">
        <v>0.0351035103510351</v>
      </c>
      <c r="X315" s="15" t="n">
        <v>0.00173913043478269</v>
      </c>
      <c r="Y315" s="13" t="n">
        <v>0.00487058276503394</v>
      </c>
      <c r="Z315" s="13" t="n">
        <v>0.0277162433671629</v>
      </c>
      <c r="AA315" s="30" t="s">
        <v>96</v>
      </c>
      <c r="AB315" s="28" t="s">
        <v>93</v>
      </c>
      <c r="AC315" s="28" t="s">
        <v>100</v>
      </c>
      <c r="AD315" s="28" t="s">
        <v>106</v>
      </c>
      <c r="AE315" s="28" t="s">
        <v>113</v>
      </c>
      <c r="AF315" s="28" t="s">
        <v>117</v>
      </c>
      <c r="AG315" s="30" t="s">
        <v>122</v>
      </c>
    </row>
    <row r="316" customFormat="false" ht="15" hidden="false" customHeight="false" outlineLevel="0" collapsed="false">
      <c r="A316" s="10" t="n">
        <v>2024</v>
      </c>
      <c r="B316" s="28" t="s">
        <v>59</v>
      </c>
      <c r="C316" s="29" t="n">
        <v>45558</v>
      </c>
      <c r="D316" s="30" t="s">
        <v>125</v>
      </c>
      <c r="E316" s="28" t="s">
        <v>1333</v>
      </c>
      <c r="F316" s="28" t="s">
        <v>1334</v>
      </c>
      <c r="G316" s="31" t="n">
        <v>13764</v>
      </c>
      <c r="H316" s="31" t="n">
        <v>7</v>
      </c>
      <c r="I316" s="31" t="n">
        <v>96346</v>
      </c>
      <c r="J316" s="29" t="n">
        <v>45561</v>
      </c>
      <c r="K316" s="31" t="n">
        <v>13097</v>
      </c>
      <c r="L316" s="30" t="s">
        <v>32</v>
      </c>
      <c r="M316" s="10" t="n">
        <v>3</v>
      </c>
      <c r="N316" s="12" t="n">
        <v>-4861</v>
      </c>
      <c r="O316" s="13" t="n">
        <v>-0.0504559802379438</v>
      </c>
      <c r="P316" s="15" t="n">
        <v>0.0498592316774136</v>
      </c>
      <c r="Q316" s="13" t="n">
        <v>-0.0533103260375987</v>
      </c>
      <c r="R316" s="15" t="n">
        <v>0.248864668483197</v>
      </c>
      <c r="S316" s="32" t="n">
        <v>116523385000</v>
      </c>
      <c r="T316" s="15" t="n">
        <v>0.0938743038981702</v>
      </c>
      <c r="U316" s="32" t="n">
        <v>3918093488.5</v>
      </c>
      <c r="V316" s="14" t="n">
        <v>24.1263583380415</v>
      </c>
      <c r="W316" s="13" t="n">
        <v>0.151591289782245</v>
      </c>
      <c r="X316" s="15" t="n">
        <v>0.0327272727272727</v>
      </c>
      <c r="Y316" s="13" t="n">
        <v>0.00333157243278071</v>
      </c>
      <c r="Z316" s="13" t="n">
        <v>0.0352673899982894</v>
      </c>
      <c r="AA316" s="30" t="s">
        <v>96</v>
      </c>
      <c r="AB316" s="28" t="s">
        <v>93</v>
      </c>
      <c r="AC316" s="28" t="s">
        <v>104</v>
      </c>
      <c r="AD316" s="28" t="s">
        <v>109</v>
      </c>
      <c r="AE316" s="28" t="s">
        <v>101</v>
      </c>
      <c r="AF316" s="28" t="s">
        <v>120</v>
      </c>
      <c r="AG316" s="30" t="s">
        <v>122</v>
      </c>
    </row>
    <row r="317" customFormat="false" ht="15" hidden="false" customHeight="false" outlineLevel="0" collapsed="false">
      <c r="A317" s="10" t="n">
        <v>2024</v>
      </c>
      <c r="B317" s="28" t="s">
        <v>59</v>
      </c>
      <c r="C317" s="29" t="n">
        <v>45558</v>
      </c>
      <c r="D317" s="30" t="s">
        <v>125</v>
      </c>
      <c r="E317" s="28" t="s">
        <v>637</v>
      </c>
      <c r="F317" s="28" t="s">
        <v>638</v>
      </c>
      <c r="G317" s="31" t="n">
        <v>8831</v>
      </c>
      <c r="H317" s="31" t="n">
        <v>11</v>
      </c>
      <c r="I317" s="31" t="n">
        <v>97144</v>
      </c>
      <c r="J317" s="29" t="n">
        <v>45565</v>
      </c>
      <c r="K317" s="31" t="n">
        <v>8402</v>
      </c>
      <c r="L317" s="30" t="s">
        <v>32</v>
      </c>
      <c r="M317" s="10" t="n">
        <v>5</v>
      </c>
      <c r="N317" s="12" t="n">
        <v>-4922</v>
      </c>
      <c r="O317" s="13" t="n">
        <v>-0.0506636209388777</v>
      </c>
      <c r="P317" s="15" t="n">
        <v>0.11000111000111</v>
      </c>
      <c r="Q317" s="13" t="n">
        <v>-0.0534157200823867</v>
      </c>
      <c r="R317" s="15" t="n">
        <v>0.110857142857143</v>
      </c>
      <c r="S317" s="32" t="n">
        <v>82482627240</v>
      </c>
      <c r="T317" s="15" t="n">
        <v>0.0384615384615386</v>
      </c>
      <c r="U317" s="32" t="n">
        <v>4641635170.5</v>
      </c>
      <c r="V317" s="14" t="n">
        <v>16.5105433417797</v>
      </c>
      <c r="W317" s="13" t="n">
        <v>0.0340425531914894</v>
      </c>
      <c r="X317" s="15" t="n">
        <v>0.0730452674897117</v>
      </c>
      <c r="Y317" s="13" t="n">
        <v>0.00333157243278071</v>
      </c>
      <c r="Z317" s="13" t="n">
        <v>0.0352673899982894</v>
      </c>
      <c r="AA317" s="30" t="s">
        <v>96</v>
      </c>
      <c r="AB317" s="28" t="s">
        <v>93</v>
      </c>
      <c r="AC317" s="28" t="s">
        <v>102</v>
      </c>
      <c r="AD317" s="28" t="s">
        <v>108</v>
      </c>
      <c r="AE317" s="28" t="s">
        <v>113</v>
      </c>
      <c r="AF317" s="28" t="s">
        <v>120</v>
      </c>
      <c r="AG317" s="30" t="s">
        <v>122</v>
      </c>
    </row>
    <row r="318" customFormat="false" ht="15" hidden="false" customHeight="false" outlineLevel="0" collapsed="false">
      <c r="A318" s="10" t="n">
        <v>2024</v>
      </c>
      <c r="B318" s="28" t="s">
        <v>59</v>
      </c>
      <c r="C318" s="29" t="n">
        <v>45558</v>
      </c>
      <c r="D318" s="30" t="s">
        <v>125</v>
      </c>
      <c r="E318" s="28" t="s">
        <v>645</v>
      </c>
      <c r="F318" s="30" t="s">
        <v>646</v>
      </c>
      <c r="G318" s="31" t="n">
        <v>16506</v>
      </c>
      <c r="H318" s="31" t="n">
        <v>6</v>
      </c>
      <c r="I318" s="31" t="n">
        <v>99039</v>
      </c>
      <c r="J318" s="29" t="n">
        <v>45559</v>
      </c>
      <c r="K318" s="31" t="n">
        <v>15714</v>
      </c>
      <c r="L318" s="30" t="s">
        <v>32</v>
      </c>
      <c r="M318" s="10" t="n">
        <v>1</v>
      </c>
      <c r="N318" s="12" t="n">
        <v>-4952</v>
      </c>
      <c r="O318" s="13" t="n">
        <v>-0.0500008663259118</v>
      </c>
      <c r="P318" s="15" t="n">
        <v>0.01535820153164</v>
      </c>
      <c r="Q318" s="13" t="n">
        <v>-0.0518880755387728</v>
      </c>
      <c r="R318" s="15" t="n">
        <v>0.172830725462305</v>
      </c>
      <c r="S318" s="32" t="n">
        <v>30897857170</v>
      </c>
      <c r="T318" s="15" t="n">
        <v>0.128678986995209</v>
      </c>
      <c r="U318" s="32" t="n">
        <v>7185852797.5</v>
      </c>
      <c r="V318" s="14" t="n">
        <v>3.49099417802155</v>
      </c>
      <c r="W318" s="13" t="n">
        <v>0.154761904761905</v>
      </c>
      <c r="X318" s="15" t="n">
        <v>0.0175864160097028</v>
      </c>
      <c r="Y318" s="13" t="n">
        <v>0.00333157243278071</v>
      </c>
      <c r="Z318" s="13" t="n">
        <v>0.0352673899982894</v>
      </c>
      <c r="AA318" s="30" t="s">
        <v>96</v>
      </c>
      <c r="AB318" s="28" t="s">
        <v>93</v>
      </c>
      <c r="AC318" s="28" t="s">
        <v>103</v>
      </c>
      <c r="AD318" s="28" t="s">
        <v>107</v>
      </c>
      <c r="AE318" s="28" t="s">
        <v>114</v>
      </c>
      <c r="AF318" s="28" t="s">
        <v>118</v>
      </c>
      <c r="AG318" s="30" t="s">
        <v>122</v>
      </c>
    </row>
    <row r="319" customFormat="false" ht="15" hidden="false" customHeight="false" outlineLevel="0" collapsed="false">
      <c r="A319" s="10" t="n">
        <v>2024</v>
      </c>
      <c r="B319" s="28" t="s">
        <v>59</v>
      </c>
      <c r="C319" s="29" t="n">
        <v>45559</v>
      </c>
      <c r="D319" s="30" t="s">
        <v>126</v>
      </c>
      <c r="E319" s="28" t="s">
        <v>653</v>
      </c>
      <c r="F319" s="30" t="s">
        <v>654</v>
      </c>
      <c r="G319" s="31" t="n">
        <v>25068</v>
      </c>
      <c r="H319" s="31" t="n">
        <v>3</v>
      </c>
      <c r="I319" s="31" t="n">
        <v>75204</v>
      </c>
      <c r="J319" s="29" t="n">
        <v>45561</v>
      </c>
      <c r="K319" s="31" t="n">
        <v>23826</v>
      </c>
      <c r="L319" s="30" t="s">
        <v>32</v>
      </c>
      <c r="M319" s="10" t="n">
        <v>2</v>
      </c>
      <c r="N319" s="12" t="n">
        <v>-3877</v>
      </c>
      <c r="O319" s="13" t="n">
        <v>-0.0515483738809876</v>
      </c>
      <c r="P319" s="15" t="n">
        <v>0.00276371462812142</v>
      </c>
      <c r="Q319" s="13" t="n">
        <v>-0.0593210932193983</v>
      </c>
      <c r="R319" s="15" t="n">
        <v>0.10625</v>
      </c>
      <c r="S319" s="32" t="n">
        <v>75668960250</v>
      </c>
      <c r="T319" s="15" t="n">
        <v>0.0133587786259544</v>
      </c>
      <c r="U319" s="32" t="n">
        <v>18608065987.5</v>
      </c>
      <c r="V319" s="14" t="n">
        <v>3.75954171411348</v>
      </c>
      <c r="W319" s="13" t="n">
        <v>0.101659751037345</v>
      </c>
      <c r="X319" s="15" t="n">
        <v>0.00564971751412435</v>
      </c>
      <c r="Y319" s="13" t="n">
        <v>0.0114027232793108</v>
      </c>
      <c r="Z319" s="13" t="n">
        <v>0.0231679295825573</v>
      </c>
      <c r="AA319" s="30" t="s">
        <v>97</v>
      </c>
      <c r="AB319" s="28" t="s">
        <v>93</v>
      </c>
      <c r="AC319" s="28" t="s">
        <v>102</v>
      </c>
      <c r="AD319" s="28" t="s">
        <v>108</v>
      </c>
      <c r="AE319" s="28" t="s">
        <v>112</v>
      </c>
      <c r="AF319" s="28" t="s">
        <v>118</v>
      </c>
      <c r="AG319" s="30" t="s">
        <v>122</v>
      </c>
    </row>
    <row r="320" customFormat="false" ht="15" hidden="false" customHeight="false" outlineLevel="0" collapsed="false">
      <c r="A320" s="10" t="n">
        <v>2024</v>
      </c>
      <c r="B320" s="28" t="s">
        <v>59</v>
      </c>
      <c r="C320" s="29" t="n">
        <v>45559</v>
      </c>
      <c r="D320" s="30" t="s">
        <v>126</v>
      </c>
      <c r="E320" s="28" t="s">
        <v>591</v>
      </c>
      <c r="F320" s="30" t="s">
        <v>592</v>
      </c>
      <c r="G320" s="31" t="n">
        <v>10981</v>
      </c>
      <c r="H320" s="31" t="n">
        <v>9</v>
      </c>
      <c r="I320" s="31" t="n">
        <v>98829</v>
      </c>
      <c r="J320" s="29" t="n">
        <v>45562</v>
      </c>
      <c r="K320" s="31" t="n">
        <v>10450</v>
      </c>
      <c r="L320" s="30" t="s">
        <v>32</v>
      </c>
      <c r="M320" s="10" t="n">
        <v>3</v>
      </c>
      <c r="N320" s="12" t="n">
        <v>-4981</v>
      </c>
      <c r="O320" s="13" t="n">
        <v>-0.0504011711624746</v>
      </c>
      <c r="P320" s="15" t="n">
        <v>0.0163036598770419</v>
      </c>
      <c r="Q320" s="13" t="n">
        <v>-0.0747629763126572</v>
      </c>
      <c r="R320" s="15" t="n">
        <v>0.00457875457875456</v>
      </c>
      <c r="S320" s="32" t="n">
        <v>42137964000</v>
      </c>
      <c r="T320" s="15" t="n">
        <v>0.00457875457875456</v>
      </c>
      <c r="U320" s="32" t="n">
        <v>49733987940.5</v>
      </c>
      <c r="V320" s="14" t="n">
        <v>0.793297933559254</v>
      </c>
      <c r="W320" s="13" t="n">
        <v>0.00457875457875456</v>
      </c>
      <c r="X320" s="15" t="n">
        <v>0</v>
      </c>
      <c r="Y320" s="13" t="n">
        <v>0.0114027232793108</v>
      </c>
      <c r="Z320" s="13" t="n">
        <v>0.0231679295825573</v>
      </c>
      <c r="AA320" s="30" t="s">
        <v>97</v>
      </c>
      <c r="AB320" s="28" t="s">
        <v>93</v>
      </c>
      <c r="AC320" s="28" t="s">
        <v>99</v>
      </c>
      <c r="AD320" s="28" t="s">
        <v>107</v>
      </c>
      <c r="AE320" s="28" t="s">
        <v>112</v>
      </c>
      <c r="AF320" s="28" t="s">
        <v>116</v>
      </c>
      <c r="AG320" s="30" t="s">
        <v>122</v>
      </c>
    </row>
    <row r="321" customFormat="false" ht="15" hidden="false" customHeight="false" outlineLevel="0" collapsed="false">
      <c r="A321" s="10" t="n">
        <v>2024</v>
      </c>
      <c r="B321" s="28" t="s">
        <v>59</v>
      </c>
      <c r="C321" s="29" t="n">
        <v>45559</v>
      </c>
      <c r="D321" s="30" t="s">
        <v>126</v>
      </c>
      <c r="E321" s="28" t="s">
        <v>385</v>
      </c>
      <c r="F321" s="28" t="s">
        <v>386</v>
      </c>
      <c r="G321" s="31" t="n">
        <v>18238</v>
      </c>
      <c r="H321" s="31" t="n">
        <v>5</v>
      </c>
      <c r="I321" s="31" t="n">
        <v>91191</v>
      </c>
      <c r="J321" s="29" t="n">
        <v>45569</v>
      </c>
      <c r="K321" s="31" t="n">
        <v>17363</v>
      </c>
      <c r="L321" s="30" t="s">
        <v>32</v>
      </c>
      <c r="M321" s="10" t="n">
        <v>6</v>
      </c>
      <c r="N321" s="12" t="n">
        <v>-4561</v>
      </c>
      <c r="O321" s="13" t="n">
        <v>-0.0500154533720947</v>
      </c>
      <c r="P321" s="15" t="n">
        <v>0.0653451926777944</v>
      </c>
      <c r="Q321" s="13" t="n">
        <v>-0.0788574762230084</v>
      </c>
      <c r="R321" s="15" t="n">
        <v>0.0276367738296672</v>
      </c>
      <c r="S321" s="32" t="n">
        <v>32719949720</v>
      </c>
      <c r="T321" s="15" t="n">
        <v>0.0139120756816917</v>
      </c>
      <c r="U321" s="32" t="n">
        <v>18622769581.5</v>
      </c>
      <c r="V321" s="14" t="n">
        <v>1.64275303969632</v>
      </c>
      <c r="W321" s="13" t="n">
        <v>0.0207282913165265</v>
      </c>
      <c r="X321" s="15" t="n">
        <v>0</v>
      </c>
      <c r="Y321" s="13" t="n">
        <v>0.0114027232793108</v>
      </c>
      <c r="Z321" s="13" t="n">
        <v>0.0231679295825573</v>
      </c>
      <c r="AA321" s="30" t="s">
        <v>97</v>
      </c>
      <c r="AB321" s="28" t="s">
        <v>93</v>
      </c>
      <c r="AC321" s="28" t="s">
        <v>99</v>
      </c>
      <c r="AD321" s="28" t="s">
        <v>107</v>
      </c>
      <c r="AE321" s="28" t="s">
        <v>112</v>
      </c>
      <c r="AF321" s="28" t="s">
        <v>116</v>
      </c>
      <c r="AG321" s="30" t="s">
        <v>122</v>
      </c>
    </row>
    <row r="322" customFormat="false" ht="15" hidden="false" customHeight="false" outlineLevel="0" collapsed="false">
      <c r="A322" s="10" t="n">
        <v>2024</v>
      </c>
      <c r="B322" s="28" t="s">
        <v>59</v>
      </c>
      <c r="C322" s="29" t="n">
        <v>45559</v>
      </c>
      <c r="D322" s="30" t="s">
        <v>126</v>
      </c>
      <c r="E322" s="28" t="s">
        <v>1035</v>
      </c>
      <c r="F322" s="30" t="s">
        <v>1036</v>
      </c>
      <c r="G322" s="31" t="n">
        <v>87688</v>
      </c>
      <c r="H322" s="31" t="n">
        <v>1</v>
      </c>
      <c r="I322" s="31" t="n">
        <v>87688</v>
      </c>
      <c r="J322" s="29" t="n">
        <v>45565</v>
      </c>
      <c r="K322" s="31" t="n">
        <v>105300</v>
      </c>
      <c r="L322" s="30" t="s">
        <v>31</v>
      </c>
      <c r="M322" s="10" t="n">
        <v>4</v>
      </c>
      <c r="N322" s="12" t="n">
        <v>17394</v>
      </c>
      <c r="O322" s="13" t="n">
        <v>0.198362275395837</v>
      </c>
      <c r="P322" s="15" t="n">
        <v>0.209977237374498</v>
      </c>
      <c r="Q322" s="13" t="n">
        <v>-0.00556064939626577</v>
      </c>
      <c r="R322" s="15" t="n">
        <v>0.107458912768647</v>
      </c>
      <c r="S322" s="32" t="n">
        <v>25478810400</v>
      </c>
      <c r="T322" s="15" t="n">
        <v>0.0257611241217799</v>
      </c>
      <c r="U322" s="32" t="n">
        <v>8636768570</v>
      </c>
      <c r="V322" s="14" t="n">
        <v>2.73200468712942</v>
      </c>
      <c r="W322" s="13" t="n">
        <v>0.107458912768647</v>
      </c>
      <c r="X322" s="15" t="n">
        <v>0.00684931506849318</v>
      </c>
      <c r="Y322" s="13" t="n">
        <v>0.0114027232793108</v>
      </c>
      <c r="Z322" s="13" t="n">
        <v>0.0231679295825573</v>
      </c>
      <c r="AA322" s="30" t="s">
        <v>97</v>
      </c>
      <c r="AB322" s="28" t="s">
        <v>93</v>
      </c>
      <c r="AC322" s="28" t="s">
        <v>102</v>
      </c>
      <c r="AD322" s="28" t="s">
        <v>106</v>
      </c>
      <c r="AE322" s="28" t="s">
        <v>113</v>
      </c>
      <c r="AF322" s="28" t="s">
        <v>117</v>
      </c>
      <c r="AG322" s="30" t="s">
        <v>122</v>
      </c>
    </row>
    <row r="323" customFormat="false" ht="15" hidden="false" customHeight="false" outlineLevel="0" collapsed="false">
      <c r="A323" s="10" t="n">
        <v>2024</v>
      </c>
      <c r="B323" s="28" t="s">
        <v>59</v>
      </c>
      <c r="C323" s="29" t="n">
        <v>45559</v>
      </c>
      <c r="D323" s="30" t="s">
        <v>126</v>
      </c>
      <c r="E323" s="28" t="s">
        <v>1243</v>
      </c>
      <c r="F323" s="28" t="s">
        <v>1244</v>
      </c>
      <c r="G323" s="31" t="n">
        <v>35736</v>
      </c>
      <c r="H323" s="31" t="n">
        <v>2</v>
      </c>
      <c r="I323" s="31" t="n">
        <v>71471</v>
      </c>
      <c r="J323" s="29" t="n">
        <v>45569</v>
      </c>
      <c r="K323" s="31" t="n">
        <v>34016</v>
      </c>
      <c r="L323" s="30" t="s">
        <v>32</v>
      </c>
      <c r="M323" s="10" t="n">
        <v>6</v>
      </c>
      <c r="N323" s="12" t="n">
        <v>-3583</v>
      </c>
      <c r="O323" s="13" t="n">
        <v>-0.0501303026805129</v>
      </c>
      <c r="P323" s="15" t="n">
        <v>0.0633624079002231</v>
      </c>
      <c r="Q323" s="13" t="n">
        <v>-0.0527679603309855</v>
      </c>
      <c r="R323" s="15" t="n">
        <v>0.0917431192660549</v>
      </c>
      <c r="S323" s="32" t="n">
        <v>22758678600</v>
      </c>
      <c r="T323" s="15" t="n">
        <v>0.0347826086956522</v>
      </c>
      <c r="U323" s="32" t="n">
        <v>13805435665</v>
      </c>
      <c r="V323" s="14" t="n">
        <v>1.52437161020536</v>
      </c>
      <c r="W323" s="13" t="n">
        <v>0.0753012048192772</v>
      </c>
      <c r="X323" s="15" t="n">
        <v>0</v>
      </c>
      <c r="Y323" s="13" t="n">
        <v>0.0114027232793108</v>
      </c>
      <c r="Z323" s="13" t="n">
        <v>0.0231679295825573</v>
      </c>
      <c r="AA323" s="30" t="s">
        <v>97</v>
      </c>
      <c r="AB323" s="28" t="s">
        <v>93</v>
      </c>
      <c r="AC323" s="28" t="s">
        <v>101</v>
      </c>
      <c r="AD323" s="28" t="s">
        <v>106</v>
      </c>
      <c r="AE323" s="28" t="s">
        <v>113</v>
      </c>
      <c r="AF323" s="28" t="s">
        <v>116</v>
      </c>
      <c r="AG323" s="30" t="s">
        <v>122</v>
      </c>
    </row>
    <row r="324" customFormat="false" ht="15" hidden="false" customHeight="false" outlineLevel="0" collapsed="false">
      <c r="A324" s="10" t="n">
        <v>2024</v>
      </c>
      <c r="B324" s="28" t="s">
        <v>59</v>
      </c>
      <c r="C324" s="29" t="n">
        <v>45559</v>
      </c>
      <c r="D324" s="30" t="s">
        <v>126</v>
      </c>
      <c r="E324" s="28" t="s">
        <v>431</v>
      </c>
      <c r="F324" s="28" t="s">
        <v>432</v>
      </c>
      <c r="G324" s="31" t="n">
        <v>30631</v>
      </c>
      <c r="H324" s="31" t="n">
        <v>3</v>
      </c>
      <c r="I324" s="31" t="n">
        <v>91892</v>
      </c>
      <c r="J324" s="29" t="n">
        <v>45587</v>
      </c>
      <c r="K324" s="31" t="n">
        <v>29121</v>
      </c>
      <c r="L324" s="30" t="s">
        <v>32</v>
      </c>
      <c r="M324" s="10" t="n">
        <v>17</v>
      </c>
      <c r="N324" s="12" t="n">
        <v>-4713</v>
      </c>
      <c r="O324" s="13" t="n">
        <v>-0.0512928329023918</v>
      </c>
      <c r="P324" s="15" t="n">
        <v>0.11000111000111</v>
      </c>
      <c r="Q324" s="13" t="n">
        <v>-0.0499696382049322</v>
      </c>
      <c r="R324" s="15" t="n">
        <v>0.00327868852459012</v>
      </c>
      <c r="S324" s="32" t="n">
        <v>21301425000</v>
      </c>
      <c r="T324" s="15" t="n">
        <v>0.00327868852459012</v>
      </c>
      <c r="U324" s="32" t="n">
        <v>19020448557.5</v>
      </c>
      <c r="V324" s="14" t="n">
        <v>1.00946478825855</v>
      </c>
      <c r="W324" s="13" t="n">
        <v>0.00327868852459012</v>
      </c>
      <c r="X324" s="15" t="n">
        <v>0.00816993464052285</v>
      </c>
      <c r="Y324" s="13" t="n">
        <v>0.0114027232793108</v>
      </c>
      <c r="Z324" s="13" t="n">
        <v>0.0231679295825573</v>
      </c>
      <c r="AA324" s="30" t="s">
        <v>97</v>
      </c>
      <c r="AB324" s="28" t="s">
        <v>93</v>
      </c>
      <c r="AC324" s="28" t="s">
        <v>99</v>
      </c>
      <c r="AD324" s="28" t="s">
        <v>106</v>
      </c>
      <c r="AE324" s="28" t="s">
        <v>112</v>
      </c>
      <c r="AF324" s="28" t="s">
        <v>116</v>
      </c>
      <c r="AG324" s="30" t="s">
        <v>122</v>
      </c>
    </row>
    <row r="325" customFormat="false" ht="15" hidden="false" customHeight="false" outlineLevel="0" collapsed="false">
      <c r="A325" s="10" t="n">
        <v>2024</v>
      </c>
      <c r="B325" s="28" t="s">
        <v>59</v>
      </c>
      <c r="C325" s="29" t="n">
        <v>45560</v>
      </c>
      <c r="D325" s="30" t="s">
        <v>127</v>
      </c>
      <c r="E325" s="28" t="s">
        <v>1355</v>
      </c>
      <c r="F325" s="30" t="s">
        <v>1356</v>
      </c>
      <c r="G325" s="31" t="n">
        <v>48763</v>
      </c>
      <c r="H325" s="31" t="n">
        <v>2</v>
      </c>
      <c r="I325" s="31" t="n">
        <v>97526</v>
      </c>
      <c r="J325" s="29" t="n">
        <v>45569</v>
      </c>
      <c r="K325" s="31" t="n">
        <v>58600</v>
      </c>
      <c r="L325" s="30" t="s">
        <v>31</v>
      </c>
      <c r="M325" s="10" t="n">
        <v>5</v>
      </c>
      <c r="N325" s="12" t="n">
        <v>19431</v>
      </c>
      <c r="O325" s="13" t="n">
        <v>0.199233636098745</v>
      </c>
      <c r="P325" s="15" t="n">
        <v>0.271281501607797</v>
      </c>
      <c r="Q325" s="13" t="n">
        <v>-0.0240086209376035</v>
      </c>
      <c r="R325" s="15" t="n">
        <v>0.120430107526882</v>
      </c>
      <c r="S325" s="32" t="n">
        <v>59431459900</v>
      </c>
      <c r="T325" s="15" t="n">
        <v>0.0820353063343717</v>
      </c>
      <c r="U325" s="32" t="n">
        <v>4401088942.5</v>
      </c>
      <c r="V325" s="14" t="n">
        <v>10.706146194135</v>
      </c>
      <c r="W325" s="13" t="n">
        <v>0.0979978925184404</v>
      </c>
      <c r="X325" s="15" t="n">
        <v>0.142034548944338</v>
      </c>
      <c r="Y325" s="13" t="n">
        <v>-0.0134362840466925</v>
      </c>
      <c r="Z325" s="13" t="n">
        <v>0.00811909560031232</v>
      </c>
      <c r="AA325" s="30" t="s">
        <v>96</v>
      </c>
      <c r="AB325" s="28" t="s">
        <v>93</v>
      </c>
      <c r="AC325" s="28" t="s">
        <v>102</v>
      </c>
      <c r="AD325" s="28" t="s">
        <v>108</v>
      </c>
      <c r="AE325" s="28" t="s">
        <v>101</v>
      </c>
      <c r="AF325" s="28" t="s">
        <v>120</v>
      </c>
      <c r="AG325" s="30" t="s">
        <v>122</v>
      </c>
    </row>
    <row r="326" customFormat="false" ht="15" hidden="false" customHeight="false" outlineLevel="0" collapsed="false">
      <c r="A326" s="10" t="n">
        <v>2024</v>
      </c>
      <c r="B326" s="28" t="s">
        <v>59</v>
      </c>
      <c r="C326" s="29" t="n">
        <v>45560</v>
      </c>
      <c r="D326" s="30" t="s">
        <v>127</v>
      </c>
      <c r="E326" s="28" t="s">
        <v>497</v>
      </c>
      <c r="F326" s="30" t="s">
        <v>498</v>
      </c>
      <c r="G326" s="31" t="n">
        <v>19009</v>
      </c>
      <c r="H326" s="31" t="n">
        <v>5</v>
      </c>
      <c r="I326" s="31" t="n">
        <v>95045</v>
      </c>
      <c r="J326" s="29" t="n">
        <v>45561</v>
      </c>
      <c r="K326" s="31" t="n">
        <v>18092</v>
      </c>
      <c r="L326" s="30" t="s">
        <v>32</v>
      </c>
      <c r="M326" s="10" t="n">
        <v>1</v>
      </c>
      <c r="N326" s="12" t="n">
        <v>-4776</v>
      </c>
      <c r="O326" s="13" t="n">
        <v>-0.0502515143624148</v>
      </c>
      <c r="P326" s="15" t="n">
        <v>-0.0257241442075564</v>
      </c>
      <c r="Q326" s="13" t="n">
        <v>-0.0515014211696675</v>
      </c>
      <c r="R326" s="15" t="n">
        <v>0.0320652173913043</v>
      </c>
      <c r="S326" s="32" t="n">
        <v>39453586020</v>
      </c>
      <c r="T326" s="15" t="n">
        <v>0.0111821086261981</v>
      </c>
      <c r="U326" s="32" t="n">
        <v>13360694266</v>
      </c>
      <c r="V326" s="14" t="n">
        <v>2.77549718298654</v>
      </c>
      <c r="W326" s="13" t="n">
        <v>0.0348773841961854</v>
      </c>
      <c r="X326" s="15" t="n">
        <v>0.0210637177461821</v>
      </c>
      <c r="Y326" s="13" t="n">
        <v>-0.0134362840466925</v>
      </c>
      <c r="Z326" s="13" t="n">
        <v>0.00811909560031232</v>
      </c>
      <c r="AA326" s="30" t="s">
        <v>96</v>
      </c>
      <c r="AB326" s="28" t="s">
        <v>93</v>
      </c>
      <c r="AC326" s="28" t="s">
        <v>100</v>
      </c>
      <c r="AD326" s="28" t="s">
        <v>107</v>
      </c>
      <c r="AE326" s="28" t="s">
        <v>112</v>
      </c>
      <c r="AF326" s="28" t="s">
        <v>117</v>
      </c>
      <c r="AG326" s="30" t="s">
        <v>122</v>
      </c>
    </row>
    <row r="327" customFormat="false" ht="15" hidden="false" customHeight="false" outlineLevel="0" collapsed="false">
      <c r="A327" s="10" t="n">
        <v>2024</v>
      </c>
      <c r="B327" s="28" t="s">
        <v>59</v>
      </c>
      <c r="C327" s="29" t="n">
        <v>45560</v>
      </c>
      <c r="D327" s="30" t="s">
        <v>127</v>
      </c>
      <c r="E327" s="28" t="s">
        <v>1357</v>
      </c>
      <c r="F327" s="30" t="s">
        <v>1358</v>
      </c>
      <c r="G327" s="31" t="n">
        <v>3814</v>
      </c>
      <c r="H327" s="31" t="n">
        <v>26</v>
      </c>
      <c r="I327" s="31" t="n">
        <v>99159</v>
      </c>
      <c r="J327" s="29" t="n">
        <v>45575</v>
      </c>
      <c r="K327" s="31" t="n">
        <v>3626</v>
      </c>
      <c r="L327" s="30" t="s">
        <v>32</v>
      </c>
      <c r="M327" s="10" t="n">
        <v>8</v>
      </c>
      <c r="N327" s="12" t="n">
        <v>-5072</v>
      </c>
      <c r="O327" s="13" t="n">
        <v>-0.0511518646707623</v>
      </c>
      <c r="P327" s="15" t="n">
        <v>0.101260943780629</v>
      </c>
      <c r="Q327" s="13" t="n">
        <v>-0.0547510232549602</v>
      </c>
      <c r="R327" s="15" t="n">
        <v>0.0598052851182198</v>
      </c>
      <c r="S327" s="32" t="n">
        <v>38149446180</v>
      </c>
      <c r="T327" s="15" t="n">
        <v>0.00793650793650791</v>
      </c>
      <c r="U327" s="32" t="n">
        <v>5587475773.5</v>
      </c>
      <c r="V327" s="14" t="n">
        <v>6.38023147234981</v>
      </c>
      <c r="W327" s="13" t="n">
        <v>0.040983606557377</v>
      </c>
      <c r="X327" s="15" t="n">
        <v>0.0249343832020998</v>
      </c>
      <c r="Y327" s="13" t="n">
        <v>-0.0134362840466925</v>
      </c>
      <c r="Z327" s="13" t="n">
        <v>0.00811909560031232</v>
      </c>
      <c r="AA327" s="30" t="s">
        <v>96</v>
      </c>
      <c r="AB327" s="28" t="s">
        <v>93</v>
      </c>
      <c r="AC327" s="28" t="s">
        <v>101</v>
      </c>
      <c r="AD327" s="28" t="s">
        <v>107</v>
      </c>
      <c r="AE327" s="28" t="s">
        <v>112</v>
      </c>
      <c r="AF327" s="28" t="s">
        <v>119</v>
      </c>
      <c r="AG327" s="30" t="s">
        <v>122</v>
      </c>
    </row>
    <row r="328" customFormat="false" ht="15" hidden="false" customHeight="false" outlineLevel="0" collapsed="false">
      <c r="A328" s="10" t="n">
        <v>2024</v>
      </c>
      <c r="B328" s="28" t="s">
        <v>59</v>
      </c>
      <c r="C328" s="29" t="n">
        <v>45560</v>
      </c>
      <c r="D328" s="30" t="s">
        <v>127</v>
      </c>
      <c r="E328" s="28" t="s">
        <v>347</v>
      </c>
      <c r="F328" s="30" t="s">
        <v>348</v>
      </c>
      <c r="G328" s="31" t="n">
        <v>2322</v>
      </c>
      <c r="H328" s="31" t="n">
        <v>42</v>
      </c>
      <c r="I328" s="31" t="n">
        <v>97537</v>
      </c>
      <c r="J328" s="29" t="n">
        <v>45569</v>
      </c>
      <c r="K328" s="31" t="n">
        <v>2208</v>
      </c>
      <c r="L328" s="30" t="s">
        <v>32</v>
      </c>
      <c r="M328" s="10" t="n">
        <v>5</v>
      </c>
      <c r="N328" s="12" t="n">
        <v>-5006</v>
      </c>
      <c r="O328" s="13" t="n">
        <v>-0.0513208939767131</v>
      </c>
      <c r="P328" s="15" t="n">
        <v>0.0915808329601435</v>
      </c>
      <c r="Q328" s="13" t="n">
        <v>-0.0612835440421646</v>
      </c>
      <c r="R328" s="15" t="n">
        <v>0.0108932461873639</v>
      </c>
      <c r="S328" s="32" t="n">
        <v>27657003040</v>
      </c>
      <c r="T328" s="15" t="n">
        <v>0.0108932461873639</v>
      </c>
      <c r="U328" s="32" t="n">
        <v>9603072436.65</v>
      </c>
      <c r="V328" s="14" t="n">
        <v>2.68489913966879</v>
      </c>
      <c r="W328" s="13" t="n">
        <v>0.0175438596491229</v>
      </c>
      <c r="X328" s="15" t="n">
        <v>0</v>
      </c>
      <c r="Y328" s="13" t="n">
        <v>-0.0134362840466925</v>
      </c>
      <c r="Z328" s="13" t="n">
        <v>0.00811909560031232</v>
      </c>
      <c r="AA328" s="30" t="s">
        <v>96</v>
      </c>
      <c r="AB328" s="28" t="s">
        <v>93</v>
      </c>
      <c r="AC328" s="28" t="s">
        <v>99</v>
      </c>
      <c r="AD328" s="28" t="s">
        <v>106</v>
      </c>
      <c r="AE328" s="28" t="s">
        <v>112</v>
      </c>
      <c r="AF328" s="28" t="s">
        <v>117</v>
      </c>
      <c r="AG328" s="30" t="s">
        <v>122</v>
      </c>
    </row>
    <row r="329" customFormat="false" ht="15" hidden="false" customHeight="false" outlineLevel="0" collapsed="false">
      <c r="A329" s="10" t="n">
        <v>2024</v>
      </c>
      <c r="B329" s="28" t="s">
        <v>59</v>
      </c>
      <c r="C329" s="29" t="n">
        <v>45560</v>
      </c>
      <c r="D329" s="30" t="s">
        <v>127</v>
      </c>
      <c r="E329" s="28" t="s">
        <v>405</v>
      </c>
      <c r="F329" s="28" t="s">
        <v>406</v>
      </c>
      <c r="G329" s="31" t="n">
        <v>35535</v>
      </c>
      <c r="H329" s="31" t="n">
        <v>2</v>
      </c>
      <c r="I329" s="31" t="n">
        <v>71071</v>
      </c>
      <c r="J329" s="29" t="n">
        <v>45616</v>
      </c>
      <c r="K329" s="31" t="n">
        <v>42650</v>
      </c>
      <c r="L329" s="30" t="s">
        <v>31</v>
      </c>
      <c r="M329" s="10" t="n">
        <v>37</v>
      </c>
      <c r="N329" s="12" t="n">
        <v>14052</v>
      </c>
      <c r="O329" s="13" t="n">
        <v>0.197717836388963</v>
      </c>
      <c r="P329" s="15" t="n">
        <v>0.207243460764588</v>
      </c>
      <c r="Q329" s="13" t="n">
        <v>-0.0291398742102965</v>
      </c>
      <c r="R329" s="15" t="n">
        <v>0.0289855072463767</v>
      </c>
      <c r="S329" s="32" t="n">
        <v>24676653500</v>
      </c>
      <c r="T329" s="15" t="n">
        <v>0.00282485875706207</v>
      </c>
      <c r="U329" s="32" t="n">
        <v>6443597522.5</v>
      </c>
      <c r="V329" s="14" t="n">
        <v>3.57509876798146</v>
      </c>
      <c r="W329" s="13" t="n">
        <v>0.0201149425287357</v>
      </c>
      <c r="X329" s="15" t="n">
        <v>0.0422535211267605</v>
      </c>
      <c r="Y329" s="13" t="n">
        <v>-0.0134362840466925</v>
      </c>
      <c r="Z329" s="13" t="n">
        <v>0.00811909560031232</v>
      </c>
      <c r="AA329" s="30" t="s">
        <v>96</v>
      </c>
      <c r="AB329" s="28" t="s">
        <v>93</v>
      </c>
      <c r="AC329" s="28" t="s">
        <v>99</v>
      </c>
      <c r="AD329" s="28" t="s">
        <v>106</v>
      </c>
      <c r="AE329" s="28" t="s">
        <v>112</v>
      </c>
      <c r="AF329" s="28" t="s">
        <v>118</v>
      </c>
      <c r="AG329" s="30" t="s">
        <v>122</v>
      </c>
    </row>
    <row r="330" customFormat="false" ht="15" hidden="false" customHeight="false" outlineLevel="0" collapsed="false">
      <c r="A330" s="10" t="n">
        <v>2024</v>
      </c>
      <c r="B330" s="28" t="s">
        <v>59</v>
      </c>
      <c r="C330" s="29" t="n">
        <v>45560</v>
      </c>
      <c r="D330" s="30" t="s">
        <v>127</v>
      </c>
      <c r="E330" s="28" t="s">
        <v>309</v>
      </c>
      <c r="F330" s="28" t="s">
        <v>310</v>
      </c>
      <c r="G330" s="31" t="n">
        <v>7447</v>
      </c>
      <c r="H330" s="31" t="n">
        <v>13</v>
      </c>
      <c r="I330" s="31" t="n">
        <v>96817</v>
      </c>
      <c r="J330" s="29" t="n">
        <v>45590</v>
      </c>
      <c r="K330" s="31" t="n">
        <v>7083</v>
      </c>
      <c r="L330" s="30" t="s">
        <v>32</v>
      </c>
      <c r="M330" s="10" t="n">
        <v>19</v>
      </c>
      <c r="N330" s="12" t="n">
        <v>-4933</v>
      </c>
      <c r="O330" s="13" t="n">
        <v>-0.0509515740308079</v>
      </c>
      <c r="P330" s="15" t="n">
        <v>0.0567389599647665</v>
      </c>
      <c r="Q330" s="13" t="n">
        <v>-0.0533659888498598</v>
      </c>
      <c r="R330" s="15" t="n">
        <v>0.0290456431535269</v>
      </c>
      <c r="S330" s="32" t="n">
        <v>23472165840</v>
      </c>
      <c r="T330" s="15" t="n">
        <v>0.0108695652173914</v>
      </c>
      <c r="U330" s="32" t="n">
        <v>5017585834.5</v>
      </c>
      <c r="V330" s="14" t="n">
        <v>4.40040237210968</v>
      </c>
      <c r="W330" s="13" t="n">
        <v>0.00813008130081294</v>
      </c>
      <c r="X330" s="15" t="n">
        <v>0.0336021505376345</v>
      </c>
      <c r="Y330" s="13" t="n">
        <v>-0.0134362840466925</v>
      </c>
      <c r="Z330" s="13" t="n">
        <v>0.00811909560031232</v>
      </c>
      <c r="AA330" s="30" t="s">
        <v>96</v>
      </c>
      <c r="AB330" s="28" t="s">
        <v>93</v>
      </c>
      <c r="AC330" s="28" t="s">
        <v>99</v>
      </c>
      <c r="AD330" s="28" t="s">
        <v>106</v>
      </c>
      <c r="AE330" s="28" t="s">
        <v>112</v>
      </c>
      <c r="AF330" s="28" t="s">
        <v>118</v>
      </c>
      <c r="AG330" s="30" t="s">
        <v>122</v>
      </c>
    </row>
    <row r="331" customFormat="false" ht="15" hidden="false" customHeight="false" outlineLevel="0" collapsed="false">
      <c r="A331" s="10" t="n">
        <v>2024</v>
      </c>
      <c r="B331" s="28" t="s">
        <v>59</v>
      </c>
      <c r="C331" s="29" t="n">
        <v>45560</v>
      </c>
      <c r="D331" s="30" t="s">
        <v>127</v>
      </c>
      <c r="E331" s="28" t="s">
        <v>1157</v>
      </c>
      <c r="F331" s="30" t="s">
        <v>1158</v>
      </c>
      <c r="G331" s="31" t="n">
        <v>2642</v>
      </c>
      <c r="H331" s="31" t="n">
        <v>37</v>
      </c>
      <c r="I331" s="31" t="n">
        <v>97748</v>
      </c>
      <c r="J331" s="29" t="n">
        <v>45562</v>
      </c>
      <c r="K331" s="31" t="n">
        <v>3175</v>
      </c>
      <c r="L331" s="30" t="s">
        <v>31</v>
      </c>
      <c r="M331" s="10" t="n">
        <v>2</v>
      </c>
      <c r="N331" s="12" t="n">
        <v>19483</v>
      </c>
      <c r="O331" s="13" t="n">
        <v>0.199317851995175</v>
      </c>
      <c r="P331" s="15" t="n">
        <v>0.29417309047975</v>
      </c>
      <c r="Q331" s="13" t="n">
        <v>-0.0144159142480351</v>
      </c>
      <c r="R331" s="15" t="n">
        <v>0.104449938195303</v>
      </c>
      <c r="S331" s="32" t="n">
        <v>22313756131</v>
      </c>
      <c r="T331" s="15" t="n">
        <v>0.00960451977401111</v>
      </c>
      <c r="U331" s="32" t="n">
        <v>4682617666.3</v>
      </c>
      <c r="V331" s="14" t="n">
        <v>4.41473513145912</v>
      </c>
      <c r="W331" s="13" t="n">
        <v>0.100369458128079</v>
      </c>
      <c r="X331" s="15" t="n">
        <v>0.0872971460548404</v>
      </c>
      <c r="Y331" s="13" t="n">
        <v>-0.0134362840466925</v>
      </c>
      <c r="Z331" s="13" t="n">
        <v>0.00811909560031232</v>
      </c>
      <c r="AA331" s="30" t="s">
        <v>96</v>
      </c>
      <c r="AB331" s="28" t="s">
        <v>93</v>
      </c>
      <c r="AC331" s="28" t="s">
        <v>102</v>
      </c>
      <c r="AD331" s="28" t="s">
        <v>106</v>
      </c>
      <c r="AE331" s="28" t="s">
        <v>112</v>
      </c>
      <c r="AF331" s="28" t="s">
        <v>118</v>
      </c>
      <c r="AG331" s="30" t="s">
        <v>122</v>
      </c>
    </row>
    <row r="332" customFormat="false" ht="15" hidden="false" customHeight="false" outlineLevel="0" collapsed="false">
      <c r="A332" s="10" t="n">
        <v>2024</v>
      </c>
      <c r="B332" s="28" t="s">
        <v>59</v>
      </c>
      <c r="C332" s="29" t="n">
        <v>45561</v>
      </c>
      <c r="D332" s="30" t="s">
        <v>128</v>
      </c>
      <c r="E332" s="28" t="s">
        <v>1235</v>
      </c>
      <c r="F332" s="30" t="s">
        <v>1236</v>
      </c>
      <c r="G332" s="31" t="n">
        <v>13824</v>
      </c>
      <c r="H332" s="31" t="n">
        <v>7</v>
      </c>
      <c r="I332" s="31" t="n">
        <v>96767</v>
      </c>
      <c r="J332" s="29" t="n">
        <v>45565</v>
      </c>
      <c r="K332" s="31" t="n">
        <v>13157</v>
      </c>
      <c r="L332" s="30" t="s">
        <v>32</v>
      </c>
      <c r="M332" s="10" t="n">
        <v>2</v>
      </c>
      <c r="N332" s="12" t="n">
        <v>-4863</v>
      </c>
      <c r="O332" s="13" t="n">
        <v>-0.0502545528331191</v>
      </c>
      <c r="P332" s="15" t="n">
        <v>0.0214260757345481</v>
      </c>
      <c r="Q332" s="13" t="n">
        <v>-0.0588701667629978</v>
      </c>
      <c r="R332" s="15" t="n">
        <v>0.170338983050848</v>
      </c>
      <c r="S332" s="32" t="n">
        <v>95151010480</v>
      </c>
      <c r="T332" s="15" t="n">
        <v>0.0470053070507961</v>
      </c>
      <c r="U332" s="32" t="n">
        <v>3368014694</v>
      </c>
      <c r="V332" s="14" t="n">
        <v>23.8806785432179</v>
      </c>
      <c r="W332" s="13" t="n">
        <v>0.111916264090177</v>
      </c>
      <c r="X332" s="15" t="n">
        <v>0.0615496017378712</v>
      </c>
      <c r="Y332" s="13" t="n">
        <v>0.028983330252049</v>
      </c>
      <c r="Z332" s="13" t="n">
        <v>0.0351712647241165</v>
      </c>
      <c r="AA332" s="30" t="s">
        <v>97</v>
      </c>
      <c r="AB332" s="28" t="s">
        <v>93</v>
      </c>
      <c r="AC332" s="28" t="s">
        <v>103</v>
      </c>
      <c r="AD332" s="28" t="s">
        <v>108</v>
      </c>
      <c r="AE332" s="28" t="s">
        <v>113</v>
      </c>
      <c r="AF332" s="28" t="s">
        <v>120</v>
      </c>
      <c r="AG332" s="30" t="s">
        <v>122</v>
      </c>
    </row>
    <row r="333" customFormat="false" ht="15" hidden="false" customHeight="false" outlineLevel="0" collapsed="false">
      <c r="A333" s="10" t="n">
        <v>2024</v>
      </c>
      <c r="B333" s="28" t="s">
        <v>59</v>
      </c>
      <c r="C333" s="29" t="n">
        <v>45561</v>
      </c>
      <c r="D333" s="30" t="s">
        <v>128</v>
      </c>
      <c r="E333" s="28" t="s">
        <v>1359</v>
      </c>
      <c r="F333" s="30" t="s">
        <v>1360</v>
      </c>
      <c r="G333" s="31" t="n">
        <v>17187</v>
      </c>
      <c r="H333" s="31" t="n">
        <v>5</v>
      </c>
      <c r="I333" s="31" t="n">
        <v>85936</v>
      </c>
      <c r="J333" s="29" t="n">
        <v>45565</v>
      </c>
      <c r="K333" s="31" t="n">
        <v>16154</v>
      </c>
      <c r="L333" s="30" t="s">
        <v>32</v>
      </c>
      <c r="M333" s="10" t="n">
        <v>2</v>
      </c>
      <c r="N333" s="12" t="n">
        <v>-5337</v>
      </c>
      <c r="O333" s="13" t="n">
        <v>-0.0621055149858877</v>
      </c>
      <c r="P333" s="15" t="n">
        <v>0.00831026864806717</v>
      </c>
      <c r="Q333" s="13" t="n">
        <v>-0.0865279158814394</v>
      </c>
      <c r="R333" s="15" t="n">
        <v>0.173615857826384</v>
      </c>
      <c r="S333" s="32" t="n">
        <v>78976745980</v>
      </c>
      <c r="T333" s="15" t="n">
        <v>0.114935064935065</v>
      </c>
      <c r="U333" s="32" t="n">
        <v>6885703809.5</v>
      </c>
      <c r="V333" s="14" t="n">
        <v>9.96934763509717</v>
      </c>
      <c r="W333" s="13" t="n">
        <v>0.0406060606060605</v>
      </c>
      <c r="X333" s="15" t="n">
        <v>0.0885264997087945</v>
      </c>
      <c r="Y333" s="13" t="n">
        <v>0.028983330252049</v>
      </c>
      <c r="Z333" s="13" t="n">
        <v>0.0351712647241165</v>
      </c>
      <c r="AA333" s="30" t="s">
        <v>97</v>
      </c>
      <c r="AB333" s="28" t="s">
        <v>93</v>
      </c>
      <c r="AC333" s="28" t="s">
        <v>103</v>
      </c>
      <c r="AD333" s="28" t="s">
        <v>108</v>
      </c>
      <c r="AE333" s="28" t="s">
        <v>114</v>
      </c>
      <c r="AF333" s="28" t="s">
        <v>119</v>
      </c>
      <c r="AG333" s="30" t="s">
        <v>122</v>
      </c>
    </row>
    <row r="334" customFormat="false" ht="15" hidden="false" customHeight="false" outlineLevel="0" collapsed="false">
      <c r="A334" s="10" t="n">
        <v>2024</v>
      </c>
      <c r="B334" s="28" t="s">
        <v>59</v>
      </c>
      <c r="C334" s="29" t="n">
        <v>45561</v>
      </c>
      <c r="D334" s="30" t="s">
        <v>128</v>
      </c>
      <c r="E334" s="28" t="s">
        <v>753</v>
      </c>
      <c r="F334" s="28" t="s">
        <v>754</v>
      </c>
      <c r="G334" s="31" t="n">
        <v>85585</v>
      </c>
      <c r="H334" s="31" t="n">
        <v>1</v>
      </c>
      <c r="I334" s="31" t="n">
        <v>85585</v>
      </c>
      <c r="J334" s="29" t="n">
        <v>45565</v>
      </c>
      <c r="K334" s="31" t="n">
        <v>81418</v>
      </c>
      <c r="L334" s="30" t="s">
        <v>32</v>
      </c>
      <c r="M334" s="10" t="n">
        <v>2</v>
      </c>
      <c r="N334" s="12" t="n">
        <v>-4339</v>
      </c>
      <c r="O334" s="13" t="n">
        <v>-0.0506932120511068</v>
      </c>
      <c r="P334" s="15" t="n">
        <v>0.0106852212115371</v>
      </c>
      <c r="Q334" s="13" t="n">
        <v>-0.0559148453885294</v>
      </c>
      <c r="R334" s="15" t="n">
        <v>0.110389610389611</v>
      </c>
      <c r="S334" s="32" t="n">
        <v>52105153500</v>
      </c>
      <c r="T334" s="15" t="n">
        <v>0.031363088057901</v>
      </c>
      <c r="U334" s="32" t="n">
        <v>30595607150</v>
      </c>
      <c r="V334" s="14" t="n">
        <v>1.52183918149611</v>
      </c>
      <c r="W334" s="13" t="n">
        <v>0.0700876095118899</v>
      </c>
      <c r="X334" s="15" t="n">
        <v>0.00935672514619879</v>
      </c>
      <c r="Y334" s="13" t="n">
        <v>0.028983330252049</v>
      </c>
      <c r="Z334" s="13" t="n">
        <v>0.0351712647241165</v>
      </c>
      <c r="AA334" s="30" t="s">
        <v>97</v>
      </c>
      <c r="AB334" s="28" t="s">
        <v>93</v>
      </c>
      <c r="AC334" s="28" t="s">
        <v>102</v>
      </c>
      <c r="AD334" s="28" t="s">
        <v>108</v>
      </c>
      <c r="AE334" s="28" t="s">
        <v>113</v>
      </c>
      <c r="AF334" s="28" t="s">
        <v>116</v>
      </c>
      <c r="AG334" s="30" t="s">
        <v>122</v>
      </c>
    </row>
    <row r="335" customFormat="false" ht="15" hidden="false" customHeight="false" outlineLevel="0" collapsed="false">
      <c r="A335" s="10" t="n">
        <v>2024</v>
      </c>
      <c r="B335" s="28" t="s">
        <v>59</v>
      </c>
      <c r="C335" s="29" t="n">
        <v>45561</v>
      </c>
      <c r="D335" s="30" t="s">
        <v>128</v>
      </c>
      <c r="E335" s="28" t="s">
        <v>1361</v>
      </c>
      <c r="F335" s="30" t="s">
        <v>1362</v>
      </c>
      <c r="G335" s="31" t="n">
        <v>54955</v>
      </c>
      <c r="H335" s="31" t="n">
        <v>1</v>
      </c>
      <c r="I335" s="31" t="n">
        <v>54955</v>
      </c>
      <c r="J335" s="29" t="n">
        <v>45562</v>
      </c>
      <c r="K335" s="31" t="n">
        <v>52248</v>
      </c>
      <c r="L335" s="30" t="s">
        <v>32</v>
      </c>
      <c r="M335" s="10" t="n">
        <v>1</v>
      </c>
      <c r="N335" s="12" t="n">
        <v>-2817</v>
      </c>
      <c r="O335" s="13" t="n">
        <v>-0.051266151880906</v>
      </c>
      <c r="P335" s="15" t="n">
        <v>0.0117387166567495</v>
      </c>
      <c r="Q335" s="13" t="n">
        <v>-0.0701466111302176</v>
      </c>
      <c r="R335" s="15" t="n">
        <v>0.198689956331878</v>
      </c>
      <c r="S335" s="32" t="n">
        <v>34672808700</v>
      </c>
      <c r="T335" s="15" t="n">
        <v>0.173076923076923</v>
      </c>
      <c r="U335" s="32" t="n">
        <v>4907455652.5</v>
      </c>
      <c r="V335" s="14" t="n">
        <v>5.39306528672619</v>
      </c>
      <c r="W335" s="13" t="n">
        <v>0.168085106382979</v>
      </c>
      <c r="X335" s="15" t="n">
        <v>0</v>
      </c>
      <c r="Y335" s="13" t="n">
        <v>0.028983330252049</v>
      </c>
      <c r="Z335" s="13" t="n">
        <v>0.0351712647241165</v>
      </c>
      <c r="AA335" s="30" t="s">
        <v>97</v>
      </c>
      <c r="AB335" s="28" t="s">
        <v>93</v>
      </c>
      <c r="AC335" s="28" t="s">
        <v>103</v>
      </c>
      <c r="AD335" s="28" t="s">
        <v>107</v>
      </c>
      <c r="AE335" s="28" t="s">
        <v>114</v>
      </c>
      <c r="AF335" s="28" t="s">
        <v>119</v>
      </c>
      <c r="AG335" s="30" t="s">
        <v>122</v>
      </c>
    </row>
    <row r="336" customFormat="false" ht="15" hidden="false" customHeight="false" outlineLevel="0" collapsed="false">
      <c r="A336" s="10" t="n">
        <v>2024</v>
      </c>
      <c r="B336" s="28" t="s">
        <v>59</v>
      </c>
      <c r="C336" s="29" t="n">
        <v>45561</v>
      </c>
      <c r="D336" s="30" t="s">
        <v>128</v>
      </c>
      <c r="E336" s="28" t="s">
        <v>1207</v>
      </c>
      <c r="F336" s="30" t="s">
        <v>1208</v>
      </c>
      <c r="G336" s="31" t="n">
        <v>57257</v>
      </c>
      <c r="H336" s="31" t="n">
        <v>1</v>
      </c>
      <c r="I336" s="31" t="n">
        <v>57257</v>
      </c>
      <c r="J336" s="29" t="n">
        <v>45565</v>
      </c>
      <c r="K336" s="31" t="n">
        <v>51748</v>
      </c>
      <c r="L336" s="30" t="s">
        <v>32</v>
      </c>
      <c r="M336" s="10" t="n">
        <v>2</v>
      </c>
      <c r="N336" s="12" t="n">
        <v>-5618</v>
      </c>
      <c r="O336" s="13" t="n">
        <v>-0.0981273546383688</v>
      </c>
      <c r="P336" s="15" t="n">
        <v>-0.00623851672802722</v>
      </c>
      <c r="Q336" s="13" t="n">
        <v>-0.109282326065543</v>
      </c>
      <c r="R336" s="15" t="n">
        <v>0.0159857904085257</v>
      </c>
      <c r="S336" s="32" t="n">
        <v>28587930800</v>
      </c>
      <c r="T336" s="15" t="n">
        <v>0.010600706713781</v>
      </c>
      <c r="U336" s="32" t="n">
        <v>41725998862.5</v>
      </c>
      <c r="V336" s="14" t="n">
        <v>0.594371058510982</v>
      </c>
      <c r="W336" s="13" t="n">
        <v>0.0141843971631206</v>
      </c>
      <c r="X336" s="15" t="n">
        <v>0.00174825174825166</v>
      </c>
      <c r="Y336" s="13" t="n">
        <v>0.028983330252049</v>
      </c>
      <c r="Z336" s="13" t="n">
        <v>0.0351712647241165</v>
      </c>
      <c r="AA336" s="30" t="s">
        <v>97</v>
      </c>
      <c r="AB336" s="28" t="s">
        <v>93</v>
      </c>
      <c r="AC336" s="28" t="s">
        <v>99</v>
      </c>
      <c r="AD336" s="28" t="s">
        <v>106</v>
      </c>
      <c r="AE336" s="28" t="s">
        <v>112</v>
      </c>
      <c r="AF336" s="28" t="s">
        <v>116</v>
      </c>
      <c r="AG336" s="30" t="s">
        <v>122</v>
      </c>
    </row>
    <row r="337" customFormat="false" ht="15" hidden="false" customHeight="false" outlineLevel="0" collapsed="false">
      <c r="A337" s="10" t="n">
        <v>2024</v>
      </c>
      <c r="B337" s="28" t="s">
        <v>59</v>
      </c>
      <c r="C337" s="29" t="n">
        <v>45561</v>
      </c>
      <c r="D337" s="30" t="s">
        <v>128</v>
      </c>
      <c r="E337" s="28" t="s">
        <v>175</v>
      </c>
      <c r="F337" s="30" t="s">
        <v>176</v>
      </c>
      <c r="G337" s="31" t="n">
        <v>62162</v>
      </c>
      <c r="H337" s="31" t="n">
        <v>1</v>
      </c>
      <c r="I337" s="31" t="n">
        <v>62162</v>
      </c>
      <c r="J337" s="29" t="n">
        <v>45565</v>
      </c>
      <c r="K337" s="31" t="n">
        <v>59141</v>
      </c>
      <c r="L337" s="30" t="s">
        <v>32</v>
      </c>
      <c r="M337" s="10" t="n">
        <v>2</v>
      </c>
      <c r="N337" s="12" t="n">
        <v>-3146</v>
      </c>
      <c r="O337" s="13" t="n">
        <v>-0.0506087933805324</v>
      </c>
      <c r="P337" s="15" t="n">
        <v>0.00865318256622616</v>
      </c>
      <c r="Q337" s="13" t="n">
        <v>-0.0540860106077497</v>
      </c>
      <c r="R337" s="15" t="n">
        <v>0.0402010050251256</v>
      </c>
      <c r="S337" s="32" t="n">
        <v>25012079100</v>
      </c>
      <c r="T337" s="15" t="n">
        <v>0.0114006514657981</v>
      </c>
      <c r="U337" s="32" t="n">
        <v>34052565845</v>
      </c>
      <c r="V337" s="14" t="n">
        <v>0.643468860007568</v>
      </c>
      <c r="W337" s="13" t="n">
        <v>0.0197044334975369</v>
      </c>
      <c r="X337" s="15" t="n">
        <v>0.0128824476650564</v>
      </c>
      <c r="Y337" s="13" t="n">
        <v>0.028983330252049</v>
      </c>
      <c r="Z337" s="13" t="n">
        <v>0.0351712647241165</v>
      </c>
      <c r="AA337" s="30" t="s">
        <v>97</v>
      </c>
      <c r="AB337" s="28" t="s">
        <v>93</v>
      </c>
      <c r="AC337" s="28" t="s">
        <v>100</v>
      </c>
      <c r="AD337" s="28" t="s">
        <v>106</v>
      </c>
      <c r="AE337" s="28" t="s">
        <v>112</v>
      </c>
      <c r="AF337" s="28" t="s">
        <v>116</v>
      </c>
      <c r="AG337" s="30" t="s">
        <v>122</v>
      </c>
    </row>
    <row r="338" customFormat="false" ht="15" hidden="false" customHeight="false" outlineLevel="0" collapsed="false">
      <c r="A338" s="10" t="n">
        <v>2024</v>
      </c>
      <c r="B338" s="28" t="s">
        <v>60</v>
      </c>
      <c r="C338" s="29" t="n">
        <v>45572</v>
      </c>
      <c r="D338" s="30" t="s">
        <v>125</v>
      </c>
      <c r="E338" s="28" t="s">
        <v>655</v>
      </c>
      <c r="F338" s="30" t="s">
        <v>656</v>
      </c>
      <c r="G338" s="31" t="n">
        <v>40340</v>
      </c>
      <c r="H338" s="31" t="n">
        <v>2</v>
      </c>
      <c r="I338" s="31" t="n">
        <v>80681</v>
      </c>
      <c r="J338" s="29" t="n">
        <v>45573</v>
      </c>
      <c r="K338" s="31" t="n">
        <v>38362</v>
      </c>
      <c r="L338" s="30" t="s">
        <v>32</v>
      </c>
      <c r="M338" s="10" t="n">
        <v>1</v>
      </c>
      <c r="N338" s="12" t="n">
        <v>-4119</v>
      </c>
      <c r="O338" s="13" t="n">
        <v>-0.0510545574772622</v>
      </c>
      <c r="P338" s="15" t="n">
        <v>-0.0133935543364823</v>
      </c>
      <c r="Q338" s="13" t="n">
        <v>-0.0480983036814301</v>
      </c>
      <c r="R338" s="15" t="n">
        <v>0.0689655172413792</v>
      </c>
      <c r="S338" s="32" t="n">
        <v>38636214500</v>
      </c>
      <c r="T338" s="15" t="n">
        <v>0.0241423125794156</v>
      </c>
      <c r="U338" s="32" t="n">
        <v>43313366410</v>
      </c>
      <c r="V338" s="14" t="n">
        <v>0.793302700318934</v>
      </c>
      <c r="W338" s="13" t="n">
        <v>0.0591327201051248</v>
      </c>
      <c r="X338" s="15" t="n">
        <v>0.0136476426799008</v>
      </c>
      <c r="Y338" s="13" t="n">
        <v>0.0158266886146685</v>
      </c>
      <c r="Z338" s="13" t="n">
        <v>-0.0229041350217288</v>
      </c>
      <c r="AA338" s="30" t="s">
        <v>97</v>
      </c>
      <c r="AB338" s="28" t="s">
        <v>94</v>
      </c>
      <c r="AC338" s="28" t="s">
        <v>101</v>
      </c>
      <c r="AD338" s="28" t="s">
        <v>107</v>
      </c>
      <c r="AE338" s="28" t="s">
        <v>113</v>
      </c>
      <c r="AF338" s="28" t="s">
        <v>116</v>
      </c>
      <c r="AG338" s="30" t="s">
        <v>122</v>
      </c>
    </row>
    <row r="339" customFormat="false" ht="15" hidden="false" customHeight="false" outlineLevel="0" collapsed="false">
      <c r="A339" s="10" t="n">
        <v>2024</v>
      </c>
      <c r="B339" s="28" t="s">
        <v>60</v>
      </c>
      <c r="C339" s="29" t="n">
        <v>45572</v>
      </c>
      <c r="D339" s="30" t="s">
        <v>125</v>
      </c>
      <c r="E339" s="28" t="s">
        <v>463</v>
      </c>
      <c r="F339" s="30" t="s">
        <v>464</v>
      </c>
      <c r="G339" s="31" t="n">
        <v>6036</v>
      </c>
      <c r="H339" s="31" t="n">
        <v>16</v>
      </c>
      <c r="I339" s="31" t="n">
        <v>96576</v>
      </c>
      <c r="J339" s="29" t="n">
        <v>45575</v>
      </c>
      <c r="K339" s="31" t="n">
        <v>5744</v>
      </c>
      <c r="L339" s="30" t="s">
        <v>32</v>
      </c>
      <c r="M339" s="10" t="n">
        <v>2</v>
      </c>
      <c r="N339" s="12" t="n">
        <v>-4862</v>
      </c>
      <c r="O339" s="13" t="n">
        <v>-0.0503454575275471</v>
      </c>
      <c r="P339" s="15" t="n">
        <v>-0.0125960275214007</v>
      </c>
      <c r="Q339" s="13" t="n">
        <v>-0.0656110059095133</v>
      </c>
      <c r="R339" s="15" t="n">
        <v>0.0748663101604279</v>
      </c>
      <c r="S339" s="32" t="n">
        <v>25439973030</v>
      </c>
      <c r="T339" s="15" t="n">
        <v>0.00836120401337803</v>
      </c>
      <c r="U339" s="32" t="n">
        <v>3640575404.5</v>
      </c>
      <c r="V339" s="14" t="n">
        <v>6.47142963202026</v>
      </c>
      <c r="W339" s="13" t="n">
        <v>0.0748663101604279</v>
      </c>
      <c r="X339" s="15" t="n">
        <v>0.0514096185737978</v>
      </c>
      <c r="Y339" s="13" t="n">
        <v>0.0158266886146685</v>
      </c>
      <c r="Z339" s="13" t="n">
        <v>-0.0229041350217288</v>
      </c>
      <c r="AA339" s="30" t="s">
        <v>97</v>
      </c>
      <c r="AB339" s="28" t="s">
        <v>94</v>
      </c>
      <c r="AC339" s="28" t="s">
        <v>101</v>
      </c>
      <c r="AD339" s="28" t="s">
        <v>106</v>
      </c>
      <c r="AE339" s="28" t="s">
        <v>112</v>
      </c>
      <c r="AF339" s="28" t="s">
        <v>119</v>
      </c>
      <c r="AG339" s="30" t="s">
        <v>122</v>
      </c>
    </row>
    <row r="340" customFormat="false" ht="15" hidden="false" customHeight="false" outlineLevel="0" collapsed="false">
      <c r="A340" s="10" t="n">
        <v>2024</v>
      </c>
      <c r="B340" s="28" t="s">
        <v>60</v>
      </c>
      <c r="C340" s="29" t="n">
        <v>45572</v>
      </c>
      <c r="D340" s="30" t="s">
        <v>125</v>
      </c>
      <c r="E340" s="28" t="s">
        <v>261</v>
      </c>
      <c r="F340" s="28" t="s">
        <v>262</v>
      </c>
      <c r="G340" s="31" t="n">
        <v>63163</v>
      </c>
      <c r="H340" s="31" t="n">
        <v>1</v>
      </c>
      <c r="I340" s="31" t="n">
        <v>63163</v>
      </c>
      <c r="J340" s="29" t="n">
        <v>45580</v>
      </c>
      <c r="K340" s="31" t="n">
        <v>60040</v>
      </c>
      <c r="L340" s="30" t="s">
        <v>32</v>
      </c>
      <c r="M340" s="10" t="n">
        <v>5</v>
      </c>
      <c r="N340" s="12" t="n">
        <v>-3250</v>
      </c>
      <c r="O340" s="13" t="n">
        <v>-0.0514501705901072</v>
      </c>
      <c r="P340" s="15" t="n">
        <v>0.0195826360644111</v>
      </c>
      <c r="Q340" s="13" t="n">
        <v>-0.0627439121892369</v>
      </c>
      <c r="R340" s="15" t="n">
        <v>0.0112179487179487</v>
      </c>
      <c r="S340" s="32" t="n">
        <v>20496583700</v>
      </c>
      <c r="T340" s="15" t="n">
        <v>0.0112179487179487</v>
      </c>
      <c r="U340" s="32" t="n">
        <v>13269670665</v>
      </c>
      <c r="V340" s="14" t="n">
        <v>1.48187263387125</v>
      </c>
      <c r="W340" s="13" t="n">
        <v>0.00798722044728439</v>
      </c>
      <c r="X340" s="15" t="n">
        <v>0.00475435816164826</v>
      </c>
      <c r="Y340" s="13" t="n">
        <v>0.0158266886146685</v>
      </c>
      <c r="Z340" s="13" t="n">
        <v>-0.0229041350217288</v>
      </c>
      <c r="AA340" s="30" t="s">
        <v>97</v>
      </c>
      <c r="AB340" s="28" t="s">
        <v>94</v>
      </c>
      <c r="AC340" s="28" t="s">
        <v>99</v>
      </c>
      <c r="AD340" s="28" t="s">
        <v>106</v>
      </c>
      <c r="AE340" s="28" t="s">
        <v>112</v>
      </c>
      <c r="AF340" s="28" t="s">
        <v>116</v>
      </c>
      <c r="AG340" s="30" t="s">
        <v>122</v>
      </c>
    </row>
    <row r="341" customFormat="false" ht="15" hidden="false" customHeight="false" outlineLevel="0" collapsed="false">
      <c r="A341" s="10" t="n">
        <v>2024</v>
      </c>
      <c r="B341" s="28" t="s">
        <v>60</v>
      </c>
      <c r="C341" s="29" t="n">
        <v>45573</v>
      </c>
      <c r="D341" s="30" t="s">
        <v>126</v>
      </c>
      <c r="E341" s="28" t="s">
        <v>485</v>
      </c>
      <c r="F341" s="28" t="s">
        <v>486</v>
      </c>
      <c r="G341" s="31" t="n">
        <v>51852</v>
      </c>
      <c r="H341" s="31" t="n">
        <v>1</v>
      </c>
      <c r="I341" s="31" t="n">
        <v>51852</v>
      </c>
      <c r="J341" s="29" t="n">
        <v>45593</v>
      </c>
      <c r="K341" s="31" t="n">
        <v>49351</v>
      </c>
      <c r="L341" s="30" t="s">
        <v>32</v>
      </c>
      <c r="M341" s="10" t="n">
        <v>13</v>
      </c>
      <c r="N341" s="12" t="n">
        <v>-2605</v>
      </c>
      <c r="O341" s="13" t="n">
        <v>-0.0502434137291281</v>
      </c>
      <c r="P341" s="15" t="n">
        <v>0.027929599358171</v>
      </c>
      <c r="Q341" s="13" t="n">
        <v>-0.0521061949633378</v>
      </c>
      <c r="R341" s="15" t="n">
        <v>0.0339321357285429</v>
      </c>
      <c r="S341" s="32" t="n">
        <v>53330327400</v>
      </c>
      <c r="T341" s="15" t="n">
        <v>0.0156862745098039</v>
      </c>
      <c r="U341" s="32" t="n">
        <v>19514676265</v>
      </c>
      <c r="V341" s="14" t="n">
        <v>2.51337225418836</v>
      </c>
      <c r="W341" s="13" t="n">
        <v>0.0176817288801572</v>
      </c>
      <c r="X341" s="15" t="n">
        <v>0.0405405405405406</v>
      </c>
      <c r="Y341" s="13" t="n">
        <v>-0.00613703751944161</v>
      </c>
      <c r="Z341" s="13" t="n">
        <v>-0.0209149438821337</v>
      </c>
      <c r="AA341" s="30" t="s">
        <v>97</v>
      </c>
      <c r="AB341" s="28" t="s">
        <v>94</v>
      </c>
      <c r="AC341" s="28" t="s">
        <v>100</v>
      </c>
      <c r="AD341" s="28" t="s">
        <v>108</v>
      </c>
      <c r="AE341" s="28" t="s">
        <v>112</v>
      </c>
      <c r="AF341" s="28" t="s">
        <v>117</v>
      </c>
      <c r="AG341" s="30" t="s">
        <v>122</v>
      </c>
    </row>
    <row r="342" customFormat="false" ht="15" hidden="false" customHeight="false" outlineLevel="0" collapsed="false">
      <c r="A342" s="10" t="n">
        <v>2024</v>
      </c>
      <c r="B342" s="28" t="s">
        <v>60</v>
      </c>
      <c r="C342" s="29" t="n">
        <v>45573</v>
      </c>
      <c r="D342" s="30" t="s">
        <v>126</v>
      </c>
      <c r="E342" s="28" t="s">
        <v>613</v>
      </c>
      <c r="F342" s="30" t="s">
        <v>614</v>
      </c>
      <c r="G342" s="31" t="n">
        <v>37037</v>
      </c>
      <c r="H342" s="31" t="n">
        <v>2</v>
      </c>
      <c r="I342" s="31" t="n">
        <v>74074</v>
      </c>
      <c r="J342" s="29" t="n">
        <v>45604</v>
      </c>
      <c r="K342" s="31" t="n">
        <v>35215</v>
      </c>
      <c r="L342" s="30" t="s">
        <v>32</v>
      </c>
      <c r="M342" s="10" t="n">
        <v>22</v>
      </c>
      <c r="N342" s="12" t="n">
        <v>-3793</v>
      </c>
      <c r="O342" s="13" t="n">
        <v>-0.0512048576423575</v>
      </c>
      <c r="P342" s="15" t="n">
        <v>0.0746010746010748</v>
      </c>
      <c r="Q342" s="13" t="n">
        <v>-0.0603990603990602</v>
      </c>
      <c r="R342" s="15" t="n">
        <v>0.00680272108843538</v>
      </c>
      <c r="S342" s="32" t="n">
        <v>37634994000</v>
      </c>
      <c r="T342" s="15" t="n">
        <v>0.00680272108843538</v>
      </c>
      <c r="U342" s="32" t="n">
        <v>41908405710</v>
      </c>
      <c r="V342" s="14" t="n">
        <v>0.857305477225224</v>
      </c>
      <c r="W342" s="13" t="n">
        <v>0.0123119015047879</v>
      </c>
      <c r="X342" s="15" t="n">
        <v>0.00270270270270268</v>
      </c>
      <c r="Y342" s="13" t="n">
        <v>-0.00613703751944161</v>
      </c>
      <c r="Z342" s="13" t="n">
        <v>-0.0209149438821337</v>
      </c>
      <c r="AA342" s="30" t="s">
        <v>97</v>
      </c>
      <c r="AB342" s="28" t="s">
        <v>94</v>
      </c>
      <c r="AC342" s="28" t="s">
        <v>99</v>
      </c>
      <c r="AD342" s="28" t="s">
        <v>107</v>
      </c>
      <c r="AE342" s="28" t="s">
        <v>112</v>
      </c>
      <c r="AF342" s="28" t="s">
        <v>116</v>
      </c>
      <c r="AG342" s="30" t="s">
        <v>122</v>
      </c>
    </row>
    <row r="343" customFormat="false" ht="15" hidden="false" customHeight="false" outlineLevel="0" collapsed="false">
      <c r="A343" s="10" t="n">
        <v>2024</v>
      </c>
      <c r="B343" s="28" t="s">
        <v>60</v>
      </c>
      <c r="C343" s="29" t="n">
        <v>45573</v>
      </c>
      <c r="D343" s="30" t="s">
        <v>126</v>
      </c>
      <c r="E343" s="28" t="s">
        <v>213</v>
      </c>
      <c r="F343" s="30" t="s">
        <v>214</v>
      </c>
      <c r="G343" s="31" t="n">
        <v>46797</v>
      </c>
      <c r="H343" s="31" t="n">
        <v>2</v>
      </c>
      <c r="I343" s="31" t="n">
        <v>93593</v>
      </c>
      <c r="J343" s="29" t="n">
        <v>45576</v>
      </c>
      <c r="K343" s="31" t="n">
        <v>44505</v>
      </c>
      <c r="L343" s="30" t="s">
        <v>32</v>
      </c>
      <c r="M343" s="10" t="n">
        <v>2</v>
      </c>
      <c r="N343" s="12" t="n">
        <v>-4770</v>
      </c>
      <c r="O343" s="13" t="n">
        <v>-0.0509673244402656</v>
      </c>
      <c r="P343" s="15" t="n">
        <v>0.0246438053924687</v>
      </c>
      <c r="Q343" s="13" t="n">
        <v>-0.0544215143145623</v>
      </c>
      <c r="R343" s="15" t="n">
        <v>0.0553047404063205</v>
      </c>
      <c r="S343" s="32" t="n">
        <v>28670840000</v>
      </c>
      <c r="T343" s="15" t="n">
        <v>0.0365853658536586</v>
      </c>
      <c r="U343" s="32" t="n">
        <v>7331747537.5</v>
      </c>
      <c r="V343" s="14" t="n">
        <v>3.55643185409629</v>
      </c>
      <c r="W343" s="13" t="n">
        <v>0.0821759259259258</v>
      </c>
      <c r="X343" s="15" t="n">
        <v>0.0406417112299464</v>
      </c>
      <c r="Y343" s="13" t="n">
        <v>-0.00613703751944161</v>
      </c>
      <c r="Z343" s="13" t="n">
        <v>-0.0209149438821337</v>
      </c>
      <c r="AA343" s="30" t="s">
        <v>97</v>
      </c>
      <c r="AB343" s="28" t="s">
        <v>94</v>
      </c>
      <c r="AC343" s="28" t="s">
        <v>101</v>
      </c>
      <c r="AD343" s="28" t="s">
        <v>106</v>
      </c>
      <c r="AE343" s="28" t="s">
        <v>113</v>
      </c>
      <c r="AF343" s="28" t="s">
        <v>118</v>
      </c>
      <c r="AG343" s="30" t="s">
        <v>122</v>
      </c>
    </row>
    <row r="344" customFormat="false" ht="15" hidden="false" customHeight="false" outlineLevel="0" collapsed="false">
      <c r="A344" s="10" t="n">
        <v>2024</v>
      </c>
      <c r="B344" s="28" t="s">
        <v>60</v>
      </c>
      <c r="C344" s="29" t="n">
        <v>45579</v>
      </c>
      <c r="D344" s="30" t="s">
        <v>125</v>
      </c>
      <c r="E344" s="28" t="s">
        <v>865</v>
      </c>
      <c r="F344" s="30" t="s">
        <v>866</v>
      </c>
      <c r="G344" s="31" t="n">
        <v>14344</v>
      </c>
      <c r="H344" s="31" t="n">
        <v>6</v>
      </c>
      <c r="I344" s="31" t="n">
        <v>86066</v>
      </c>
      <c r="J344" s="29"/>
      <c r="K344" s="31"/>
      <c r="L344" s="30" t="s">
        <v>33</v>
      </c>
      <c r="M344" s="10" t="n">
        <v>54</v>
      </c>
      <c r="N344" s="12" t="n">
        <v>36052</v>
      </c>
      <c r="O344" s="13" t="n">
        <v>0.422164715953969</v>
      </c>
      <c r="P344" s="15" t="n">
        <v>1.06004741943332</v>
      </c>
      <c r="Q344" s="13" t="n">
        <v>-0.0665301202635465</v>
      </c>
      <c r="R344" s="15" t="n">
        <v>0.0177556818181819</v>
      </c>
      <c r="S344" s="32" t="n">
        <v>27028056610</v>
      </c>
      <c r="T344" s="15" t="n">
        <v>0.00632022471910121</v>
      </c>
      <c r="U344" s="32" t="n">
        <v>13102756244.5</v>
      </c>
      <c r="V344" s="14" t="n">
        <v>2.00701389754947</v>
      </c>
      <c r="W344" s="13" t="n">
        <v>0.0163120567375887</v>
      </c>
      <c r="X344" s="15" t="n">
        <v>0.00907187718073965</v>
      </c>
      <c r="Y344" s="13" t="n">
        <v>0.0101582265076572</v>
      </c>
      <c r="Z344" s="13" t="n">
        <v>0.0208506018188823</v>
      </c>
      <c r="AA344" s="30" t="s">
        <v>97</v>
      </c>
      <c r="AB344" s="28" t="s">
        <v>93</v>
      </c>
      <c r="AC344" s="28" t="s">
        <v>99</v>
      </c>
      <c r="AD344" s="28" t="s">
        <v>106</v>
      </c>
      <c r="AE344" s="28" t="s">
        <v>112</v>
      </c>
      <c r="AF344" s="28" t="s">
        <v>117</v>
      </c>
      <c r="AG344" s="30" t="s">
        <v>122</v>
      </c>
    </row>
    <row r="345" customFormat="false" ht="15" hidden="false" customHeight="false" outlineLevel="0" collapsed="false">
      <c r="A345" s="10" t="n">
        <v>2024</v>
      </c>
      <c r="B345" s="28" t="s">
        <v>60</v>
      </c>
      <c r="C345" s="29" t="n">
        <v>45580</v>
      </c>
      <c r="D345" s="30" t="s">
        <v>126</v>
      </c>
      <c r="E345" s="28" t="s">
        <v>215</v>
      </c>
      <c r="F345" s="30" t="s">
        <v>216</v>
      </c>
      <c r="G345" s="31" t="n">
        <v>41617</v>
      </c>
      <c r="H345" s="31" t="n">
        <v>2</v>
      </c>
      <c r="I345" s="31" t="n">
        <v>83234</v>
      </c>
      <c r="J345" s="29" t="n">
        <v>45581</v>
      </c>
      <c r="K345" s="31" t="n">
        <v>39610</v>
      </c>
      <c r="L345" s="30" t="s">
        <v>32</v>
      </c>
      <c r="M345" s="10" t="n">
        <v>1</v>
      </c>
      <c r="N345" s="12" t="n">
        <v>-4180</v>
      </c>
      <c r="O345" s="13" t="n">
        <v>-0.05021949263655</v>
      </c>
      <c r="P345" s="15" t="n">
        <v>0.0188641767589137</v>
      </c>
      <c r="Q345" s="13" t="n">
        <v>-0.0489043120622066</v>
      </c>
      <c r="R345" s="15" t="n">
        <v>0.0864040660736976</v>
      </c>
      <c r="S345" s="32" t="n">
        <v>301519084500</v>
      </c>
      <c r="T345" s="15" t="n">
        <v>0.0768261964735515</v>
      </c>
      <c r="U345" s="32" t="n">
        <v>56396686485</v>
      </c>
      <c r="V345" s="14" t="n">
        <v>4.6497905244079</v>
      </c>
      <c r="W345" s="13" t="n">
        <v>0.0503685503685503</v>
      </c>
      <c r="X345" s="15" t="n">
        <v>0.0327485380116961</v>
      </c>
      <c r="Y345" s="13" t="n">
        <v>0.00387299917279438</v>
      </c>
      <c r="Z345" s="13" t="n">
        <v>0.00883779373118077</v>
      </c>
      <c r="AA345" s="30" t="s">
        <v>97</v>
      </c>
      <c r="AB345" s="28" t="s">
        <v>93</v>
      </c>
      <c r="AC345" s="28" t="s">
        <v>101</v>
      </c>
      <c r="AD345" s="28" t="s">
        <v>110</v>
      </c>
      <c r="AE345" s="28" t="s">
        <v>101</v>
      </c>
      <c r="AF345" s="28" t="s">
        <v>118</v>
      </c>
      <c r="AG345" s="30" t="s">
        <v>122</v>
      </c>
    </row>
    <row r="346" customFormat="false" ht="15" hidden="false" customHeight="false" outlineLevel="0" collapsed="false">
      <c r="A346" s="10" t="n">
        <v>2024</v>
      </c>
      <c r="B346" s="28" t="s">
        <v>60</v>
      </c>
      <c r="C346" s="29" t="n">
        <v>45580</v>
      </c>
      <c r="D346" s="30" t="s">
        <v>126</v>
      </c>
      <c r="E346" s="28" t="s">
        <v>343</v>
      </c>
      <c r="F346" s="30" t="s">
        <v>344</v>
      </c>
      <c r="G346" s="31" t="n">
        <v>5185</v>
      </c>
      <c r="H346" s="31" t="n">
        <v>19</v>
      </c>
      <c r="I346" s="31" t="n">
        <v>98518</v>
      </c>
      <c r="J346" s="29" t="n">
        <v>45582</v>
      </c>
      <c r="K346" s="31" t="n">
        <v>4935</v>
      </c>
      <c r="L346" s="30" t="s">
        <v>32</v>
      </c>
      <c r="M346" s="10" t="n">
        <v>2</v>
      </c>
      <c r="N346" s="12" t="n">
        <v>-4950</v>
      </c>
      <c r="O346" s="13" t="n">
        <v>-0.0502434137291277</v>
      </c>
      <c r="P346" s="15" t="n">
        <v>0.0125010125010125</v>
      </c>
      <c r="Q346" s="13" t="n">
        <v>-0.0656062084633512</v>
      </c>
      <c r="R346" s="15" t="n">
        <v>0.215962441314554</v>
      </c>
      <c r="S346" s="32" t="n">
        <v>100644975760</v>
      </c>
      <c r="T346" s="15" t="n">
        <v>0.112781954887218</v>
      </c>
      <c r="U346" s="32" t="n">
        <v>6510956778.25</v>
      </c>
      <c r="V346" s="14" t="n">
        <v>13.4752936191908</v>
      </c>
      <c r="W346" s="13" t="n">
        <v>0.164044943820225</v>
      </c>
      <c r="X346" s="15" t="n">
        <v>0.0675675675675675</v>
      </c>
      <c r="Y346" s="13" t="n">
        <v>0.00387299917279438</v>
      </c>
      <c r="Z346" s="13" t="n">
        <v>0.00883779373118077</v>
      </c>
      <c r="AA346" s="30" t="s">
        <v>97</v>
      </c>
      <c r="AB346" s="28" t="s">
        <v>93</v>
      </c>
      <c r="AC346" s="28" t="s">
        <v>104</v>
      </c>
      <c r="AD346" s="28" t="s">
        <v>109</v>
      </c>
      <c r="AE346" s="28" t="s">
        <v>114</v>
      </c>
      <c r="AF346" s="28" t="s">
        <v>120</v>
      </c>
      <c r="AG346" s="30" t="s">
        <v>122</v>
      </c>
    </row>
    <row r="347" customFormat="false" ht="15" hidden="false" customHeight="false" outlineLevel="0" collapsed="false">
      <c r="A347" s="10" t="n">
        <v>2024</v>
      </c>
      <c r="B347" s="28" t="s">
        <v>60</v>
      </c>
      <c r="C347" s="29" t="n">
        <v>45580</v>
      </c>
      <c r="D347" s="30" t="s">
        <v>126</v>
      </c>
      <c r="E347" s="28" t="s">
        <v>495</v>
      </c>
      <c r="F347" s="30" t="s">
        <v>496</v>
      </c>
      <c r="G347" s="31" t="n">
        <v>14374</v>
      </c>
      <c r="H347" s="31" t="n">
        <v>6</v>
      </c>
      <c r="I347" s="31" t="n">
        <v>86246</v>
      </c>
      <c r="J347" s="29" t="n">
        <v>45581</v>
      </c>
      <c r="K347" s="31" t="n">
        <v>13506</v>
      </c>
      <c r="L347" s="30" t="s">
        <v>32</v>
      </c>
      <c r="M347" s="10" t="n">
        <v>1</v>
      </c>
      <c r="N347" s="12" t="n">
        <v>-5378</v>
      </c>
      <c r="O347" s="13" t="n">
        <v>-0.0623592139058712</v>
      </c>
      <c r="P347" s="15" t="n">
        <v>-0.0552622864600579</v>
      </c>
      <c r="Q347" s="13" t="n">
        <v>-0.0990903247170656</v>
      </c>
      <c r="R347" s="15" t="n">
        <v>0.0119802677942213</v>
      </c>
      <c r="S347" s="32" t="n">
        <v>35057987040</v>
      </c>
      <c r="T347" s="15" t="n">
        <v>0.00630693763139445</v>
      </c>
      <c r="U347" s="32" t="n">
        <v>40791372296</v>
      </c>
      <c r="V347" s="14" t="n">
        <v>0.818879643495319</v>
      </c>
      <c r="W347" s="13" t="n">
        <v>-0.0096551724137931</v>
      </c>
      <c r="X347" s="15" t="n">
        <v>0.0188022284122562</v>
      </c>
      <c r="Y347" s="13" t="n">
        <v>0.00387299917279438</v>
      </c>
      <c r="Z347" s="13" t="n">
        <v>0.00883779373118077</v>
      </c>
      <c r="AA347" s="30" t="s">
        <v>97</v>
      </c>
      <c r="AB347" s="28" t="s">
        <v>93</v>
      </c>
      <c r="AC347" s="28" t="s">
        <v>99</v>
      </c>
      <c r="AD347" s="28" t="s">
        <v>107</v>
      </c>
      <c r="AE347" s="28" t="s">
        <v>112</v>
      </c>
      <c r="AF347" s="28" t="s">
        <v>116</v>
      </c>
      <c r="AG347" s="30" t="s">
        <v>123</v>
      </c>
    </row>
    <row r="348" customFormat="false" ht="15" hidden="false" customHeight="false" outlineLevel="0" collapsed="false">
      <c r="A348" s="10" t="n">
        <v>2024</v>
      </c>
      <c r="B348" s="28" t="s">
        <v>60</v>
      </c>
      <c r="C348" s="29" t="n">
        <v>45581</v>
      </c>
      <c r="D348" s="30" t="s">
        <v>127</v>
      </c>
      <c r="E348" s="28" t="s">
        <v>1363</v>
      </c>
      <c r="F348" s="30" t="s">
        <v>1364</v>
      </c>
      <c r="G348" s="31" t="n">
        <v>3958</v>
      </c>
      <c r="H348" s="31" t="n">
        <v>25</v>
      </c>
      <c r="I348" s="31" t="n">
        <v>98958</v>
      </c>
      <c r="J348" s="29" t="n">
        <v>45583</v>
      </c>
      <c r="K348" s="31" t="n">
        <v>3766</v>
      </c>
      <c r="L348" s="30" t="s">
        <v>32</v>
      </c>
      <c r="M348" s="10" t="n">
        <v>2</v>
      </c>
      <c r="N348" s="12" t="n">
        <v>-5000</v>
      </c>
      <c r="O348" s="13" t="n">
        <v>-0.0505308526706896</v>
      </c>
      <c r="P348" s="15" t="n">
        <v>0.155094905094905</v>
      </c>
      <c r="Q348" s="13" t="n">
        <v>-0.049908424908425</v>
      </c>
      <c r="R348" s="15" t="n">
        <v>0.085972850678733</v>
      </c>
      <c r="S348" s="32" t="n">
        <v>42374155200</v>
      </c>
      <c r="T348" s="15" t="n">
        <v>0.0105263157894737</v>
      </c>
      <c r="U348" s="32" t="n">
        <v>16284740144.75</v>
      </c>
      <c r="V348" s="14" t="n">
        <v>2.33384635686211</v>
      </c>
      <c r="W348" s="13" t="n">
        <v>0.0896708286038592</v>
      </c>
      <c r="X348" s="15" t="n">
        <v>0.0239583333333333</v>
      </c>
      <c r="Y348" s="13" t="n">
        <v>-0.00876796597619078</v>
      </c>
      <c r="Z348" s="13" t="n">
        <v>0.00616722428652916</v>
      </c>
      <c r="AA348" s="30" t="s">
        <v>97</v>
      </c>
      <c r="AB348" s="28" t="s">
        <v>93</v>
      </c>
      <c r="AC348" s="28" t="s">
        <v>101</v>
      </c>
      <c r="AD348" s="28" t="s">
        <v>107</v>
      </c>
      <c r="AE348" s="28" t="s">
        <v>112</v>
      </c>
      <c r="AF348" s="28" t="s">
        <v>117</v>
      </c>
      <c r="AG348" s="30" t="s">
        <v>122</v>
      </c>
    </row>
    <row r="349" customFormat="false" ht="15" hidden="false" customHeight="false" outlineLevel="0" collapsed="false">
      <c r="A349" s="10" t="n">
        <v>2024</v>
      </c>
      <c r="B349" s="28" t="s">
        <v>60</v>
      </c>
      <c r="C349" s="29" t="n">
        <v>45582</v>
      </c>
      <c r="D349" s="30" t="s">
        <v>128</v>
      </c>
      <c r="E349" s="28" t="s">
        <v>953</v>
      </c>
      <c r="F349" s="30" t="s">
        <v>954</v>
      </c>
      <c r="G349" s="31" t="n">
        <v>18478</v>
      </c>
      <c r="H349" s="31" t="n">
        <v>5</v>
      </c>
      <c r="I349" s="31" t="n">
        <v>92392</v>
      </c>
      <c r="J349" s="29" t="n">
        <v>45583</v>
      </c>
      <c r="K349" s="31" t="n">
        <v>17582</v>
      </c>
      <c r="L349" s="30" t="s">
        <v>32</v>
      </c>
      <c r="M349" s="10" t="n">
        <v>1</v>
      </c>
      <c r="N349" s="12" t="n">
        <v>-4666</v>
      </c>
      <c r="O349" s="13" t="n">
        <v>-0.050497576583763</v>
      </c>
      <c r="P349" s="15" t="n">
        <v>0.00387153474910784</v>
      </c>
      <c r="Q349" s="13" t="n">
        <v>-0.0745982078593129</v>
      </c>
      <c r="R349" s="15" t="n">
        <v>0.107378524295141</v>
      </c>
      <c r="S349" s="32" t="n">
        <v>112171654660</v>
      </c>
      <c r="T349" s="15" t="n">
        <v>0.00108459869848154</v>
      </c>
      <c r="U349" s="32" t="n">
        <v>4030023523.5</v>
      </c>
      <c r="V349" s="14" t="n">
        <v>26.0176864593705</v>
      </c>
      <c r="W349" s="13" t="n">
        <v>-0.0309711286089239</v>
      </c>
      <c r="X349" s="15" t="n">
        <v>0.134886240520043</v>
      </c>
      <c r="Y349" s="13" t="n">
        <v>-0.00040607425795669</v>
      </c>
      <c r="Z349" s="13" t="n">
        <v>0.00390126040720862</v>
      </c>
      <c r="AA349" s="30" t="s">
        <v>97</v>
      </c>
      <c r="AB349" s="28" t="s">
        <v>93</v>
      </c>
      <c r="AC349" s="28" t="s">
        <v>102</v>
      </c>
      <c r="AD349" s="28" t="s">
        <v>109</v>
      </c>
      <c r="AE349" s="28" t="s">
        <v>112</v>
      </c>
      <c r="AF349" s="28" t="s">
        <v>120</v>
      </c>
      <c r="AG349" s="30" t="s">
        <v>123</v>
      </c>
    </row>
    <row r="350" customFormat="false" ht="15" hidden="false" customHeight="false" outlineLevel="0" collapsed="false">
      <c r="A350" s="10" t="n">
        <v>2024</v>
      </c>
      <c r="B350" s="28" t="s">
        <v>60</v>
      </c>
      <c r="C350" s="29" t="n">
        <v>45582</v>
      </c>
      <c r="D350" s="30" t="s">
        <v>128</v>
      </c>
      <c r="E350" s="28" t="s">
        <v>1365</v>
      </c>
      <c r="F350" s="30" t="s">
        <v>1366</v>
      </c>
      <c r="G350" s="31" t="n">
        <v>12683</v>
      </c>
      <c r="H350" s="31" t="n">
        <v>7</v>
      </c>
      <c r="I350" s="31" t="n">
        <v>88782</v>
      </c>
      <c r="J350" s="29" t="n">
        <v>45587</v>
      </c>
      <c r="K350" s="31" t="n">
        <v>12010</v>
      </c>
      <c r="L350" s="30" t="s">
        <v>32</v>
      </c>
      <c r="M350" s="10" t="n">
        <v>3</v>
      </c>
      <c r="N350" s="12" t="n">
        <v>-4886</v>
      </c>
      <c r="O350" s="13" t="n">
        <v>-0.0550363992669511</v>
      </c>
      <c r="P350" s="15" t="n">
        <v>0.0474048159108724</v>
      </c>
      <c r="Q350" s="13" t="n">
        <v>-0.0991511852884666</v>
      </c>
      <c r="R350" s="15" t="n">
        <v>0.00405405405405412</v>
      </c>
      <c r="S350" s="32" t="n">
        <v>32309719070</v>
      </c>
      <c r="T350" s="15" t="n">
        <v>0.00405405405405412</v>
      </c>
      <c r="U350" s="32" t="n">
        <v>4518958781.5</v>
      </c>
      <c r="V350" s="14" t="n">
        <v>7.03680758274022</v>
      </c>
      <c r="W350" s="13" t="n">
        <v>0.0178082191780822</v>
      </c>
      <c r="X350" s="15" t="n">
        <v>0.0753701211305518</v>
      </c>
      <c r="Y350" s="13" t="n">
        <v>-0.00040607425795669</v>
      </c>
      <c r="Z350" s="13" t="n">
        <v>0.00390126040720862</v>
      </c>
      <c r="AA350" s="30" t="s">
        <v>97</v>
      </c>
      <c r="AB350" s="28" t="s">
        <v>93</v>
      </c>
      <c r="AC350" s="28" t="s">
        <v>99</v>
      </c>
      <c r="AD350" s="28" t="s">
        <v>107</v>
      </c>
      <c r="AE350" s="28" t="s">
        <v>112</v>
      </c>
      <c r="AF350" s="28" t="s">
        <v>119</v>
      </c>
      <c r="AG350" s="30" t="s">
        <v>122</v>
      </c>
    </row>
    <row r="351" customFormat="false" ht="15" hidden="false" customHeight="false" outlineLevel="0" collapsed="false">
      <c r="A351" s="10" t="n">
        <v>2024</v>
      </c>
      <c r="B351" s="28" t="s">
        <v>60</v>
      </c>
      <c r="C351" s="29" t="n">
        <v>45582</v>
      </c>
      <c r="D351" s="30" t="s">
        <v>128</v>
      </c>
      <c r="E351" s="28" t="s">
        <v>673</v>
      </c>
      <c r="F351" s="28" t="s">
        <v>674</v>
      </c>
      <c r="G351" s="31" t="n">
        <v>32132</v>
      </c>
      <c r="H351" s="31" t="n">
        <v>3</v>
      </c>
      <c r="I351" s="31" t="n">
        <v>96396</v>
      </c>
      <c r="J351" s="29" t="n">
        <v>45588</v>
      </c>
      <c r="K351" s="31" t="n">
        <v>30569</v>
      </c>
      <c r="L351" s="30" t="s">
        <v>32</v>
      </c>
      <c r="M351" s="10" t="n">
        <v>4</v>
      </c>
      <c r="N351" s="12" t="n">
        <v>-4881</v>
      </c>
      <c r="O351" s="13" t="n">
        <v>-0.0506387738429794</v>
      </c>
      <c r="P351" s="15" t="n">
        <v>-0.000999000999000854</v>
      </c>
      <c r="Q351" s="13" t="n">
        <v>-0.058573824928965</v>
      </c>
      <c r="R351" s="15" t="n">
        <v>0.0717863105175292</v>
      </c>
      <c r="S351" s="32" t="n">
        <v>25861686000</v>
      </c>
      <c r="T351" s="15" t="n">
        <v>0.0304975922953452</v>
      </c>
      <c r="U351" s="32" t="n">
        <v>6431124652.5</v>
      </c>
      <c r="V351" s="14" t="n">
        <v>3.73567608684615</v>
      </c>
      <c r="W351" s="13" t="n">
        <v>0.0524590163934426</v>
      </c>
      <c r="X351" s="15" t="n">
        <v>0.0171339563862929</v>
      </c>
      <c r="Y351" s="13" t="n">
        <v>-0.00040607425795669</v>
      </c>
      <c r="Z351" s="13" t="n">
        <v>0.00390126040720862</v>
      </c>
      <c r="AA351" s="30" t="s">
        <v>97</v>
      </c>
      <c r="AB351" s="28" t="s">
        <v>93</v>
      </c>
      <c r="AC351" s="28" t="s">
        <v>101</v>
      </c>
      <c r="AD351" s="28" t="s">
        <v>106</v>
      </c>
      <c r="AE351" s="28" t="s">
        <v>113</v>
      </c>
      <c r="AF351" s="28" t="s">
        <v>118</v>
      </c>
      <c r="AG351" s="30" t="s">
        <v>122</v>
      </c>
    </row>
    <row r="352" customFormat="false" ht="15" hidden="false" customHeight="false" outlineLevel="0" collapsed="false">
      <c r="A352" s="10" t="n">
        <v>2024</v>
      </c>
      <c r="B352" s="28" t="s">
        <v>60</v>
      </c>
      <c r="C352" s="29" t="n">
        <v>45583</v>
      </c>
      <c r="D352" s="30" t="s">
        <v>129</v>
      </c>
      <c r="E352" s="28" t="s">
        <v>1367</v>
      </c>
      <c r="F352" s="30" t="s">
        <v>1368</v>
      </c>
      <c r="G352" s="31" t="n">
        <v>16877</v>
      </c>
      <c r="H352" s="31" t="n">
        <v>5</v>
      </c>
      <c r="I352" s="31" t="n">
        <v>84384</v>
      </c>
      <c r="J352" s="29" t="n">
        <v>45587</v>
      </c>
      <c r="K352" s="31" t="n">
        <v>16064</v>
      </c>
      <c r="L352" s="30" t="s">
        <v>32</v>
      </c>
      <c r="M352" s="10" t="n">
        <v>2</v>
      </c>
      <c r="N352" s="12" t="n">
        <v>-4234</v>
      </c>
      <c r="O352" s="13" t="n">
        <v>-0.0501749835573678</v>
      </c>
      <c r="P352" s="15" t="n">
        <v>0.010851544659374</v>
      </c>
      <c r="Q352" s="13" t="n">
        <v>-0.0768424932125998</v>
      </c>
      <c r="R352" s="15" t="n">
        <v>0.0752551020408163</v>
      </c>
      <c r="S352" s="32" t="n">
        <v>45008697300</v>
      </c>
      <c r="T352" s="15" t="n">
        <v>0.0156626506024096</v>
      </c>
      <c r="U352" s="32" t="n">
        <v>8910377220</v>
      </c>
      <c r="V352" s="14" t="n">
        <v>4.58520783514203</v>
      </c>
      <c r="W352" s="13" t="n">
        <v>0.0550688360450564</v>
      </c>
      <c r="X352" s="15" t="n">
        <v>0.0604982206405693</v>
      </c>
      <c r="Y352" s="13" t="n">
        <v>-0.00593262560840069</v>
      </c>
      <c r="Z352" s="13" t="n">
        <v>-0.00118987565991879</v>
      </c>
      <c r="AA352" s="30" t="s">
        <v>96</v>
      </c>
      <c r="AB352" s="28" t="s">
        <v>94</v>
      </c>
      <c r="AC352" s="28" t="s">
        <v>101</v>
      </c>
      <c r="AD352" s="28" t="s">
        <v>107</v>
      </c>
      <c r="AE352" s="28" t="s">
        <v>112</v>
      </c>
      <c r="AF352" s="28" t="s">
        <v>118</v>
      </c>
      <c r="AG352" s="30" t="s">
        <v>122</v>
      </c>
    </row>
    <row r="353" customFormat="false" ht="15" hidden="false" customHeight="false" outlineLevel="0" collapsed="false">
      <c r="A353" s="10" t="n">
        <v>2024</v>
      </c>
      <c r="B353" s="28" t="s">
        <v>60</v>
      </c>
      <c r="C353" s="29" t="n">
        <v>45586</v>
      </c>
      <c r="D353" s="30" t="s">
        <v>125</v>
      </c>
      <c r="E353" s="28" t="s">
        <v>311</v>
      </c>
      <c r="F353" s="30" t="s">
        <v>312</v>
      </c>
      <c r="G353" s="31" t="n">
        <v>71672</v>
      </c>
      <c r="H353" s="31" t="n">
        <v>1</v>
      </c>
      <c r="I353" s="31" t="n">
        <v>71672</v>
      </c>
      <c r="J353" s="29" t="n">
        <v>45587</v>
      </c>
      <c r="K353" s="31" t="n">
        <v>68232</v>
      </c>
      <c r="L353" s="30" t="s">
        <v>32</v>
      </c>
      <c r="M353" s="10" t="n">
        <v>1</v>
      </c>
      <c r="N353" s="12" t="n">
        <v>-3584</v>
      </c>
      <c r="O353" s="13" t="n">
        <v>-0.0500017099520591</v>
      </c>
      <c r="P353" s="15" t="n">
        <v>0.00318675737670171</v>
      </c>
      <c r="Q353" s="13" t="n">
        <v>-0.0707616405940427</v>
      </c>
      <c r="R353" s="15" t="n">
        <v>0.0981595092024541</v>
      </c>
      <c r="S353" s="32" t="n">
        <v>278835818000</v>
      </c>
      <c r="T353" s="15" t="n">
        <v>0.056047197640118</v>
      </c>
      <c r="U353" s="32" t="n">
        <v>13903306225</v>
      </c>
      <c r="V353" s="14" t="n">
        <v>17.959387997637</v>
      </c>
      <c r="W353" s="13" t="n">
        <v>0.084848484848485</v>
      </c>
      <c r="X353" s="15" t="n">
        <v>0.0921787709497206</v>
      </c>
      <c r="Y353" s="13" t="n">
        <v>0.00427940257997861</v>
      </c>
      <c r="Z353" s="13" t="n">
        <v>-0.00700265696892066</v>
      </c>
      <c r="AA353" s="30" t="s">
        <v>96</v>
      </c>
      <c r="AB353" s="28" t="s">
        <v>94</v>
      </c>
      <c r="AC353" s="28" t="s">
        <v>101</v>
      </c>
      <c r="AD353" s="28" t="s">
        <v>110</v>
      </c>
      <c r="AE353" s="28" t="s">
        <v>101</v>
      </c>
      <c r="AF353" s="28" t="s">
        <v>120</v>
      </c>
      <c r="AG353" s="30" t="s">
        <v>122</v>
      </c>
    </row>
    <row r="354" customFormat="false" ht="15" hidden="false" customHeight="false" outlineLevel="0" collapsed="false">
      <c r="A354" s="10" t="n">
        <v>2024</v>
      </c>
      <c r="B354" s="28" t="s">
        <v>60</v>
      </c>
      <c r="C354" s="29" t="n">
        <v>45586</v>
      </c>
      <c r="D354" s="30" t="s">
        <v>125</v>
      </c>
      <c r="E354" s="28" t="s">
        <v>397</v>
      </c>
      <c r="F354" s="30" t="s">
        <v>398</v>
      </c>
      <c r="G354" s="31" t="n">
        <v>55756</v>
      </c>
      <c r="H354" s="31" t="n">
        <v>1</v>
      </c>
      <c r="I354" s="31" t="n">
        <v>55756</v>
      </c>
      <c r="J354" s="29" t="n">
        <v>45607</v>
      </c>
      <c r="K354" s="31" t="n">
        <v>67000</v>
      </c>
      <c r="L354" s="30" t="s">
        <v>31</v>
      </c>
      <c r="M354" s="10" t="n">
        <v>15</v>
      </c>
      <c r="N354" s="12" t="n">
        <v>11105</v>
      </c>
      <c r="O354" s="13" t="n">
        <v>0.199177602379667</v>
      </c>
      <c r="P354" s="15" t="n">
        <v>0.232161016721161</v>
      </c>
      <c r="Q354" s="13" t="n">
        <v>-0.0153473097817801</v>
      </c>
      <c r="R354" s="15" t="n">
        <v>0.039179104477612</v>
      </c>
      <c r="S354" s="32" t="n">
        <v>65983445400</v>
      </c>
      <c r="T354" s="15" t="n">
        <v>0.0276752767527675</v>
      </c>
      <c r="U354" s="32" t="n">
        <v>23744222105</v>
      </c>
      <c r="V354" s="14" t="n">
        <v>2.64398762888531</v>
      </c>
      <c r="W354" s="13" t="n">
        <v>0.0353159851301115</v>
      </c>
      <c r="X354" s="15" t="n">
        <v>0.0269299820466786</v>
      </c>
      <c r="Y354" s="13" t="n">
        <v>0.00427940257997861</v>
      </c>
      <c r="Z354" s="13" t="n">
        <v>-0.00700265696892066</v>
      </c>
      <c r="AA354" s="30" t="s">
        <v>96</v>
      </c>
      <c r="AB354" s="28" t="s">
        <v>94</v>
      </c>
      <c r="AC354" s="28" t="s">
        <v>100</v>
      </c>
      <c r="AD354" s="28" t="s">
        <v>108</v>
      </c>
      <c r="AE354" s="28" t="s">
        <v>113</v>
      </c>
      <c r="AF354" s="28" t="s">
        <v>117</v>
      </c>
      <c r="AG354" s="30" t="s">
        <v>122</v>
      </c>
    </row>
    <row r="355" customFormat="false" ht="15" hidden="false" customHeight="false" outlineLevel="0" collapsed="false">
      <c r="A355" s="10" t="n">
        <v>2024</v>
      </c>
      <c r="B355" s="28" t="s">
        <v>60</v>
      </c>
      <c r="C355" s="29" t="n">
        <v>45594</v>
      </c>
      <c r="D355" s="30" t="s">
        <v>126</v>
      </c>
      <c r="E355" s="28" t="s">
        <v>725</v>
      </c>
      <c r="F355" s="30" t="s">
        <v>726</v>
      </c>
      <c r="G355" s="31" t="n">
        <v>1646</v>
      </c>
      <c r="H355" s="31" t="n">
        <v>60</v>
      </c>
      <c r="I355" s="31" t="n">
        <v>98739</v>
      </c>
      <c r="J355" s="29" t="n">
        <v>45597</v>
      </c>
      <c r="K355" s="31" t="n">
        <v>1566</v>
      </c>
      <c r="L355" s="30" t="s">
        <v>32</v>
      </c>
      <c r="M355" s="10" t="n">
        <v>3</v>
      </c>
      <c r="N355" s="12" t="n">
        <v>-4951</v>
      </c>
      <c r="O355" s="13" t="n">
        <v>-0.0501404854269818</v>
      </c>
      <c r="P355" s="15" t="n">
        <v>0.151524874152612</v>
      </c>
      <c r="Q355" s="13" t="n">
        <v>-0.179044799482756</v>
      </c>
      <c r="R355" s="15" t="n">
        <v>0.259770114942529</v>
      </c>
      <c r="S355" s="32" t="n">
        <v>98696469756</v>
      </c>
      <c r="T355" s="15" t="n">
        <v>0.140083217753121</v>
      </c>
      <c r="U355" s="32" t="n">
        <v>3465522693</v>
      </c>
      <c r="V355" s="14" t="n">
        <v>23.7271422954701</v>
      </c>
      <c r="W355" s="13" t="n">
        <v>0.23330832708177</v>
      </c>
      <c r="X355" s="15" t="n">
        <v>0</v>
      </c>
      <c r="Y355" s="13" t="n">
        <v>0.00205555746948249</v>
      </c>
      <c r="Z355" s="13" t="n">
        <v>0.0183218578597271</v>
      </c>
      <c r="AA355" s="30" t="s">
        <v>97</v>
      </c>
      <c r="AB355" s="28" t="s">
        <v>93</v>
      </c>
      <c r="AC355" s="28" t="s">
        <v>104</v>
      </c>
      <c r="AD355" s="28" t="s">
        <v>108</v>
      </c>
      <c r="AE355" s="28" t="s">
        <v>114</v>
      </c>
      <c r="AF355" s="28" t="s">
        <v>120</v>
      </c>
      <c r="AG355" s="30" t="s">
        <v>122</v>
      </c>
    </row>
    <row r="356" customFormat="false" ht="15" hidden="false" customHeight="false" outlineLevel="0" collapsed="false">
      <c r="A356" s="10" t="n">
        <v>2024</v>
      </c>
      <c r="B356" s="28" t="s">
        <v>61</v>
      </c>
      <c r="C356" s="29" t="n">
        <v>45614</v>
      </c>
      <c r="D356" s="30" t="s">
        <v>125</v>
      </c>
      <c r="E356" s="28" t="s">
        <v>1277</v>
      </c>
      <c r="F356" s="30" t="s">
        <v>1278</v>
      </c>
      <c r="G356" s="31" t="n">
        <v>5265</v>
      </c>
      <c r="H356" s="31" t="n">
        <v>18</v>
      </c>
      <c r="I356" s="31" t="n">
        <v>94775</v>
      </c>
      <c r="J356" s="29" t="n">
        <v>45617</v>
      </c>
      <c r="K356" s="31" t="n">
        <v>5005</v>
      </c>
      <c r="L356" s="30" t="s">
        <v>32</v>
      </c>
      <c r="M356" s="10" t="n">
        <v>3</v>
      </c>
      <c r="N356" s="12" t="n">
        <v>-4875</v>
      </c>
      <c r="O356" s="13" t="n">
        <v>-0.0514351654998995</v>
      </c>
      <c r="P356" s="15" t="n">
        <v>0.0597767251759649</v>
      </c>
      <c r="Q356" s="13" t="n">
        <v>-0.0570266235665474</v>
      </c>
      <c r="R356" s="15" t="n">
        <v>0.105042016806723</v>
      </c>
      <c r="S356" s="32" t="n">
        <v>21010296780</v>
      </c>
      <c r="T356" s="15" t="n">
        <v>0.0253411306042886</v>
      </c>
      <c r="U356" s="32" t="n">
        <v>7345156618</v>
      </c>
      <c r="V356" s="14" t="n">
        <v>2.68529151308754</v>
      </c>
      <c r="W356" s="13" t="n">
        <v>0.0823045267489713</v>
      </c>
      <c r="X356" s="15" t="n">
        <v>0.0247148288973385</v>
      </c>
      <c r="Y356" s="13" t="n">
        <v>0.0216024097382555</v>
      </c>
      <c r="Z356" s="13" t="n">
        <v>-0.0247229090794181</v>
      </c>
      <c r="AA356" s="30" t="s">
        <v>96</v>
      </c>
      <c r="AB356" s="28" t="s">
        <v>94</v>
      </c>
      <c r="AC356" s="28" t="s">
        <v>102</v>
      </c>
      <c r="AD356" s="28" t="s">
        <v>106</v>
      </c>
      <c r="AE356" s="28" t="s">
        <v>113</v>
      </c>
      <c r="AF356" s="28" t="s">
        <v>117</v>
      </c>
      <c r="AG356" s="30" t="s">
        <v>122</v>
      </c>
    </row>
    <row r="357" customFormat="false" ht="15" hidden="false" customHeight="false" outlineLevel="0" collapsed="false">
      <c r="A357" s="10" t="n">
        <v>2024</v>
      </c>
      <c r="B357" s="28" t="s">
        <v>61</v>
      </c>
      <c r="C357" s="29" t="n">
        <v>45616</v>
      </c>
      <c r="D357" s="30" t="s">
        <v>127</v>
      </c>
      <c r="E357" s="28" t="s">
        <v>701</v>
      </c>
      <c r="F357" s="30" t="s">
        <v>702</v>
      </c>
      <c r="G357" s="31" t="n">
        <v>98198</v>
      </c>
      <c r="H357" s="31" t="n">
        <v>1</v>
      </c>
      <c r="I357" s="31" t="n">
        <v>98198</v>
      </c>
      <c r="J357" s="29" t="n">
        <v>45625</v>
      </c>
      <c r="K357" s="31" t="n">
        <v>93107</v>
      </c>
      <c r="L357" s="30" t="s">
        <v>32</v>
      </c>
      <c r="M357" s="10" t="n">
        <v>7</v>
      </c>
      <c r="N357" s="12" t="n">
        <v>-5288</v>
      </c>
      <c r="O357" s="13" t="n">
        <v>-0.0538461332245736</v>
      </c>
      <c r="P357" s="15" t="n">
        <v>0.00714779613862193</v>
      </c>
      <c r="Q357" s="13" t="n">
        <v>-0.0620999795311721</v>
      </c>
      <c r="R357" s="15" t="n">
        <v>0.0293809024134313</v>
      </c>
      <c r="S357" s="32" t="n">
        <v>129013566300</v>
      </c>
      <c r="T357" s="15" t="n">
        <v>0.00718685831622179</v>
      </c>
      <c r="U357" s="32" t="n">
        <v>126259292025</v>
      </c>
      <c r="V357" s="14" t="n">
        <v>0.975618893470489</v>
      </c>
      <c r="W357" s="13" t="n">
        <v>0.0293809024134313</v>
      </c>
      <c r="X357" s="15" t="n">
        <v>0.0112130479102957</v>
      </c>
      <c r="Y357" s="13" t="n">
        <v>0.00418293250268009</v>
      </c>
      <c r="Z357" s="13" t="n">
        <v>0.0269788339649495</v>
      </c>
      <c r="AA357" s="30" t="s">
        <v>96</v>
      </c>
      <c r="AB357" s="28" t="s">
        <v>93</v>
      </c>
      <c r="AC357" s="28" t="s">
        <v>99</v>
      </c>
      <c r="AD357" s="28" t="s">
        <v>109</v>
      </c>
      <c r="AE357" s="28" t="s">
        <v>112</v>
      </c>
      <c r="AF357" s="28" t="s">
        <v>116</v>
      </c>
      <c r="AG357" s="30" t="s">
        <v>122</v>
      </c>
    </row>
    <row r="358" customFormat="false" ht="15" hidden="false" customHeight="false" outlineLevel="0" collapsed="false">
      <c r="A358" s="10" t="n">
        <v>2024</v>
      </c>
      <c r="B358" s="28" t="s">
        <v>61</v>
      </c>
      <c r="C358" s="29" t="n">
        <v>45616</v>
      </c>
      <c r="D358" s="30" t="s">
        <v>127</v>
      </c>
      <c r="E358" s="28" t="s">
        <v>1369</v>
      </c>
      <c r="F358" s="30" t="s">
        <v>1370</v>
      </c>
      <c r="G358" s="31" t="n">
        <v>4840</v>
      </c>
      <c r="H358" s="31" t="n">
        <v>20</v>
      </c>
      <c r="I358" s="31" t="n">
        <v>96797</v>
      </c>
      <c r="J358" s="29" t="n">
        <v>45617</v>
      </c>
      <c r="K358" s="31" t="n">
        <v>4605</v>
      </c>
      <c r="L358" s="30" t="s">
        <v>32</v>
      </c>
      <c r="M358" s="10" t="n">
        <v>1</v>
      </c>
      <c r="N358" s="12" t="n">
        <v>-4883</v>
      </c>
      <c r="O358" s="13" t="n">
        <v>-0.05044624160741</v>
      </c>
      <c r="P358" s="15" t="n">
        <v>0.00416646435260715</v>
      </c>
      <c r="Q358" s="13" t="n">
        <v>-0.0619514921479759</v>
      </c>
      <c r="R358" s="15" t="n">
        <v>0.114055299539171</v>
      </c>
      <c r="S358" s="32" t="n">
        <v>101917743435</v>
      </c>
      <c r="T358" s="15" t="n">
        <v>0.0988636363636364</v>
      </c>
      <c r="U358" s="32" t="n">
        <v>3390834615.75</v>
      </c>
      <c r="V358" s="14" t="n">
        <v>26.2318849056374</v>
      </c>
      <c r="W358" s="13" t="n">
        <v>0.121809744779582</v>
      </c>
      <c r="X358" s="15" t="n">
        <v>0.102378490175801</v>
      </c>
      <c r="Y358" s="13" t="n">
        <v>0.00418293250268009</v>
      </c>
      <c r="Z358" s="13" t="n">
        <v>0.0269788339649495</v>
      </c>
      <c r="AA358" s="30" t="s">
        <v>96</v>
      </c>
      <c r="AB358" s="28" t="s">
        <v>93</v>
      </c>
      <c r="AC358" s="28" t="s">
        <v>102</v>
      </c>
      <c r="AD358" s="28" t="s">
        <v>109</v>
      </c>
      <c r="AE358" s="28" t="s">
        <v>101</v>
      </c>
      <c r="AF358" s="28" t="s">
        <v>120</v>
      </c>
      <c r="AG358" s="30" t="s">
        <v>122</v>
      </c>
    </row>
    <row r="359" customFormat="false" ht="15" hidden="false" customHeight="false" outlineLevel="0" collapsed="false">
      <c r="A359" s="10" t="n">
        <v>2024</v>
      </c>
      <c r="B359" s="28" t="s">
        <v>61</v>
      </c>
      <c r="C359" s="29" t="n">
        <v>45621</v>
      </c>
      <c r="D359" s="30" t="s">
        <v>125</v>
      </c>
      <c r="E359" s="28" t="s">
        <v>573</v>
      </c>
      <c r="F359" s="30" t="s">
        <v>574</v>
      </c>
      <c r="G359" s="31" t="n">
        <v>16867</v>
      </c>
      <c r="H359" s="31" t="n">
        <v>5</v>
      </c>
      <c r="I359" s="31" t="n">
        <v>84334</v>
      </c>
      <c r="J359" s="29" t="n">
        <v>45631</v>
      </c>
      <c r="K359" s="31" t="n">
        <v>16054</v>
      </c>
      <c r="L359" s="30" t="s">
        <v>32</v>
      </c>
      <c r="M359" s="10" t="n">
        <v>8</v>
      </c>
      <c r="N359" s="12" t="n">
        <v>-4234</v>
      </c>
      <c r="O359" s="13" t="n">
        <v>-0.0502023312592454</v>
      </c>
      <c r="P359" s="15" t="n">
        <v>0.0256805509031028</v>
      </c>
      <c r="Q359" s="13" t="n">
        <v>-0.0496150733539457</v>
      </c>
      <c r="R359" s="15" t="n">
        <v>0.00536992840095474</v>
      </c>
      <c r="S359" s="32" t="n">
        <v>61325221150</v>
      </c>
      <c r="T359" s="15" t="n">
        <v>0.00357355568790951</v>
      </c>
      <c r="U359" s="32" t="n">
        <v>34768515310.5</v>
      </c>
      <c r="V359" s="14" t="n">
        <v>1.68623617705188</v>
      </c>
      <c r="W359" s="13" t="n">
        <v>0</v>
      </c>
      <c r="X359" s="15" t="n">
        <v>0.0029673590504451</v>
      </c>
      <c r="Y359" s="13" t="n">
        <v>0.0132334362156372</v>
      </c>
      <c r="Z359" s="13" t="n">
        <v>0.0264350544942023</v>
      </c>
      <c r="AA359" s="30" t="s">
        <v>97</v>
      </c>
      <c r="AB359" s="28" t="s">
        <v>93</v>
      </c>
      <c r="AC359" s="28" t="s">
        <v>99</v>
      </c>
      <c r="AD359" s="28" t="s">
        <v>108</v>
      </c>
      <c r="AE359" s="28" t="s">
        <v>112</v>
      </c>
      <c r="AF359" s="28" t="s">
        <v>116</v>
      </c>
      <c r="AG359" s="30" t="s">
        <v>123</v>
      </c>
    </row>
    <row r="360" customFormat="false" ht="15" hidden="false" customHeight="false" outlineLevel="0" collapsed="false">
      <c r="A360" s="10" t="n">
        <v>2024</v>
      </c>
      <c r="B360" s="28" t="s">
        <v>61</v>
      </c>
      <c r="C360" s="29" t="n">
        <v>45621</v>
      </c>
      <c r="D360" s="30" t="s">
        <v>125</v>
      </c>
      <c r="E360" s="28" t="s">
        <v>733</v>
      </c>
      <c r="F360" s="28" t="s">
        <v>734</v>
      </c>
      <c r="G360" s="31" t="n">
        <v>20871</v>
      </c>
      <c r="H360" s="31" t="n">
        <v>4</v>
      </c>
      <c r="I360" s="31" t="n">
        <v>83483</v>
      </c>
      <c r="J360" s="29" t="n">
        <v>45625</v>
      </c>
      <c r="K360" s="31" t="n">
        <v>19860</v>
      </c>
      <c r="L360" s="30" t="s">
        <v>32</v>
      </c>
      <c r="M360" s="10" t="n">
        <v>4</v>
      </c>
      <c r="N360" s="12" t="n">
        <v>-4210</v>
      </c>
      <c r="O360" s="13" t="n">
        <v>-0.0504333968908791</v>
      </c>
      <c r="P360" s="15" t="n">
        <v>0.0588931452240806</v>
      </c>
      <c r="Q360" s="13" t="n">
        <v>-0.0560997755242358</v>
      </c>
      <c r="R360" s="15" t="n">
        <v>0.048265460030166</v>
      </c>
      <c r="S360" s="32" t="n">
        <v>20012914200</v>
      </c>
      <c r="T360" s="15" t="n">
        <v>0.0145985401459854</v>
      </c>
      <c r="U360" s="32" t="n">
        <v>9484763916</v>
      </c>
      <c r="V360" s="14" t="n">
        <v>1.98820193055176</v>
      </c>
      <c r="W360" s="13" t="n">
        <v>0.0321782178217822</v>
      </c>
      <c r="X360" s="15" t="n">
        <v>0.0215827338129497</v>
      </c>
      <c r="Y360" s="13" t="n">
        <v>0.0132334362156372</v>
      </c>
      <c r="Z360" s="13" t="n">
        <v>0.0264350544942023</v>
      </c>
      <c r="AA360" s="30" t="s">
        <v>97</v>
      </c>
      <c r="AB360" s="28" t="s">
        <v>93</v>
      </c>
      <c r="AC360" s="28" t="s">
        <v>100</v>
      </c>
      <c r="AD360" s="28" t="s">
        <v>106</v>
      </c>
      <c r="AE360" s="28" t="s">
        <v>112</v>
      </c>
      <c r="AF360" s="28" t="s">
        <v>116</v>
      </c>
      <c r="AG360" s="30" t="s">
        <v>122</v>
      </c>
    </row>
    <row r="361" customFormat="false" ht="15" hidden="false" customHeight="false" outlineLevel="0" collapsed="false">
      <c r="A361" s="10" t="n">
        <v>2024</v>
      </c>
      <c r="B361" s="28" t="s">
        <v>61</v>
      </c>
      <c r="C361" s="29" t="n">
        <v>45622</v>
      </c>
      <c r="D361" s="30" t="s">
        <v>126</v>
      </c>
      <c r="E361" s="28" t="s">
        <v>867</v>
      </c>
      <c r="F361" s="30" t="s">
        <v>868</v>
      </c>
      <c r="G361" s="31" t="n">
        <v>16837</v>
      </c>
      <c r="H361" s="31" t="n">
        <v>5</v>
      </c>
      <c r="I361" s="31" t="n">
        <v>84184</v>
      </c>
      <c r="J361" s="29" t="n">
        <v>45623</v>
      </c>
      <c r="K361" s="31" t="n">
        <v>16024</v>
      </c>
      <c r="L361" s="30" t="s">
        <v>32</v>
      </c>
      <c r="M361" s="10" t="n">
        <v>1</v>
      </c>
      <c r="N361" s="12" t="n">
        <v>-4233</v>
      </c>
      <c r="O361" s="13" t="n">
        <v>-0.0502845694733331</v>
      </c>
      <c r="P361" s="15" t="n">
        <v>0.0227584543874675</v>
      </c>
      <c r="Q361" s="13" t="n">
        <v>-0.0497017845412613</v>
      </c>
      <c r="R361" s="15" t="n">
        <v>0.162404975812025</v>
      </c>
      <c r="S361" s="32" t="n">
        <v>22347775260</v>
      </c>
      <c r="T361" s="15" t="n">
        <v>0.117607973421927</v>
      </c>
      <c r="U361" s="32" t="n">
        <v>9235761441</v>
      </c>
      <c r="V361" s="14" t="n">
        <v>1.95023051269249</v>
      </c>
      <c r="W361" s="13" t="n">
        <v>0.162404975812025</v>
      </c>
      <c r="X361" s="15" t="n">
        <v>0.0071343638525565</v>
      </c>
      <c r="Y361" s="13" t="n">
        <v>-0.00551622907739291</v>
      </c>
      <c r="Z361" s="13" t="n">
        <v>0.0195837294443659</v>
      </c>
      <c r="AA361" s="30" t="s">
        <v>97</v>
      </c>
      <c r="AB361" s="28" t="s">
        <v>93</v>
      </c>
      <c r="AC361" s="28" t="s">
        <v>103</v>
      </c>
      <c r="AD361" s="28" t="s">
        <v>106</v>
      </c>
      <c r="AE361" s="28" t="s">
        <v>114</v>
      </c>
      <c r="AF361" s="28" t="s">
        <v>116</v>
      </c>
      <c r="AG361" s="30" t="s">
        <v>122</v>
      </c>
    </row>
    <row r="362" customFormat="false" ht="15" hidden="false" customHeight="false" outlineLevel="0" collapsed="false">
      <c r="A362" s="10" t="n">
        <v>2024</v>
      </c>
      <c r="B362" s="28" t="s">
        <v>61</v>
      </c>
      <c r="C362" s="29" t="n">
        <v>45622</v>
      </c>
      <c r="D362" s="30" t="s">
        <v>126</v>
      </c>
      <c r="E362" s="28" t="s">
        <v>413</v>
      </c>
      <c r="F362" s="30" t="s">
        <v>414</v>
      </c>
      <c r="G362" s="31" t="n">
        <v>17397</v>
      </c>
      <c r="H362" s="31" t="n">
        <v>5</v>
      </c>
      <c r="I362" s="31" t="n">
        <v>86987</v>
      </c>
      <c r="J362" s="29" t="n">
        <v>45625</v>
      </c>
      <c r="K362" s="31" t="n">
        <v>16553</v>
      </c>
      <c r="L362" s="30" t="s">
        <v>32</v>
      </c>
      <c r="M362" s="10" t="n">
        <v>3</v>
      </c>
      <c r="N362" s="12" t="n">
        <v>-4394</v>
      </c>
      <c r="O362" s="13" t="n">
        <v>-0.0505155831222865</v>
      </c>
      <c r="P362" s="15" t="n">
        <v>0.00934738449122818</v>
      </c>
      <c r="Q362" s="13" t="n">
        <v>-0.0803212897574231</v>
      </c>
      <c r="R362" s="15" t="n">
        <v>0.0610500610500611</v>
      </c>
      <c r="S362" s="32" t="n">
        <v>20131775400</v>
      </c>
      <c r="T362" s="15" t="n">
        <v>0.0388523610280933</v>
      </c>
      <c r="U362" s="32" t="n">
        <v>4979739790</v>
      </c>
      <c r="V362" s="14" t="n">
        <v>3.65775792162123</v>
      </c>
      <c r="W362" s="13" t="n">
        <v>0.0584652862362971</v>
      </c>
      <c r="X362" s="15" t="n">
        <v>0.00805523590333723</v>
      </c>
      <c r="Y362" s="13" t="n">
        <v>-0.00551622907739291</v>
      </c>
      <c r="Z362" s="13" t="n">
        <v>0.0195837294443659</v>
      </c>
      <c r="AA362" s="30" t="s">
        <v>97</v>
      </c>
      <c r="AB362" s="28" t="s">
        <v>93</v>
      </c>
      <c r="AC362" s="28" t="s">
        <v>101</v>
      </c>
      <c r="AD362" s="28" t="s">
        <v>106</v>
      </c>
      <c r="AE362" s="28" t="s">
        <v>113</v>
      </c>
      <c r="AF362" s="28" t="s">
        <v>118</v>
      </c>
      <c r="AG362" s="30" t="s">
        <v>122</v>
      </c>
    </row>
    <row r="363" customFormat="false" ht="15" hidden="false" customHeight="false" outlineLevel="0" collapsed="false">
      <c r="A363" s="10" t="n">
        <v>2024</v>
      </c>
      <c r="B363" s="28" t="s">
        <v>61</v>
      </c>
      <c r="C363" s="29" t="n">
        <v>45623</v>
      </c>
      <c r="D363" s="30" t="s">
        <v>127</v>
      </c>
      <c r="E363" s="28" t="s">
        <v>401</v>
      </c>
      <c r="F363" s="30" t="s">
        <v>402</v>
      </c>
      <c r="G363" s="31" t="n">
        <v>63964</v>
      </c>
      <c r="H363" s="31" t="n">
        <v>1</v>
      </c>
      <c r="I363" s="31" t="n">
        <v>63964</v>
      </c>
      <c r="J363" s="29" t="n">
        <v>45630</v>
      </c>
      <c r="K363" s="31" t="n">
        <v>60839</v>
      </c>
      <c r="L363" s="30" t="s">
        <v>32</v>
      </c>
      <c r="M363" s="10" t="n">
        <v>5</v>
      </c>
      <c r="N363" s="12" t="n">
        <v>-3253</v>
      </c>
      <c r="O363" s="13" t="n">
        <v>-0.0508572934108146</v>
      </c>
      <c r="P363" s="15" t="n">
        <v>0.0349587814376549</v>
      </c>
      <c r="Q363" s="13" t="n">
        <v>-0.0604075111117364</v>
      </c>
      <c r="R363" s="15" t="n">
        <v>0.0289855072463767</v>
      </c>
      <c r="S363" s="32" t="n">
        <v>57096886500</v>
      </c>
      <c r="T363" s="15" t="n">
        <v>0.0158982511923689</v>
      </c>
      <c r="U363" s="32" t="n">
        <v>64159912600</v>
      </c>
      <c r="V363" s="14" t="n">
        <v>0.851810875649683</v>
      </c>
      <c r="W363" s="13" t="n">
        <v>0.0256821829855538</v>
      </c>
      <c r="X363" s="15" t="n">
        <v>0.00312989045383416</v>
      </c>
      <c r="Y363" s="13" t="n">
        <v>-0.00686409877953953</v>
      </c>
      <c r="Z363" s="13" t="n">
        <v>0.00836727376736812</v>
      </c>
      <c r="AA363" s="30" t="s">
        <v>96</v>
      </c>
      <c r="AB363" s="28" t="s">
        <v>93</v>
      </c>
      <c r="AC363" s="28" t="s">
        <v>99</v>
      </c>
      <c r="AD363" s="28" t="s">
        <v>108</v>
      </c>
      <c r="AE363" s="28" t="s">
        <v>112</v>
      </c>
      <c r="AF363" s="28" t="s">
        <v>116</v>
      </c>
      <c r="AG363" s="30" t="s">
        <v>122</v>
      </c>
    </row>
    <row r="364" customFormat="false" ht="15" hidden="false" customHeight="false" outlineLevel="0" collapsed="false">
      <c r="A364" s="10" t="n">
        <v>2024</v>
      </c>
      <c r="B364" s="28" t="s">
        <v>61</v>
      </c>
      <c r="C364" s="29" t="n">
        <v>45623</v>
      </c>
      <c r="D364" s="30" t="s">
        <v>127</v>
      </c>
      <c r="E364" s="28" t="s">
        <v>311</v>
      </c>
      <c r="F364" s="30" t="s">
        <v>312</v>
      </c>
      <c r="G364" s="31" t="n">
        <v>70570</v>
      </c>
      <c r="H364" s="31" t="n">
        <v>1</v>
      </c>
      <c r="I364" s="31" t="n">
        <v>70570</v>
      </c>
      <c r="J364" s="29" t="n">
        <v>45625</v>
      </c>
      <c r="K364" s="31" t="n">
        <v>67133</v>
      </c>
      <c r="L364" s="30" t="s">
        <v>32</v>
      </c>
      <c r="M364" s="10" t="n">
        <v>2</v>
      </c>
      <c r="N364" s="12" t="n">
        <v>-3579</v>
      </c>
      <c r="O364" s="13" t="n">
        <v>-0.0507179988097008</v>
      </c>
      <c r="P364" s="15" t="n">
        <v>0.00892015785632827</v>
      </c>
      <c r="Q364" s="13" t="n">
        <v>-0.088854408003344</v>
      </c>
      <c r="R364" s="15" t="n">
        <v>0.0322108345534407</v>
      </c>
      <c r="S364" s="32" t="n">
        <v>25145869500</v>
      </c>
      <c r="T364" s="15" t="n">
        <v>0.00427350427350426</v>
      </c>
      <c r="U364" s="32" t="n">
        <v>21006558485</v>
      </c>
      <c r="V364" s="14" t="n">
        <v>1.14860626280061</v>
      </c>
      <c r="W364" s="13" t="n">
        <v>0.0398230088495575</v>
      </c>
      <c r="X364" s="15" t="n">
        <v>0.00141843971631195</v>
      </c>
      <c r="Y364" s="13" t="n">
        <v>-0.00686409877953953</v>
      </c>
      <c r="Z364" s="13" t="n">
        <v>0.00836727376736812</v>
      </c>
      <c r="AA364" s="30" t="s">
        <v>96</v>
      </c>
      <c r="AB364" s="28" t="s">
        <v>93</v>
      </c>
      <c r="AC364" s="28" t="s">
        <v>100</v>
      </c>
      <c r="AD364" s="28" t="s">
        <v>106</v>
      </c>
      <c r="AE364" s="28" t="s">
        <v>112</v>
      </c>
      <c r="AF364" s="28" t="s">
        <v>116</v>
      </c>
      <c r="AG364" s="30" t="s">
        <v>122</v>
      </c>
    </row>
    <row r="365" customFormat="false" ht="15" hidden="false" customHeight="false" outlineLevel="0" collapsed="false">
      <c r="A365" s="10" t="n">
        <v>2024</v>
      </c>
      <c r="B365" s="28" t="s">
        <v>62</v>
      </c>
      <c r="C365" s="29" t="n">
        <v>45629</v>
      </c>
      <c r="D365" s="30" t="s">
        <v>126</v>
      </c>
      <c r="E365" s="28" t="s">
        <v>1371</v>
      </c>
      <c r="F365" s="30" t="s">
        <v>1372</v>
      </c>
      <c r="G365" s="31" t="n">
        <v>80881</v>
      </c>
      <c r="H365" s="31" t="n">
        <v>1</v>
      </c>
      <c r="I365" s="31" t="n">
        <v>80881</v>
      </c>
      <c r="J365" s="29" t="n">
        <v>45630</v>
      </c>
      <c r="K365" s="31" t="n">
        <v>76923</v>
      </c>
      <c r="L365" s="30" t="s">
        <v>32</v>
      </c>
      <c r="M365" s="10" t="n">
        <v>1</v>
      </c>
      <c r="N365" s="12" t="n">
        <v>-4120</v>
      </c>
      <c r="O365" s="13" t="n">
        <v>-0.0509383187357198</v>
      </c>
      <c r="P365" s="15" t="n">
        <v>-0.0170720368740169</v>
      </c>
      <c r="Q365" s="13" t="n">
        <v>-0.0504544959990503</v>
      </c>
      <c r="R365" s="15" t="n">
        <v>0.0562091503267974</v>
      </c>
      <c r="S365" s="32" t="n">
        <v>21909243200</v>
      </c>
      <c r="T365" s="15" t="n">
        <v>0.0214917825537295</v>
      </c>
      <c r="U365" s="32" t="n">
        <v>9034501200</v>
      </c>
      <c r="V365" s="14" t="n">
        <v>2.24493479311966</v>
      </c>
      <c r="W365" s="13" t="n">
        <v>0.0452781371280724</v>
      </c>
      <c r="X365" s="15" t="n">
        <v>0.00123762376237613</v>
      </c>
      <c r="Y365" s="13" t="n">
        <v>0.0185864215638343</v>
      </c>
      <c r="Z365" s="13" t="n">
        <v>-0.00803853417765721</v>
      </c>
      <c r="AA365" s="30" t="s">
        <v>97</v>
      </c>
      <c r="AB365" s="28" t="s">
        <v>94</v>
      </c>
      <c r="AC365" s="28" t="s">
        <v>101</v>
      </c>
      <c r="AD365" s="28" t="s">
        <v>106</v>
      </c>
      <c r="AE365" s="28" t="s">
        <v>113</v>
      </c>
      <c r="AF365" s="28" t="s">
        <v>117</v>
      </c>
      <c r="AG365" s="30" t="s">
        <v>122</v>
      </c>
    </row>
    <row r="366" customFormat="false" ht="15" hidden="false" customHeight="false" outlineLevel="0" collapsed="false">
      <c r="A366" s="10" t="n">
        <v>2024</v>
      </c>
      <c r="B366" s="28" t="s">
        <v>62</v>
      </c>
      <c r="C366" s="29" t="n">
        <v>45643</v>
      </c>
      <c r="D366" s="30" t="s">
        <v>126</v>
      </c>
      <c r="E366" s="28" t="s">
        <v>1373</v>
      </c>
      <c r="F366" s="30" t="s">
        <v>1374</v>
      </c>
      <c r="G366" s="31" t="n">
        <v>17668</v>
      </c>
      <c r="H366" s="31" t="n">
        <v>5</v>
      </c>
      <c r="I366" s="31" t="n">
        <v>88338</v>
      </c>
      <c r="J366" s="29" t="n">
        <v>45645</v>
      </c>
      <c r="K366" s="31" t="n">
        <v>16783</v>
      </c>
      <c r="L366" s="30" t="s">
        <v>32</v>
      </c>
      <c r="M366" s="10" t="n">
        <v>2</v>
      </c>
      <c r="N366" s="12" t="n">
        <v>-4599</v>
      </c>
      <c r="O366" s="13" t="n">
        <v>-0.0520628033439647</v>
      </c>
      <c r="P366" s="15" t="n">
        <v>0.00239703639137079</v>
      </c>
      <c r="Q366" s="13" t="n">
        <v>-0.0621276740256909</v>
      </c>
      <c r="R366" s="15" t="n">
        <v>0.127075351213282</v>
      </c>
      <c r="S366" s="32" t="n">
        <v>89681044350</v>
      </c>
      <c r="T366" s="15" t="n">
        <v>0.0606971153846154</v>
      </c>
      <c r="U366" s="32" t="n">
        <v>8659994070.5</v>
      </c>
      <c r="V366" s="14" t="n">
        <v>9.36632652431092</v>
      </c>
      <c r="W366" s="13" t="n">
        <v>0.121346886912325</v>
      </c>
      <c r="X366" s="15" t="n">
        <v>0.0821529745042493</v>
      </c>
      <c r="Y366" s="13" t="n">
        <v>-0.0129210074850239</v>
      </c>
      <c r="Z366" s="13" t="n">
        <v>0.0161176918241075</v>
      </c>
      <c r="AA366" s="30" t="s">
        <v>96</v>
      </c>
      <c r="AB366" s="28" t="s">
        <v>93</v>
      </c>
      <c r="AC366" s="28" t="s">
        <v>102</v>
      </c>
      <c r="AD366" s="28" t="s">
        <v>108</v>
      </c>
      <c r="AE366" s="28" t="s">
        <v>101</v>
      </c>
      <c r="AF366" s="28" t="s">
        <v>119</v>
      </c>
      <c r="AG366" s="30" t="s">
        <v>122</v>
      </c>
    </row>
    <row r="367" customFormat="false" ht="15" hidden="false" customHeight="false" outlineLevel="0" collapsed="false">
      <c r="A367" s="10" t="n">
        <v>2024</v>
      </c>
      <c r="B367" s="28" t="s">
        <v>62</v>
      </c>
      <c r="C367" s="29" t="n">
        <v>45643</v>
      </c>
      <c r="D367" s="30" t="s">
        <v>126</v>
      </c>
      <c r="E367" s="28" t="s">
        <v>1375</v>
      </c>
      <c r="F367" s="30" t="s">
        <v>1376</v>
      </c>
      <c r="G367" s="31" t="n">
        <v>14194</v>
      </c>
      <c r="H367" s="31" t="n">
        <v>7</v>
      </c>
      <c r="I367" s="31" t="n">
        <v>99359</v>
      </c>
      <c r="J367" s="29" t="n">
        <v>45645</v>
      </c>
      <c r="K367" s="31" t="n">
        <v>13257</v>
      </c>
      <c r="L367" s="30" t="s">
        <v>32</v>
      </c>
      <c r="M367" s="10" t="n">
        <v>2</v>
      </c>
      <c r="N367" s="12" t="n">
        <v>-6758</v>
      </c>
      <c r="O367" s="13" t="n">
        <v>-0.0680158875327775</v>
      </c>
      <c r="P367" s="15" t="n">
        <v>0.0102732246596846</v>
      </c>
      <c r="Q367" s="13" t="n">
        <v>-0.0770865241951277</v>
      </c>
      <c r="R367" s="15" t="n">
        <v>0.0975232198142415</v>
      </c>
      <c r="S367" s="32" t="n">
        <v>44341285400</v>
      </c>
      <c r="T367" s="15" t="n">
        <v>0.0388278388278389</v>
      </c>
      <c r="U367" s="32" t="n">
        <v>6240211979</v>
      </c>
      <c r="V367" s="14" t="n">
        <v>6.05121129497002</v>
      </c>
      <c r="W367" s="13" t="n">
        <v>0.0637659414853713</v>
      </c>
      <c r="X367" s="15" t="n">
        <v>0.0669957686882934</v>
      </c>
      <c r="Y367" s="13" t="n">
        <v>-0.0129210074850239</v>
      </c>
      <c r="Z367" s="13" t="n">
        <v>0.0161176918241075</v>
      </c>
      <c r="AA367" s="30" t="s">
        <v>96</v>
      </c>
      <c r="AB367" s="28" t="s">
        <v>93</v>
      </c>
      <c r="AC367" s="28" t="s">
        <v>101</v>
      </c>
      <c r="AD367" s="28" t="s">
        <v>107</v>
      </c>
      <c r="AE367" s="28" t="s">
        <v>113</v>
      </c>
      <c r="AF367" s="28" t="s">
        <v>119</v>
      </c>
      <c r="AG367" s="30" t="s">
        <v>122</v>
      </c>
    </row>
    <row r="368" customFormat="false" ht="15" hidden="false" customHeight="false" outlineLevel="0" collapsed="false">
      <c r="A368" s="10" t="n">
        <v>2024</v>
      </c>
      <c r="B368" s="28" t="s">
        <v>62</v>
      </c>
      <c r="C368" s="29" t="n">
        <v>45643</v>
      </c>
      <c r="D368" s="30" t="s">
        <v>126</v>
      </c>
      <c r="E368" s="28" t="s">
        <v>539</v>
      </c>
      <c r="F368" s="30" t="s">
        <v>540</v>
      </c>
      <c r="G368" s="31" t="n">
        <v>18118</v>
      </c>
      <c r="H368" s="31" t="n">
        <v>5</v>
      </c>
      <c r="I368" s="31" t="n">
        <v>90590</v>
      </c>
      <c r="J368" s="29"/>
      <c r="K368" s="31"/>
      <c r="L368" s="30" t="s">
        <v>33</v>
      </c>
      <c r="M368" s="10" t="n">
        <v>8</v>
      </c>
      <c r="N368" s="12" t="n">
        <v>72287</v>
      </c>
      <c r="O368" s="13" t="n">
        <v>0.80206533797694</v>
      </c>
      <c r="P368" s="15" t="n">
        <v>2.58205330581021</v>
      </c>
      <c r="Q368" s="13" t="n">
        <v>-0.0114857518172434</v>
      </c>
      <c r="R368" s="15" t="n">
        <v>0.054164239953407</v>
      </c>
      <c r="S368" s="32" t="n">
        <v>22161911500</v>
      </c>
      <c r="T368" s="15" t="n">
        <v>0.0396323951751867</v>
      </c>
      <c r="U368" s="32" t="n">
        <v>7113975303.5</v>
      </c>
      <c r="V368" s="14" t="n">
        <v>2.81471703808224</v>
      </c>
      <c r="W368" s="13" t="n">
        <v>0.00277008310249305</v>
      </c>
      <c r="X368" s="15" t="n">
        <v>0.0220994475138121</v>
      </c>
      <c r="Y368" s="13" t="n">
        <v>-0.0129210074850239</v>
      </c>
      <c r="Z368" s="13" t="n">
        <v>0.0161176918241075</v>
      </c>
      <c r="AA368" s="30" t="s">
        <v>96</v>
      </c>
      <c r="AB368" s="28" t="s">
        <v>93</v>
      </c>
      <c r="AC368" s="28" t="s">
        <v>101</v>
      </c>
      <c r="AD368" s="28" t="s">
        <v>106</v>
      </c>
      <c r="AE368" s="28" t="s">
        <v>113</v>
      </c>
      <c r="AF368" s="28" t="s">
        <v>117</v>
      </c>
      <c r="AG368" s="30" t="s">
        <v>122</v>
      </c>
    </row>
    <row r="369" customFormat="false" ht="15" hidden="false" customHeight="false" outlineLevel="0" collapsed="false">
      <c r="A369" s="10" t="n">
        <v>2025</v>
      </c>
      <c r="B369" s="28" t="s">
        <v>63</v>
      </c>
      <c r="C369" s="29" t="n">
        <v>45660</v>
      </c>
      <c r="D369" s="30" t="s">
        <v>129</v>
      </c>
      <c r="E369" s="28" t="s">
        <v>1279</v>
      </c>
      <c r="F369" s="30" t="s">
        <v>1280</v>
      </c>
      <c r="G369" s="31" t="n">
        <v>91591</v>
      </c>
      <c r="H369" s="31" t="n">
        <v>1</v>
      </c>
      <c r="I369" s="31" t="n">
        <v>91591</v>
      </c>
      <c r="J369" s="29" t="n">
        <v>45672</v>
      </c>
      <c r="K369" s="31" t="n">
        <v>87113</v>
      </c>
      <c r="L369" s="30" t="s">
        <v>32</v>
      </c>
      <c r="M369" s="10" t="n">
        <v>8</v>
      </c>
      <c r="N369" s="12" t="n">
        <v>-4636</v>
      </c>
      <c r="O369" s="13" t="n">
        <v>-0.0506179595814019</v>
      </c>
      <c r="P369" s="15" t="n">
        <v>0.032846934486279</v>
      </c>
      <c r="Q369" s="13" t="n">
        <v>-0.0479465889301953</v>
      </c>
      <c r="R369" s="15" t="n">
        <v>0.0714285714285714</v>
      </c>
      <c r="S369" s="32" t="n">
        <v>25442581500</v>
      </c>
      <c r="T369" s="15" t="n">
        <v>0.0166666666666666</v>
      </c>
      <c r="U369" s="32" t="n">
        <v>14927316360</v>
      </c>
      <c r="V369" s="14" t="n">
        <v>1.57528612364076</v>
      </c>
      <c r="W369" s="13" t="n">
        <v>0.0651920838183935</v>
      </c>
      <c r="X369" s="15" t="n">
        <v>0.00765027322404377</v>
      </c>
      <c r="Y369" s="13" t="n">
        <v>0.0179162463421345</v>
      </c>
      <c r="Z369" s="13" t="n">
        <v>0.000573648238900049</v>
      </c>
      <c r="AA369" s="30" t="s">
        <v>97</v>
      </c>
      <c r="AB369" s="28" t="s">
        <v>93</v>
      </c>
      <c r="AC369" s="28" t="s">
        <v>101</v>
      </c>
      <c r="AD369" s="28" t="s">
        <v>106</v>
      </c>
      <c r="AE369" s="28" t="s">
        <v>112</v>
      </c>
      <c r="AF369" s="28" t="s">
        <v>116</v>
      </c>
      <c r="AG369" s="30" t="s">
        <v>122</v>
      </c>
    </row>
    <row r="370" customFormat="false" ht="15" hidden="false" customHeight="false" outlineLevel="0" collapsed="false">
      <c r="A370" s="10" t="n">
        <v>2025</v>
      </c>
      <c r="B370" s="28" t="s">
        <v>63</v>
      </c>
      <c r="C370" s="29" t="n">
        <v>45660</v>
      </c>
      <c r="D370" s="30" t="s">
        <v>129</v>
      </c>
      <c r="E370" s="28" t="s">
        <v>223</v>
      </c>
      <c r="F370" s="30" t="s">
        <v>224</v>
      </c>
      <c r="G370" s="31" t="n">
        <v>8448</v>
      </c>
      <c r="H370" s="31" t="n">
        <v>11</v>
      </c>
      <c r="I370" s="31" t="n">
        <v>92933</v>
      </c>
      <c r="J370" s="29" t="n">
        <v>45665</v>
      </c>
      <c r="K370" s="31" t="n">
        <v>10140</v>
      </c>
      <c r="L370" s="30" t="s">
        <v>31</v>
      </c>
      <c r="M370" s="10" t="n">
        <v>3</v>
      </c>
      <c r="N370" s="12" t="n">
        <v>18409</v>
      </c>
      <c r="O370" s="13" t="n">
        <v>0.198091213762541</v>
      </c>
      <c r="P370" s="15" t="n">
        <v>0.242832996387499</v>
      </c>
      <c r="Q370" s="13" t="n">
        <v>0.00491925136474913</v>
      </c>
      <c r="R370" s="15" t="n">
        <v>0.0989583333333333</v>
      </c>
      <c r="S370" s="32" t="n">
        <v>24278174840</v>
      </c>
      <c r="T370" s="15" t="n">
        <v>0.0471464019851116</v>
      </c>
      <c r="U370" s="32" t="n">
        <v>3898837303.5</v>
      </c>
      <c r="V370" s="14" t="n">
        <v>5.73149135163892</v>
      </c>
      <c r="W370" s="13" t="n">
        <v>0.0989583333333333</v>
      </c>
      <c r="X370" s="15" t="n">
        <v>0.04739336492891</v>
      </c>
      <c r="Y370" s="13" t="n">
        <v>0.0179162463421345</v>
      </c>
      <c r="Z370" s="13" t="n">
        <v>0.000573648238900049</v>
      </c>
      <c r="AA370" s="30" t="s">
        <v>97</v>
      </c>
      <c r="AB370" s="28" t="s">
        <v>93</v>
      </c>
      <c r="AC370" s="28" t="s">
        <v>101</v>
      </c>
      <c r="AD370" s="28" t="s">
        <v>106</v>
      </c>
      <c r="AE370" s="28" t="s">
        <v>113</v>
      </c>
      <c r="AF370" s="28" t="s">
        <v>119</v>
      </c>
      <c r="AG370" s="30" t="s">
        <v>122</v>
      </c>
    </row>
    <row r="371" customFormat="false" ht="15" hidden="false" customHeight="false" outlineLevel="0" collapsed="false">
      <c r="A371" s="10" t="n">
        <v>2025</v>
      </c>
      <c r="B371" s="28" t="s">
        <v>63</v>
      </c>
      <c r="C371" s="29" t="n">
        <v>45660</v>
      </c>
      <c r="D371" s="30" t="s">
        <v>129</v>
      </c>
      <c r="E371" s="28" t="s">
        <v>205</v>
      </c>
      <c r="F371" s="30" t="s">
        <v>206</v>
      </c>
      <c r="G371" s="31" t="n">
        <v>69269</v>
      </c>
      <c r="H371" s="31" t="n">
        <v>1</v>
      </c>
      <c r="I371" s="31" t="n">
        <v>69269</v>
      </c>
      <c r="J371" s="29" t="n">
        <v>45663</v>
      </c>
      <c r="K371" s="31" t="n">
        <v>65934</v>
      </c>
      <c r="L371" s="30" t="s">
        <v>32</v>
      </c>
      <c r="M371" s="10" t="n">
        <v>1</v>
      </c>
      <c r="N371" s="12" t="n">
        <v>-3454</v>
      </c>
      <c r="O371" s="13" t="n">
        <v>-0.0498689385758752</v>
      </c>
      <c r="P371" s="15" t="n">
        <v>-0.00388628712328132</v>
      </c>
      <c r="Q371" s="13" t="n">
        <v>-0.0558574373603274</v>
      </c>
      <c r="R371" s="15" t="n">
        <v>0.0712074303405572</v>
      </c>
      <c r="S371" s="32" t="n">
        <v>22480588800</v>
      </c>
      <c r="T371" s="15" t="n">
        <v>0.0161527165932451</v>
      </c>
      <c r="U371" s="32" t="n">
        <v>11759836020</v>
      </c>
      <c r="V371" s="14" t="n">
        <v>1.78394714450338</v>
      </c>
      <c r="W371" s="13" t="n">
        <v>0.0695517774343122</v>
      </c>
      <c r="X371" s="15" t="n">
        <v>0.01878612716763</v>
      </c>
      <c r="Y371" s="13" t="n">
        <v>0.0179162463421345</v>
      </c>
      <c r="Z371" s="13" t="n">
        <v>0.000573648238900049</v>
      </c>
      <c r="AA371" s="30" t="s">
        <v>97</v>
      </c>
      <c r="AB371" s="28" t="s">
        <v>93</v>
      </c>
      <c r="AC371" s="28" t="s">
        <v>101</v>
      </c>
      <c r="AD371" s="28" t="s">
        <v>106</v>
      </c>
      <c r="AE371" s="28" t="s">
        <v>112</v>
      </c>
      <c r="AF371" s="28" t="s">
        <v>116</v>
      </c>
      <c r="AG371" s="30" t="s">
        <v>122</v>
      </c>
    </row>
    <row r="372" customFormat="false" ht="15" hidden="false" customHeight="false" outlineLevel="0" collapsed="false">
      <c r="A372" s="10" t="n">
        <v>2025</v>
      </c>
      <c r="B372" s="28" t="s">
        <v>63</v>
      </c>
      <c r="C372" s="29" t="n">
        <v>45660</v>
      </c>
      <c r="D372" s="30" t="s">
        <v>129</v>
      </c>
      <c r="E372" s="28" t="s">
        <v>289</v>
      </c>
      <c r="F372" s="30" t="s">
        <v>290</v>
      </c>
      <c r="G372" s="31" t="n">
        <v>31181</v>
      </c>
      <c r="H372" s="31" t="n">
        <v>3</v>
      </c>
      <c r="I372" s="31" t="n">
        <v>93543</v>
      </c>
      <c r="J372" s="29" t="n">
        <v>45666</v>
      </c>
      <c r="K372" s="31" t="n">
        <v>29670</v>
      </c>
      <c r="L372" s="30" t="s">
        <v>32</v>
      </c>
      <c r="M372" s="10" t="n">
        <v>4</v>
      </c>
      <c r="N372" s="12" t="n">
        <v>-4693</v>
      </c>
      <c r="O372" s="13" t="n">
        <v>-0.0501740047272151</v>
      </c>
      <c r="P372" s="15" t="n">
        <v>0.0519175848228819</v>
      </c>
      <c r="Q372" s="13" t="n">
        <v>-0.0507085210134969</v>
      </c>
      <c r="R372" s="15" t="n">
        <v>0.0470588235294118</v>
      </c>
      <c r="S372" s="32" t="n">
        <v>21121132900</v>
      </c>
      <c r="T372" s="15" t="n">
        <v>0.0348837209302326</v>
      </c>
      <c r="U372" s="32" t="n">
        <v>21188193127.5</v>
      </c>
      <c r="V372" s="14" t="n">
        <v>0.916349395456526</v>
      </c>
      <c r="W372" s="13" t="n">
        <v>0.0348837209302326</v>
      </c>
      <c r="X372" s="15" t="n">
        <v>0.00802568218298561</v>
      </c>
      <c r="Y372" s="13" t="n">
        <v>0.0179162463421345</v>
      </c>
      <c r="Z372" s="13" t="n">
        <v>0.000573648238900049</v>
      </c>
      <c r="AA372" s="30" t="s">
        <v>97</v>
      </c>
      <c r="AB372" s="28" t="s">
        <v>93</v>
      </c>
      <c r="AC372" s="28" t="s">
        <v>100</v>
      </c>
      <c r="AD372" s="28" t="s">
        <v>106</v>
      </c>
      <c r="AE372" s="28" t="s">
        <v>113</v>
      </c>
      <c r="AF372" s="28" t="s">
        <v>116</v>
      </c>
      <c r="AG372" s="30" t="s">
        <v>122</v>
      </c>
    </row>
    <row r="373" customFormat="false" ht="15" hidden="false" customHeight="false" outlineLevel="0" collapsed="false">
      <c r="A373" s="10" t="n">
        <v>2025</v>
      </c>
      <c r="B373" s="28" t="s">
        <v>63</v>
      </c>
      <c r="C373" s="29" t="n">
        <v>45663</v>
      </c>
      <c r="D373" s="30" t="s">
        <v>125</v>
      </c>
      <c r="E373" s="28" t="s">
        <v>1377</v>
      </c>
      <c r="F373" s="30" t="s">
        <v>1378</v>
      </c>
      <c r="G373" s="31" t="n">
        <v>9940</v>
      </c>
      <c r="H373" s="31" t="n">
        <v>10</v>
      </c>
      <c r="I373" s="31" t="n">
        <v>99399</v>
      </c>
      <c r="J373" s="29" t="n">
        <v>45670</v>
      </c>
      <c r="K373" s="31" t="n">
        <v>9461</v>
      </c>
      <c r="L373" s="30" t="s">
        <v>32</v>
      </c>
      <c r="M373" s="10" t="n">
        <v>5</v>
      </c>
      <c r="N373" s="12" t="n">
        <v>-4965</v>
      </c>
      <c r="O373" s="13" t="n">
        <v>-0.0499501368721911</v>
      </c>
      <c r="P373" s="15" t="n">
        <v>0.0940720910509432</v>
      </c>
      <c r="Q373" s="13" t="n">
        <v>-0.0553253393132546</v>
      </c>
      <c r="R373" s="15" t="n">
        <v>0.166862514688602</v>
      </c>
      <c r="S373" s="32" t="n">
        <v>87201629592</v>
      </c>
      <c r="T373" s="15" t="n">
        <v>0.0597652081109925</v>
      </c>
      <c r="U373" s="32" t="n">
        <v>3666284230.3</v>
      </c>
      <c r="V373" s="14" t="n">
        <v>21.0616991733143</v>
      </c>
      <c r="W373" s="13" t="n">
        <v>0.147976878612717</v>
      </c>
      <c r="X373" s="15" t="n">
        <v>0.0674723061430009</v>
      </c>
      <c r="Y373" s="13" t="n">
        <v>0.0191324859127244</v>
      </c>
      <c r="Z373" s="13" t="n">
        <v>0.0242707857445661</v>
      </c>
      <c r="AA373" s="30" t="s">
        <v>97</v>
      </c>
      <c r="AB373" s="28" t="s">
        <v>93</v>
      </c>
      <c r="AC373" s="28" t="s">
        <v>103</v>
      </c>
      <c r="AD373" s="28" t="s">
        <v>108</v>
      </c>
      <c r="AE373" s="28" t="s">
        <v>101</v>
      </c>
      <c r="AF373" s="28" t="s">
        <v>120</v>
      </c>
      <c r="AG373" s="30" t="s">
        <v>122</v>
      </c>
    </row>
    <row r="374" customFormat="false" ht="15" hidden="false" customHeight="false" outlineLevel="0" collapsed="false">
      <c r="A374" s="10" t="n">
        <v>2025</v>
      </c>
      <c r="B374" s="28" t="s">
        <v>63</v>
      </c>
      <c r="C374" s="29" t="n">
        <v>45663</v>
      </c>
      <c r="D374" s="30" t="s">
        <v>125</v>
      </c>
      <c r="E374" s="28" t="s">
        <v>847</v>
      </c>
      <c r="F374" s="30" t="s">
        <v>848</v>
      </c>
      <c r="G374" s="31" t="n">
        <v>1930</v>
      </c>
      <c r="H374" s="31" t="n">
        <v>51</v>
      </c>
      <c r="I374" s="31" t="n">
        <v>98435</v>
      </c>
      <c r="J374" s="29" t="n">
        <v>45664</v>
      </c>
      <c r="K374" s="31" t="n">
        <v>1837</v>
      </c>
      <c r="L374" s="30" t="s">
        <v>32</v>
      </c>
      <c r="M374" s="10" t="n">
        <v>1</v>
      </c>
      <c r="N374" s="12" t="n">
        <v>-4910</v>
      </c>
      <c r="O374" s="13" t="n">
        <v>-0.0498757617112316</v>
      </c>
      <c r="P374" s="15" t="n">
        <v>0.0568776311849362</v>
      </c>
      <c r="Q374" s="13" t="n">
        <v>-0.0654182089950351</v>
      </c>
      <c r="R374" s="15" t="n">
        <v>0.225308641975309</v>
      </c>
      <c r="S374" s="32" t="n">
        <v>57836010065</v>
      </c>
      <c r="T374" s="15" t="n">
        <v>0.156759906759907</v>
      </c>
      <c r="U374" s="32" t="n">
        <v>3197947482.65</v>
      </c>
      <c r="V374" s="14" t="n">
        <v>15.2434837592042</v>
      </c>
      <c r="W374" s="13" t="n">
        <v>0.226065472513898</v>
      </c>
      <c r="X374" s="15" t="n">
        <v>0.0604534005037785</v>
      </c>
      <c r="Y374" s="13" t="n">
        <v>0.0191324859127244</v>
      </c>
      <c r="Z374" s="13" t="n">
        <v>0.0242707857445661</v>
      </c>
      <c r="AA374" s="30" t="s">
        <v>97</v>
      </c>
      <c r="AB374" s="28" t="s">
        <v>93</v>
      </c>
      <c r="AC374" s="28" t="s">
        <v>104</v>
      </c>
      <c r="AD374" s="28" t="s">
        <v>108</v>
      </c>
      <c r="AE374" s="28" t="s">
        <v>114</v>
      </c>
      <c r="AF374" s="28" t="s">
        <v>120</v>
      </c>
      <c r="AG374" s="30" t="s">
        <v>122</v>
      </c>
    </row>
    <row r="375" customFormat="false" ht="15" hidden="false" customHeight="false" outlineLevel="0" collapsed="false">
      <c r="A375" s="10" t="n">
        <v>2025</v>
      </c>
      <c r="B375" s="28" t="s">
        <v>63</v>
      </c>
      <c r="C375" s="29" t="n">
        <v>45663</v>
      </c>
      <c r="D375" s="30" t="s">
        <v>125</v>
      </c>
      <c r="E375" s="28" t="s">
        <v>225</v>
      </c>
      <c r="F375" s="30" t="s">
        <v>226</v>
      </c>
      <c r="G375" s="31" t="n">
        <v>52352</v>
      </c>
      <c r="H375" s="31" t="n">
        <v>1</v>
      </c>
      <c r="I375" s="31" t="n">
        <v>52352</v>
      </c>
      <c r="J375" s="29" t="n">
        <v>45694</v>
      </c>
      <c r="K375" s="31" t="n">
        <v>62900</v>
      </c>
      <c r="L375" s="30" t="s">
        <v>31</v>
      </c>
      <c r="M375" s="10" t="n">
        <v>19</v>
      </c>
      <c r="N375" s="12" t="n">
        <v>10436</v>
      </c>
      <c r="O375" s="13" t="n">
        <v>0.199342954464274</v>
      </c>
      <c r="P375" s="15" t="n">
        <v>0.394399099944033</v>
      </c>
      <c r="Q375" s="13" t="n">
        <v>-0.0296510372992208</v>
      </c>
      <c r="R375" s="15" t="n">
        <v>0.00576923076923075</v>
      </c>
      <c r="S375" s="32" t="n">
        <v>47940847300</v>
      </c>
      <c r="T375" s="15" t="n">
        <v>0.00383877159309032</v>
      </c>
      <c r="U375" s="32" t="n">
        <v>68255992500</v>
      </c>
      <c r="V375" s="14" t="n">
        <v>0.652350553511706</v>
      </c>
      <c r="W375" s="13" t="n">
        <v>0.00383877159309032</v>
      </c>
      <c r="X375" s="15" t="n">
        <v>0.0172084130019121</v>
      </c>
      <c r="Y375" s="13" t="n">
        <v>0.0191324859127244</v>
      </c>
      <c r="Z375" s="13" t="n">
        <v>0.0242707857445661</v>
      </c>
      <c r="AA375" s="30" t="s">
        <v>97</v>
      </c>
      <c r="AB375" s="28" t="s">
        <v>93</v>
      </c>
      <c r="AC375" s="28" t="s">
        <v>99</v>
      </c>
      <c r="AD375" s="28" t="s">
        <v>107</v>
      </c>
      <c r="AE375" s="28" t="s">
        <v>112</v>
      </c>
      <c r="AF375" s="28" t="s">
        <v>116</v>
      </c>
      <c r="AG375" s="30" t="s">
        <v>122</v>
      </c>
    </row>
    <row r="376" customFormat="false" ht="15" hidden="false" customHeight="false" outlineLevel="0" collapsed="false">
      <c r="A376" s="10" t="n">
        <v>2025</v>
      </c>
      <c r="B376" s="28" t="s">
        <v>63</v>
      </c>
      <c r="C376" s="29" t="n">
        <v>45663</v>
      </c>
      <c r="D376" s="30" t="s">
        <v>125</v>
      </c>
      <c r="E376" s="28" t="s">
        <v>807</v>
      </c>
      <c r="F376" s="30" t="s">
        <v>808</v>
      </c>
      <c r="G376" s="31" t="n">
        <v>15956</v>
      </c>
      <c r="H376" s="31" t="n">
        <v>6</v>
      </c>
      <c r="I376" s="31" t="n">
        <v>95736</v>
      </c>
      <c r="J376" s="29" t="n">
        <v>45665</v>
      </c>
      <c r="K376" s="31" t="n">
        <v>15185</v>
      </c>
      <c r="L376" s="30" t="s">
        <v>32</v>
      </c>
      <c r="M376" s="10" t="n">
        <v>2</v>
      </c>
      <c r="N376" s="12" t="n">
        <v>-4792</v>
      </c>
      <c r="O376" s="13" t="n">
        <v>-0.0500495935056162</v>
      </c>
      <c r="P376" s="15" t="n">
        <v>0.0535261476290336</v>
      </c>
      <c r="Q376" s="13" t="n">
        <v>-0.0649250373215241</v>
      </c>
      <c r="R376" s="15" t="n">
        <v>0.0741239892183288</v>
      </c>
      <c r="S376" s="32" t="n">
        <v>42878966620</v>
      </c>
      <c r="T376" s="15" t="n">
        <v>0.0178799489144317</v>
      </c>
      <c r="U376" s="32" t="n">
        <v>33791273712</v>
      </c>
      <c r="V376" s="14" t="n">
        <v>1.1538390352118</v>
      </c>
      <c r="W376" s="13" t="n">
        <v>0.0411495754408884</v>
      </c>
      <c r="X376" s="15" t="n">
        <v>0.0112923462986199</v>
      </c>
      <c r="Y376" s="13" t="n">
        <v>0.0191324859127244</v>
      </c>
      <c r="Z376" s="13" t="n">
        <v>0.0242707857445661</v>
      </c>
      <c r="AA376" s="30" t="s">
        <v>97</v>
      </c>
      <c r="AB376" s="28" t="s">
        <v>93</v>
      </c>
      <c r="AC376" s="28" t="s">
        <v>101</v>
      </c>
      <c r="AD376" s="28" t="s">
        <v>107</v>
      </c>
      <c r="AE376" s="28" t="s">
        <v>112</v>
      </c>
      <c r="AF376" s="28" t="s">
        <v>116</v>
      </c>
      <c r="AG376" s="30" t="s">
        <v>122</v>
      </c>
    </row>
    <row r="377" customFormat="false" ht="15" hidden="false" customHeight="false" outlineLevel="0" collapsed="false">
      <c r="A377" s="10" t="n">
        <v>2025</v>
      </c>
      <c r="B377" s="28" t="s">
        <v>63</v>
      </c>
      <c r="C377" s="29" t="n">
        <v>45663</v>
      </c>
      <c r="D377" s="30" t="s">
        <v>125</v>
      </c>
      <c r="E377" s="28" t="s">
        <v>753</v>
      </c>
      <c r="F377" s="28" t="s">
        <v>754</v>
      </c>
      <c r="G377" s="31" t="n">
        <v>93193</v>
      </c>
      <c r="H377" s="31" t="n">
        <v>1</v>
      </c>
      <c r="I377" s="31" t="n">
        <v>93193</v>
      </c>
      <c r="J377" s="29" t="n">
        <v>45671</v>
      </c>
      <c r="K377" s="31" t="n">
        <v>88711</v>
      </c>
      <c r="L377" s="30" t="s">
        <v>32</v>
      </c>
      <c r="M377" s="10" t="n">
        <v>6</v>
      </c>
      <c r="N377" s="12" t="n">
        <v>-4642</v>
      </c>
      <c r="O377" s="13" t="n">
        <v>-0.049813263481953</v>
      </c>
      <c r="P377" s="15" t="n">
        <v>0.0547991213941805</v>
      </c>
      <c r="Q377" s="13" t="n">
        <v>-0.047139756054901</v>
      </c>
      <c r="R377" s="15" t="n">
        <v>0.103080568720379</v>
      </c>
      <c r="S377" s="32" t="n">
        <v>42091813400</v>
      </c>
      <c r="T377" s="15" t="n">
        <v>0.0725806451612903</v>
      </c>
      <c r="U377" s="32" t="n">
        <v>20174618095</v>
      </c>
      <c r="V377" s="14" t="n">
        <v>1.81610470658224</v>
      </c>
      <c r="W377" s="13" t="n">
        <v>0.0825581395348838</v>
      </c>
      <c r="X377" s="15" t="n">
        <v>0.0193340494092373</v>
      </c>
      <c r="Y377" s="13" t="n">
        <v>0.0191324859127244</v>
      </c>
      <c r="Z377" s="13" t="n">
        <v>0.0242707857445661</v>
      </c>
      <c r="AA377" s="30" t="s">
        <v>97</v>
      </c>
      <c r="AB377" s="28" t="s">
        <v>93</v>
      </c>
      <c r="AC377" s="28" t="s">
        <v>102</v>
      </c>
      <c r="AD377" s="28" t="s">
        <v>107</v>
      </c>
      <c r="AE377" s="28" t="s">
        <v>101</v>
      </c>
      <c r="AF377" s="28" t="s">
        <v>116</v>
      </c>
      <c r="AG377" s="30" t="s">
        <v>122</v>
      </c>
    </row>
    <row r="378" customFormat="false" ht="15" hidden="false" customHeight="false" outlineLevel="0" collapsed="false">
      <c r="A378" s="10" t="n">
        <v>2025</v>
      </c>
      <c r="B378" s="28" t="s">
        <v>63</v>
      </c>
      <c r="C378" s="29" t="n">
        <v>45663</v>
      </c>
      <c r="D378" s="30" t="s">
        <v>125</v>
      </c>
      <c r="E378" s="28" t="s">
        <v>385</v>
      </c>
      <c r="F378" s="28" t="s">
        <v>386</v>
      </c>
      <c r="G378" s="31" t="n">
        <v>18919</v>
      </c>
      <c r="H378" s="31" t="n">
        <v>5</v>
      </c>
      <c r="I378" s="31" t="n">
        <v>94594</v>
      </c>
      <c r="J378" s="29" t="n">
        <v>45677</v>
      </c>
      <c r="K378" s="31" t="n">
        <v>18002</v>
      </c>
      <c r="L378" s="30" t="s">
        <v>32</v>
      </c>
      <c r="M378" s="10" t="n">
        <v>10</v>
      </c>
      <c r="N378" s="12" t="n">
        <v>-4747</v>
      </c>
      <c r="O378" s="13" t="n">
        <v>-0.0501858512915655</v>
      </c>
      <c r="P378" s="15" t="n">
        <v>0.0534439105867679</v>
      </c>
      <c r="Q378" s="13" t="n">
        <v>-0.0485704771419057</v>
      </c>
      <c r="R378" s="15" t="n">
        <v>0.0288513881328252</v>
      </c>
      <c r="S378" s="32" t="n">
        <v>39094404300</v>
      </c>
      <c r="T378" s="15" t="n">
        <v>0.00531914893617014</v>
      </c>
      <c r="U378" s="32" t="n">
        <v>19973130276.5</v>
      </c>
      <c r="V378" s="14" t="n">
        <v>1.88836665710533</v>
      </c>
      <c r="W378" s="13" t="n">
        <v>0.0216216216216216</v>
      </c>
      <c r="X378" s="15" t="n">
        <v>0.00529100529100535</v>
      </c>
      <c r="Y378" s="13" t="n">
        <v>0.0191324859127244</v>
      </c>
      <c r="Z378" s="13" t="n">
        <v>0.0242707857445661</v>
      </c>
      <c r="AA378" s="30" t="s">
        <v>97</v>
      </c>
      <c r="AB378" s="28" t="s">
        <v>93</v>
      </c>
      <c r="AC378" s="28" t="s">
        <v>99</v>
      </c>
      <c r="AD378" s="28" t="s">
        <v>107</v>
      </c>
      <c r="AE378" s="28" t="s">
        <v>112</v>
      </c>
      <c r="AF378" s="28" t="s">
        <v>116</v>
      </c>
      <c r="AG378" s="30" t="s">
        <v>122</v>
      </c>
    </row>
    <row r="379" customFormat="false" ht="15" hidden="false" customHeight="false" outlineLevel="0" collapsed="false">
      <c r="A379" s="10" t="n">
        <v>2025</v>
      </c>
      <c r="B379" s="28" t="s">
        <v>63</v>
      </c>
      <c r="C379" s="29" t="n">
        <v>45663</v>
      </c>
      <c r="D379" s="30" t="s">
        <v>125</v>
      </c>
      <c r="E379" s="28" t="s">
        <v>713</v>
      </c>
      <c r="F379" s="30" t="s">
        <v>714</v>
      </c>
      <c r="G379" s="31" t="n">
        <v>11111</v>
      </c>
      <c r="H379" s="31" t="n">
        <v>8</v>
      </c>
      <c r="I379" s="31" t="n">
        <v>88889</v>
      </c>
      <c r="J379" s="29" t="n">
        <v>45665</v>
      </c>
      <c r="K379" s="31" t="n">
        <v>10569</v>
      </c>
      <c r="L379" s="30" t="s">
        <v>32</v>
      </c>
      <c r="M379" s="10" t="n">
        <v>2</v>
      </c>
      <c r="N379" s="12" t="n">
        <v>-4486</v>
      </c>
      <c r="O379" s="13" t="n">
        <v>-0.050470809190809</v>
      </c>
      <c r="P379" s="15" t="n">
        <v>0.0665010665010666</v>
      </c>
      <c r="Q379" s="13" t="n">
        <v>-0.0549990549990549</v>
      </c>
      <c r="R379" s="15" t="n">
        <v>0.13265306122449</v>
      </c>
      <c r="S379" s="32" t="n">
        <v>38299639800</v>
      </c>
      <c r="T379" s="15" t="n">
        <v>0.108891108891109</v>
      </c>
      <c r="U379" s="32" t="n">
        <v>3928932276</v>
      </c>
      <c r="V379" s="14" t="n">
        <v>8.25031039526753</v>
      </c>
      <c r="W379" s="13" t="n">
        <v>0.124620060790274</v>
      </c>
      <c r="X379" s="15" t="n">
        <v>0.0171171171171172</v>
      </c>
      <c r="Y379" s="13" t="n">
        <v>0.0191324859127244</v>
      </c>
      <c r="Z379" s="13" t="n">
        <v>0.0242707857445661</v>
      </c>
      <c r="AA379" s="30" t="s">
        <v>97</v>
      </c>
      <c r="AB379" s="28" t="s">
        <v>93</v>
      </c>
      <c r="AC379" s="28" t="s">
        <v>102</v>
      </c>
      <c r="AD379" s="28" t="s">
        <v>107</v>
      </c>
      <c r="AE379" s="28" t="s">
        <v>114</v>
      </c>
      <c r="AF379" s="28" t="s">
        <v>119</v>
      </c>
      <c r="AG379" s="30" t="s">
        <v>122</v>
      </c>
    </row>
    <row r="380" customFormat="false" ht="15" hidden="false" customHeight="false" outlineLevel="0" collapsed="false">
      <c r="A380" s="10" t="n">
        <v>2025</v>
      </c>
      <c r="B380" s="28" t="s">
        <v>63</v>
      </c>
      <c r="C380" s="29" t="n">
        <v>45663</v>
      </c>
      <c r="D380" s="30" t="s">
        <v>125</v>
      </c>
      <c r="E380" s="28" t="s">
        <v>1379</v>
      </c>
      <c r="F380" s="30" t="s">
        <v>1380</v>
      </c>
      <c r="G380" s="31" t="n">
        <v>7107</v>
      </c>
      <c r="H380" s="31" t="n">
        <v>14</v>
      </c>
      <c r="I380" s="31" t="n">
        <v>99499</v>
      </c>
      <c r="J380" s="29" t="n">
        <v>45670</v>
      </c>
      <c r="K380" s="31" t="n">
        <v>6763</v>
      </c>
      <c r="L380" s="30" t="s">
        <v>32</v>
      </c>
      <c r="M380" s="10" t="n">
        <v>5</v>
      </c>
      <c r="N380" s="12" t="n">
        <v>-4985</v>
      </c>
      <c r="O380" s="13" t="n">
        <v>-0.0501041767387542</v>
      </c>
      <c r="P380" s="15" t="n">
        <v>0.0341770905151189</v>
      </c>
      <c r="Q380" s="13" t="n">
        <v>-0.079793445990629</v>
      </c>
      <c r="R380" s="15" t="n">
        <v>0.123417721518987</v>
      </c>
      <c r="S380" s="32" t="n">
        <v>20052061400</v>
      </c>
      <c r="T380" s="15" t="n">
        <v>0.0230547550432276</v>
      </c>
      <c r="U380" s="32" t="n">
        <v>3218842891.5</v>
      </c>
      <c r="V380" s="14" t="n">
        <v>5.5331163567526</v>
      </c>
      <c r="W380" s="13" t="n">
        <v>0.109375</v>
      </c>
      <c r="X380" s="15" t="n">
        <v>0.0830985915492957</v>
      </c>
      <c r="Y380" s="13" t="n">
        <v>0.0191324859127244</v>
      </c>
      <c r="Z380" s="13" t="n">
        <v>0.0242707857445661</v>
      </c>
      <c r="AA380" s="30" t="s">
        <v>97</v>
      </c>
      <c r="AB380" s="28" t="s">
        <v>93</v>
      </c>
      <c r="AC380" s="28" t="s">
        <v>102</v>
      </c>
      <c r="AD380" s="28" t="s">
        <v>106</v>
      </c>
      <c r="AE380" s="28" t="s">
        <v>113</v>
      </c>
      <c r="AF380" s="28" t="s">
        <v>119</v>
      </c>
      <c r="AG380" s="30" t="s">
        <v>122</v>
      </c>
    </row>
    <row r="381" customFormat="false" ht="15" hidden="false" customHeight="false" outlineLevel="0" collapsed="false">
      <c r="A381" s="10" t="n">
        <v>2025</v>
      </c>
      <c r="B381" s="28" t="s">
        <v>63</v>
      </c>
      <c r="C381" s="29" t="n">
        <v>45664</v>
      </c>
      <c r="D381" s="30" t="s">
        <v>126</v>
      </c>
      <c r="E381" s="28" t="s">
        <v>477</v>
      </c>
      <c r="F381" s="30" t="s">
        <v>478</v>
      </c>
      <c r="G381" s="31" t="n">
        <v>18999</v>
      </c>
      <c r="H381" s="31" t="n">
        <v>5</v>
      </c>
      <c r="I381" s="31" t="n">
        <v>94995</v>
      </c>
      <c r="J381" s="29" t="n">
        <v>45677</v>
      </c>
      <c r="K381" s="31" t="n">
        <v>22800</v>
      </c>
      <c r="L381" s="30" t="s">
        <v>31</v>
      </c>
      <c r="M381" s="10" t="n">
        <v>9</v>
      </c>
      <c r="N381" s="12" t="n">
        <v>18803</v>
      </c>
      <c r="O381" s="13" t="n">
        <v>0.197934318210767</v>
      </c>
      <c r="P381" s="15" t="n">
        <v>0.205327864969593</v>
      </c>
      <c r="Q381" s="13" t="n">
        <v>-0.0341586758868108</v>
      </c>
      <c r="R381" s="15" t="n">
        <v>0.0187869028448739</v>
      </c>
      <c r="S381" s="32" t="n">
        <v>87151225200</v>
      </c>
      <c r="T381" s="15" t="n">
        <v>0.0155163188871055</v>
      </c>
      <c r="U381" s="32" t="n">
        <v>108948556690.5</v>
      </c>
      <c r="V381" s="14" t="n">
        <v>0.7497470134087</v>
      </c>
      <c r="W381" s="13" t="n">
        <v>0.00423280423280414</v>
      </c>
      <c r="X381" s="15" t="n">
        <v>0.00526870389884082</v>
      </c>
      <c r="Y381" s="13" t="n">
        <v>0.00139031760318886</v>
      </c>
      <c r="Z381" s="13" t="n">
        <v>0.0363153232949514</v>
      </c>
      <c r="AA381" s="30" t="s">
        <v>97</v>
      </c>
      <c r="AB381" s="28" t="s">
        <v>93</v>
      </c>
      <c r="AC381" s="28" t="s">
        <v>99</v>
      </c>
      <c r="AD381" s="28" t="s">
        <v>108</v>
      </c>
      <c r="AE381" s="28" t="s">
        <v>112</v>
      </c>
      <c r="AF381" s="28" t="s">
        <v>116</v>
      </c>
      <c r="AG381" s="30" t="s">
        <v>122</v>
      </c>
    </row>
    <row r="382" customFormat="false" ht="15" hidden="false" customHeight="false" outlineLevel="0" collapsed="false">
      <c r="A382" s="10" t="n">
        <v>2025</v>
      </c>
      <c r="B382" s="28" t="s">
        <v>63</v>
      </c>
      <c r="C382" s="29" t="n">
        <v>45664</v>
      </c>
      <c r="D382" s="30" t="s">
        <v>126</v>
      </c>
      <c r="E382" s="28" t="s">
        <v>249</v>
      </c>
      <c r="F382" s="30" t="s">
        <v>250</v>
      </c>
      <c r="G382" s="31" t="n">
        <v>36687</v>
      </c>
      <c r="H382" s="31" t="n">
        <v>2</v>
      </c>
      <c r="I382" s="31" t="n">
        <v>73373</v>
      </c>
      <c r="J382" s="29" t="n">
        <v>45672</v>
      </c>
      <c r="K382" s="31" t="n">
        <v>34915</v>
      </c>
      <c r="L382" s="30" t="s">
        <v>32</v>
      </c>
      <c r="M382" s="10" t="n">
        <v>6</v>
      </c>
      <c r="N382" s="12" t="n">
        <v>-3669</v>
      </c>
      <c r="O382" s="13" t="n">
        <v>-0.050010366986356</v>
      </c>
      <c r="P382" s="15" t="n">
        <v>-0.00508768175889574</v>
      </c>
      <c r="Q382" s="13" t="n">
        <v>-0.0677807867439517</v>
      </c>
      <c r="R382" s="15" t="n">
        <v>0.0397163120567377</v>
      </c>
      <c r="S382" s="32" t="n">
        <v>33095792950</v>
      </c>
      <c r="T382" s="15" t="n">
        <v>0.0194714881780251</v>
      </c>
      <c r="U382" s="32" t="n">
        <v>40581921327.5</v>
      </c>
      <c r="V382" s="14" t="n">
        <v>0.753042751016092</v>
      </c>
      <c r="W382" s="13" t="n">
        <v>0.0353107344632768</v>
      </c>
      <c r="X382" s="15" t="n">
        <v>0.00409276944065495</v>
      </c>
      <c r="Y382" s="13" t="n">
        <v>0.00139031760318886</v>
      </c>
      <c r="Z382" s="13" t="n">
        <v>0.0363153232949514</v>
      </c>
      <c r="AA382" s="30" t="s">
        <v>97</v>
      </c>
      <c r="AB382" s="28" t="s">
        <v>93</v>
      </c>
      <c r="AC382" s="28" t="s">
        <v>100</v>
      </c>
      <c r="AD382" s="28" t="s">
        <v>107</v>
      </c>
      <c r="AE382" s="28" t="s">
        <v>112</v>
      </c>
      <c r="AF382" s="28" t="s">
        <v>116</v>
      </c>
      <c r="AG382" s="30" t="s">
        <v>122</v>
      </c>
    </row>
    <row r="383" customFormat="false" ht="15" hidden="false" customHeight="false" outlineLevel="0" collapsed="false">
      <c r="A383" s="10" t="n">
        <v>2025</v>
      </c>
      <c r="B383" s="28" t="s">
        <v>63</v>
      </c>
      <c r="C383" s="29" t="n">
        <v>45664</v>
      </c>
      <c r="D383" s="30" t="s">
        <v>126</v>
      </c>
      <c r="E383" s="28" t="s">
        <v>951</v>
      </c>
      <c r="F383" s="30" t="s">
        <v>952</v>
      </c>
      <c r="G383" s="31" t="n">
        <v>14424</v>
      </c>
      <c r="H383" s="31" t="n">
        <v>6</v>
      </c>
      <c r="I383" s="31" t="n">
        <v>86546</v>
      </c>
      <c r="J383" s="29" t="n">
        <v>45667</v>
      </c>
      <c r="K383" s="31" t="n">
        <v>17310</v>
      </c>
      <c r="L383" s="30" t="s">
        <v>31</v>
      </c>
      <c r="M383" s="10" t="n">
        <v>3</v>
      </c>
      <c r="N383" s="12" t="n">
        <v>17129</v>
      </c>
      <c r="O383" s="13" t="n">
        <v>0.197919002475665</v>
      </c>
      <c r="P383" s="15" t="n">
        <v>0.279081778734798</v>
      </c>
      <c r="Q383" s="13" t="n">
        <v>-0.0190240016749383</v>
      </c>
      <c r="R383" s="15" t="n">
        <v>0.054904831625183</v>
      </c>
      <c r="S383" s="32" t="n">
        <v>26984353330</v>
      </c>
      <c r="T383" s="15" t="n">
        <v>0.0307582260371959</v>
      </c>
      <c r="U383" s="32" t="n">
        <v>6695883300.5</v>
      </c>
      <c r="V383" s="14" t="n">
        <v>3.70098918654993</v>
      </c>
      <c r="W383" s="13" t="n">
        <v>0.0404332129963898</v>
      </c>
      <c r="X383" s="15" t="n">
        <v>0.0395558639833449</v>
      </c>
      <c r="Y383" s="13" t="n">
        <v>0.00139031760318886</v>
      </c>
      <c r="Z383" s="13" t="n">
        <v>0.0363153232949514</v>
      </c>
      <c r="AA383" s="30" t="s">
        <v>97</v>
      </c>
      <c r="AB383" s="28" t="s">
        <v>93</v>
      </c>
      <c r="AC383" s="28" t="s">
        <v>101</v>
      </c>
      <c r="AD383" s="28" t="s">
        <v>106</v>
      </c>
      <c r="AE383" s="28" t="s">
        <v>113</v>
      </c>
      <c r="AF383" s="28" t="s">
        <v>118</v>
      </c>
      <c r="AG383" s="30" t="s">
        <v>122</v>
      </c>
    </row>
    <row r="384" customFormat="false" ht="15" hidden="false" customHeight="false" outlineLevel="0" collapsed="false">
      <c r="A384" s="10" t="n">
        <v>2025</v>
      </c>
      <c r="B384" s="28" t="s">
        <v>63</v>
      </c>
      <c r="C384" s="29" t="n">
        <v>45664</v>
      </c>
      <c r="D384" s="30" t="s">
        <v>126</v>
      </c>
      <c r="E384" s="28" t="s">
        <v>851</v>
      </c>
      <c r="F384" s="30" t="s">
        <v>852</v>
      </c>
      <c r="G384" s="31" t="n">
        <v>4108</v>
      </c>
      <c r="H384" s="31" t="n">
        <v>24</v>
      </c>
      <c r="I384" s="31" t="n">
        <v>98593</v>
      </c>
      <c r="J384" s="29" t="n">
        <v>45666</v>
      </c>
      <c r="K384" s="31" t="n">
        <v>3906</v>
      </c>
      <c r="L384" s="30" t="s">
        <v>32</v>
      </c>
      <c r="M384" s="10" t="n">
        <v>2</v>
      </c>
      <c r="N384" s="12" t="n">
        <v>-5016</v>
      </c>
      <c r="O384" s="13" t="n">
        <v>-0.0508802295126421</v>
      </c>
      <c r="P384" s="15" t="n">
        <v>0.0408617430134983</v>
      </c>
      <c r="Q384" s="13" t="n">
        <v>-0.0507793452300813</v>
      </c>
      <c r="R384" s="15" t="n">
        <v>0.0703030303030303</v>
      </c>
      <c r="S384" s="32" t="n">
        <v>24367625615</v>
      </c>
      <c r="T384" s="15" t="n">
        <v>0.0412735849056605</v>
      </c>
      <c r="U384" s="32" t="n">
        <v>3952528614.25</v>
      </c>
      <c r="V384" s="14" t="n">
        <v>5.71688572683668</v>
      </c>
      <c r="W384" s="13" t="n">
        <v>0.0651387213510255</v>
      </c>
      <c r="X384" s="15" t="n">
        <v>0</v>
      </c>
      <c r="Y384" s="13" t="n">
        <v>0.00139031760318886</v>
      </c>
      <c r="Z384" s="13" t="n">
        <v>0.0363153232949514</v>
      </c>
      <c r="AA384" s="30" t="s">
        <v>97</v>
      </c>
      <c r="AB384" s="28" t="s">
        <v>93</v>
      </c>
      <c r="AC384" s="28" t="s">
        <v>101</v>
      </c>
      <c r="AD384" s="28" t="s">
        <v>106</v>
      </c>
      <c r="AE384" s="28" t="s">
        <v>113</v>
      </c>
      <c r="AF384" s="28" t="s">
        <v>119</v>
      </c>
      <c r="AG384" s="30" t="s">
        <v>122</v>
      </c>
    </row>
    <row r="385" customFormat="false" ht="15" hidden="false" customHeight="false" outlineLevel="0" collapsed="false">
      <c r="A385" s="10" t="n">
        <v>2025</v>
      </c>
      <c r="B385" s="28" t="s">
        <v>63</v>
      </c>
      <c r="C385" s="29" t="n">
        <v>45667</v>
      </c>
      <c r="D385" s="30" t="s">
        <v>129</v>
      </c>
      <c r="E385" s="28" t="s">
        <v>717</v>
      </c>
      <c r="F385" s="30" t="s">
        <v>718</v>
      </c>
      <c r="G385" s="31" t="n">
        <v>26677</v>
      </c>
      <c r="H385" s="31" t="n">
        <v>3</v>
      </c>
      <c r="I385" s="31" t="n">
        <v>80030</v>
      </c>
      <c r="J385" s="29" t="n">
        <v>45695</v>
      </c>
      <c r="K385" s="31" t="n">
        <v>32050</v>
      </c>
      <c r="L385" s="30" t="s">
        <v>31</v>
      </c>
      <c r="M385" s="10" t="n">
        <v>16</v>
      </c>
      <c r="N385" s="12" t="n">
        <v>15949</v>
      </c>
      <c r="O385" s="13" t="n">
        <v>0.19929286482748</v>
      </c>
      <c r="P385" s="15" t="n">
        <v>0.229539691078153</v>
      </c>
      <c r="Q385" s="13" t="n">
        <v>-0.0347363705712673</v>
      </c>
      <c r="R385" s="15" t="n">
        <v>0.0533596837944663</v>
      </c>
      <c r="S385" s="32" t="n">
        <v>25357395050</v>
      </c>
      <c r="T385" s="15" t="n">
        <v>0.0171755725190839</v>
      </c>
      <c r="U385" s="32" t="n">
        <v>9646877130</v>
      </c>
      <c r="V385" s="14" t="n">
        <v>2.53683420223178</v>
      </c>
      <c r="W385" s="13" t="n">
        <v>0.0512820512820513</v>
      </c>
      <c r="X385" s="15" t="n">
        <v>0.00187617260787998</v>
      </c>
      <c r="Y385" s="13" t="n">
        <v>-0.00242674174233704</v>
      </c>
      <c r="Z385" s="13" t="n">
        <v>0.0302466911282926</v>
      </c>
      <c r="AA385" s="30" t="s">
        <v>97</v>
      </c>
      <c r="AB385" s="28" t="s">
        <v>93</v>
      </c>
      <c r="AC385" s="28" t="s">
        <v>101</v>
      </c>
      <c r="AD385" s="28" t="s">
        <v>106</v>
      </c>
      <c r="AE385" s="28" t="s">
        <v>112</v>
      </c>
      <c r="AF385" s="28" t="s">
        <v>117</v>
      </c>
      <c r="AG385" s="30" t="s">
        <v>122</v>
      </c>
    </row>
    <row r="386" customFormat="false" ht="15" hidden="false" customHeight="false" outlineLevel="0" collapsed="false">
      <c r="A386" s="10" t="n">
        <v>2025</v>
      </c>
      <c r="B386" s="28" t="s">
        <v>63</v>
      </c>
      <c r="C386" s="29" t="n">
        <v>45667</v>
      </c>
      <c r="D386" s="30" t="s">
        <v>129</v>
      </c>
      <c r="E386" s="28" t="s">
        <v>1381</v>
      </c>
      <c r="F386" s="30" t="s">
        <v>1382</v>
      </c>
      <c r="G386" s="31" t="n">
        <v>9209</v>
      </c>
      <c r="H386" s="31" t="n">
        <v>10</v>
      </c>
      <c r="I386" s="31" t="n">
        <v>92092</v>
      </c>
      <c r="J386" s="29" t="n">
        <v>45688</v>
      </c>
      <c r="K386" s="31" t="n">
        <v>8761</v>
      </c>
      <c r="L386" s="30" t="s">
        <v>32</v>
      </c>
      <c r="M386" s="10" t="n">
        <v>11</v>
      </c>
      <c r="N386" s="12" t="n">
        <v>-4638</v>
      </c>
      <c r="O386" s="13" t="n">
        <v>-0.0503634853733222</v>
      </c>
      <c r="P386" s="15" t="n">
        <v>0.0641532380662817</v>
      </c>
      <c r="Q386" s="13" t="n">
        <v>-0.0520349216001389</v>
      </c>
      <c r="R386" s="15" t="n">
        <v>0.0823529411764705</v>
      </c>
      <c r="S386" s="32" t="n">
        <v>22935167600</v>
      </c>
      <c r="T386" s="15" t="n">
        <v>0.0454545454545454</v>
      </c>
      <c r="U386" s="32" t="n">
        <v>8267595515</v>
      </c>
      <c r="V386" s="14" t="n">
        <v>2.56706585997015</v>
      </c>
      <c r="W386" s="13" t="n">
        <v>0.0836277974087161</v>
      </c>
      <c r="X386" s="15" t="n">
        <v>0.00869565217391299</v>
      </c>
      <c r="Y386" s="13" t="n">
        <v>-0.00242674174233704</v>
      </c>
      <c r="Z386" s="13" t="n">
        <v>0.0302466911282926</v>
      </c>
      <c r="AA386" s="30" t="s">
        <v>97</v>
      </c>
      <c r="AB386" s="28" t="s">
        <v>93</v>
      </c>
      <c r="AC386" s="28" t="s">
        <v>101</v>
      </c>
      <c r="AD386" s="28" t="s">
        <v>106</v>
      </c>
      <c r="AE386" s="28" t="s">
        <v>113</v>
      </c>
      <c r="AF386" s="28" t="s">
        <v>117</v>
      </c>
      <c r="AG386" s="30" t="s">
        <v>122</v>
      </c>
    </row>
    <row r="387" customFormat="false" ht="15" hidden="false" customHeight="false" outlineLevel="0" collapsed="false">
      <c r="A387" s="10" t="n">
        <v>2025</v>
      </c>
      <c r="B387" s="28" t="s">
        <v>63</v>
      </c>
      <c r="C387" s="29" t="n">
        <v>45671</v>
      </c>
      <c r="D387" s="30" t="s">
        <v>126</v>
      </c>
      <c r="E387" s="28" t="s">
        <v>905</v>
      </c>
      <c r="F387" s="30" t="s">
        <v>906</v>
      </c>
      <c r="G387" s="31" t="n">
        <v>73774</v>
      </c>
      <c r="H387" s="31" t="n">
        <v>1</v>
      </c>
      <c r="I387" s="31" t="n">
        <v>73774</v>
      </c>
      <c r="J387" s="29" t="n">
        <v>45721</v>
      </c>
      <c r="K387" s="31" t="n">
        <v>88600</v>
      </c>
      <c r="L387" s="30" t="s">
        <v>31</v>
      </c>
      <c r="M387" s="10" t="n">
        <v>31</v>
      </c>
      <c r="N387" s="12" t="n">
        <v>14669</v>
      </c>
      <c r="O387" s="13" t="n">
        <v>0.198838392882559</v>
      </c>
      <c r="P387" s="15" t="n">
        <v>0.206391979797679</v>
      </c>
      <c r="Q387" s="13" t="n">
        <v>-0.0145539670641435</v>
      </c>
      <c r="R387" s="15" t="n">
        <v>0.0528571428571429</v>
      </c>
      <c r="S387" s="32" t="n">
        <v>24630024100</v>
      </c>
      <c r="T387" s="15" t="n">
        <v>0.0439093484419264</v>
      </c>
      <c r="U387" s="32" t="n">
        <v>10739679110</v>
      </c>
      <c r="V387" s="14" t="n">
        <v>2.13567849632815</v>
      </c>
      <c r="W387" s="13" t="n">
        <v>0.0528571428571429</v>
      </c>
      <c r="X387" s="15" t="n">
        <v>0.00542740841248302</v>
      </c>
      <c r="Y387" s="13" t="n">
        <v>0.00314915085396628</v>
      </c>
      <c r="Z387" s="13" t="n">
        <v>0.00212672043657958</v>
      </c>
      <c r="AA387" s="30" t="s">
        <v>97</v>
      </c>
      <c r="AB387" s="28" t="s">
        <v>93</v>
      </c>
      <c r="AC387" s="28" t="s">
        <v>101</v>
      </c>
      <c r="AD387" s="28" t="s">
        <v>106</v>
      </c>
      <c r="AE387" s="28" t="s">
        <v>113</v>
      </c>
      <c r="AF387" s="28" t="s">
        <v>117</v>
      </c>
      <c r="AG387" s="30" t="s">
        <v>122</v>
      </c>
    </row>
    <row r="388" customFormat="false" ht="15" hidden="false" customHeight="false" outlineLevel="0" collapsed="false">
      <c r="A388" s="10" t="n">
        <v>2025</v>
      </c>
      <c r="B388" s="28" t="s">
        <v>63</v>
      </c>
      <c r="C388" s="29" t="n">
        <v>45672</v>
      </c>
      <c r="D388" s="30" t="s">
        <v>127</v>
      </c>
      <c r="E388" s="28" t="s">
        <v>745</v>
      </c>
      <c r="F388" s="30" t="s">
        <v>746</v>
      </c>
      <c r="G388" s="31" t="n">
        <v>37888</v>
      </c>
      <c r="H388" s="31" t="n">
        <v>2</v>
      </c>
      <c r="I388" s="31" t="n">
        <v>75776</v>
      </c>
      <c r="J388" s="29" t="n">
        <v>45678</v>
      </c>
      <c r="K388" s="31" t="n">
        <v>36064</v>
      </c>
      <c r="L388" s="30" t="s">
        <v>32</v>
      </c>
      <c r="M388" s="10" t="n">
        <v>4</v>
      </c>
      <c r="N388" s="12" t="n">
        <v>-3778</v>
      </c>
      <c r="O388" s="13" t="n">
        <v>-0.0498613305452803</v>
      </c>
      <c r="P388" s="15" t="n">
        <v>0.0412308959204599</v>
      </c>
      <c r="Q388" s="13" t="n">
        <v>-0.115811533248786</v>
      </c>
      <c r="R388" s="15" t="n">
        <v>0.0692090395480225</v>
      </c>
      <c r="S388" s="32" t="n">
        <v>135846867250</v>
      </c>
      <c r="T388" s="15" t="n">
        <v>0.0661971830985915</v>
      </c>
      <c r="U388" s="32" t="n">
        <v>48215285035</v>
      </c>
      <c r="V388" s="14" t="n">
        <v>2.44157327337187</v>
      </c>
      <c r="W388" s="13" t="n">
        <v>0.0752840909090908</v>
      </c>
      <c r="X388" s="15" t="n">
        <v>0.0211360634081903</v>
      </c>
      <c r="Y388" s="13" t="n">
        <v>-0.000236245695523385</v>
      </c>
      <c r="Z388" s="13" t="n">
        <v>-0.00961504135181779</v>
      </c>
      <c r="AA388" s="30" t="s">
        <v>97</v>
      </c>
      <c r="AB388" s="28" t="s">
        <v>94</v>
      </c>
      <c r="AC388" s="28" t="s">
        <v>101</v>
      </c>
      <c r="AD388" s="28" t="s">
        <v>109</v>
      </c>
      <c r="AE388" s="28" t="s">
        <v>101</v>
      </c>
      <c r="AF388" s="28" t="s">
        <v>117</v>
      </c>
      <c r="AG388" s="30" t="s">
        <v>122</v>
      </c>
    </row>
    <row r="389" customFormat="false" ht="15" hidden="false" customHeight="false" outlineLevel="0" collapsed="false">
      <c r="A389" s="10" t="n">
        <v>2025</v>
      </c>
      <c r="B389" s="28" t="s">
        <v>63</v>
      </c>
      <c r="C389" s="29" t="n">
        <v>45672</v>
      </c>
      <c r="D389" s="30" t="s">
        <v>127</v>
      </c>
      <c r="E389" s="28" t="s">
        <v>407</v>
      </c>
      <c r="F389" s="30" t="s">
        <v>408</v>
      </c>
      <c r="G389" s="31" t="n">
        <v>50350</v>
      </c>
      <c r="H389" s="31" t="n">
        <v>1</v>
      </c>
      <c r="I389" s="31" t="n">
        <v>50350</v>
      </c>
      <c r="J389" s="29" t="n">
        <v>45702</v>
      </c>
      <c r="K389" s="31" t="n">
        <v>47452</v>
      </c>
      <c r="L389" s="30" t="s">
        <v>32</v>
      </c>
      <c r="M389" s="10" t="n">
        <v>18</v>
      </c>
      <c r="N389" s="12" t="n">
        <v>-2984</v>
      </c>
      <c r="O389" s="13" t="n">
        <v>-0.0592578230914215</v>
      </c>
      <c r="P389" s="15" t="n">
        <v>0.0327644522475536</v>
      </c>
      <c r="Q389" s="13" t="n">
        <v>-0.0566093945815615</v>
      </c>
      <c r="R389" s="15" t="n">
        <v>0.0161616161616163</v>
      </c>
      <c r="S389" s="32" t="n">
        <v>79363340000</v>
      </c>
      <c r="T389" s="15" t="n">
        <v>0.00600000000000001</v>
      </c>
      <c r="U389" s="32" t="n">
        <v>54422242795</v>
      </c>
      <c r="V389" s="14" t="n">
        <v>1.4222362921476</v>
      </c>
      <c r="W389" s="13" t="n">
        <v>0.00399201596806398</v>
      </c>
      <c r="X389" s="15" t="n">
        <v>0.0218687872763419</v>
      </c>
      <c r="Y389" s="13" t="n">
        <v>-0.000236245695523385</v>
      </c>
      <c r="Z389" s="13" t="n">
        <v>-0.00961504135181779</v>
      </c>
      <c r="AA389" s="30" t="s">
        <v>97</v>
      </c>
      <c r="AB389" s="28" t="s">
        <v>94</v>
      </c>
      <c r="AC389" s="28" t="s">
        <v>99</v>
      </c>
      <c r="AD389" s="28" t="s">
        <v>108</v>
      </c>
      <c r="AE389" s="28" t="s">
        <v>112</v>
      </c>
      <c r="AF389" s="28" t="s">
        <v>116</v>
      </c>
      <c r="AG389" s="30" t="s">
        <v>122</v>
      </c>
    </row>
    <row r="390" customFormat="false" ht="15" hidden="false" customHeight="false" outlineLevel="0" collapsed="false">
      <c r="A390" s="10" t="n">
        <v>2025</v>
      </c>
      <c r="B390" s="28" t="s">
        <v>63</v>
      </c>
      <c r="C390" s="29" t="n">
        <v>45672</v>
      </c>
      <c r="D390" s="30" t="s">
        <v>127</v>
      </c>
      <c r="E390" s="28" t="s">
        <v>1107</v>
      </c>
      <c r="F390" s="30" t="s">
        <v>1108</v>
      </c>
      <c r="G390" s="31" t="n">
        <v>9770</v>
      </c>
      <c r="H390" s="31" t="n">
        <v>10</v>
      </c>
      <c r="I390" s="31" t="n">
        <v>97698</v>
      </c>
      <c r="J390" s="29" t="n">
        <v>45679</v>
      </c>
      <c r="K390" s="31" t="n">
        <v>11730</v>
      </c>
      <c r="L390" s="30" t="s">
        <v>31</v>
      </c>
      <c r="M390" s="10" t="n">
        <v>5</v>
      </c>
      <c r="N390" s="12" t="n">
        <v>19394</v>
      </c>
      <c r="O390" s="13" t="n">
        <v>0.19851255670559</v>
      </c>
      <c r="P390" s="15" t="n">
        <v>0.350084341887621</v>
      </c>
      <c r="Q390" s="13" t="n">
        <v>-0.037847398503136</v>
      </c>
      <c r="R390" s="15" t="n">
        <v>0.137529137529137</v>
      </c>
      <c r="S390" s="32" t="n">
        <v>71321365920</v>
      </c>
      <c r="T390" s="15" t="n">
        <v>0.0051493305870236</v>
      </c>
      <c r="U390" s="32" t="n">
        <v>5081226453</v>
      </c>
      <c r="V390" s="14" t="n">
        <v>12.7341625375489</v>
      </c>
      <c r="W390" s="13" t="n">
        <v>0.120551090700344</v>
      </c>
      <c r="X390" s="15" t="n">
        <v>0.0706967213114753</v>
      </c>
      <c r="Y390" s="13" t="n">
        <v>-0.000236245695523385</v>
      </c>
      <c r="Z390" s="13" t="n">
        <v>-0.00961504135181779</v>
      </c>
      <c r="AA390" s="30" t="s">
        <v>97</v>
      </c>
      <c r="AB390" s="28" t="s">
        <v>94</v>
      </c>
      <c r="AC390" s="28" t="s">
        <v>102</v>
      </c>
      <c r="AD390" s="28" t="s">
        <v>108</v>
      </c>
      <c r="AE390" s="28" t="s">
        <v>112</v>
      </c>
      <c r="AF390" s="28" t="s">
        <v>120</v>
      </c>
      <c r="AG390" s="30" t="s">
        <v>122</v>
      </c>
    </row>
    <row r="391" customFormat="false" ht="15" hidden="false" customHeight="false" outlineLevel="0" collapsed="false">
      <c r="A391" s="10" t="n">
        <v>2025</v>
      </c>
      <c r="B391" s="28" t="s">
        <v>63</v>
      </c>
      <c r="C391" s="29" t="n">
        <v>45673</v>
      </c>
      <c r="D391" s="30" t="s">
        <v>128</v>
      </c>
      <c r="E391" s="28" t="s">
        <v>1259</v>
      </c>
      <c r="F391" s="30" t="s">
        <v>1260</v>
      </c>
      <c r="G391" s="31" t="n">
        <v>12182</v>
      </c>
      <c r="H391" s="31" t="n">
        <v>8</v>
      </c>
      <c r="I391" s="31" t="n">
        <v>97457</v>
      </c>
      <c r="J391" s="29" t="n">
        <v>45674</v>
      </c>
      <c r="K391" s="31" t="n">
        <v>11588</v>
      </c>
      <c r="L391" s="30" t="s">
        <v>32</v>
      </c>
      <c r="M391" s="10" t="n">
        <v>1</v>
      </c>
      <c r="N391" s="12" t="n">
        <v>-4918</v>
      </c>
      <c r="O391" s="13" t="n">
        <v>-0.0504604832718636</v>
      </c>
      <c r="P391" s="15" t="n">
        <v>-0.0100285909653205</v>
      </c>
      <c r="Q391" s="13" t="n">
        <v>-0.0477886944608389</v>
      </c>
      <c r="R391" s="15" t="n">
        <v>0.197834645669291</v>
      </c>
      <c r="S391" s="32" t="n">
        <v>212649355140</v>
      </c>
      <c r="T391" s="15" t="n">
        <v>0.171318575553417</v>
      </c>
      <c r="U391" s="32" t="n">
        <v>4255793358.5</v>
      </c>
      <c r="V391" s="14" t="n">
        <v>41.2153367142352</v>
      </c>
      <c r="W391" s="13" t="n">
        <v>0.159047619047619</v>
      </c>
      <c r="X391" s="15" t="n">
        <v>0.0410846343467544</v>
      </c>
      <c r="Y391" s="13" t="n">
        <v>0.012287679078504</v>
      </c>
      <c r="Z391" s="13" t="n">
        <v>0.00221658273523917</v>
      </c>
      <c r="AA391" s="30" t="s">
        <v>97</v>
      </c>
      <c r="AB391" s="28" t="s">
        <v>93</v>
      </c>
      <c r="AC391" s="28" t="s">
        <v>103</v>
      </c>
      <c r="AD391" s="28" t="s">
        <v>110</v>
      </c>
      <c r="AE391" s="28" t="s">
        <v>114</v>
      </c>
      <c r="AF391" s="28" t="s">
        <v>120</v>
      </c>
      <c r="AG391" s="30" t="s">
        <v>122</v>
      </c>
    </row>
    <row r="392" customFormat="false" ht="15" hidden="false" customHeight="false" outlineLevel="0" collapsed="false">
      <c r="A392" s="10" t="n">
        <v>2025</v>
      </c>
      <c r="B392" s="28" t="s">
        <v>63</v>
      </c>
      <c r="C392" s="29" t="n">
        <v>45673</v>
      </c>
      <c r="D392" s="30" t="s">
        <v>128</v>
      </c>
      <c r="E392" s="28" t="s">
        <v>1383</v>
      </c>
      <c r="F392" s="30" t="s">
        <v>1384</v>
      </c>
      <c r="G392" s="31" t="n">
        <v>15215</v>
      </c>
      <c r="H392" s="31" t="n">
        <v>6</v>
      </c>
      <c r="I392" s="31" t="n">
        <v>91291</v>
      </c>
      <c r="J392" s="29" t="n">
        <v>45680</v>
      </c>
      <c r="K392" s="31" t="n">
        <v>18260</v>
      </c>
      <c r="L392" s="30" t="s">
        <v>31</v>
      </c>
      <c r="M392" s="10" t="n">
        <v>5</v>
      </c>
      <c r="N392" s="12" t="n">
        <v>18074</v>
      </c>
      <c r="O392" s="13" t="n">
        <v>0.197985482938115</v>
      </c>
      <c r="P392" s="15" t="n">
        <v>0.222461748777538</v>
      </c>
      <c r="Q392" s="13" t="n">
        <v>-0.00625690099374299</v>
      </c>
      <c r="R392" s="15" t="n">
        <v>0.156773211567732</v>
      </c>
      <c r="S392" s="32" t="n">
        <v>32376243200</v>
      </c>
      <c r="T392" s="15" t="n">
        <v>0.0221923335574983</v>
      </c>
      <c r="U392" s="32" t="n">
        <v>4859130552</v>
      </c>
      <c r="V392" s="14" t="n">
        <v>5.77980283422578</v>
      </c>
      <c r="W392" s="13" t="n">
        <v>0.169230769230769</v>
      </c>
      <c r="X392" s="15" t="n">
        <v>0.013157894736842</v>
      </c>
      <c r="Y392" s="13" t="n">
        <v>0.012287679078504</v>
      </c>
      <c r="Z392" s="13" t="n">
        <v>0.00221658273523917</v>
      </c>
      <c r="AA392" s="30" t="s">
        <v>97</v>
      </c>
      <c r="AB392" s="28" t="s">
        <v>93</v>
      </c>
      <c r="AC392" s="28" t="s">
        <v>103</v>
      </c>
      <c r="AD392" s="28" t="s">
        <v>107</v>
      </c>
      <c r="AE392" s="28" t="s">
        <v>113</v>
      </c>
      <c r="AF392" s="28" t="s">
        <v>119</v>
      </c>
      <c r="AG392" s="30" t="s">
        <v>122</v>
      </c>
    </row>
    <row r="393" customFormat="false" ht="15" hidden="false" customHeight="false" outlineLevel="0" collapsed="false">
      <c r="A393" s="10" t="n">
        <v>2025</v>
      </c>
      <c r="B393" s="28" t="s">
        <v>63</v>
      </c>
      <c r="C393" s="29" t="n">
        <v>45674</v>
      </c>
      <c r="D393" s="30" t="s">
        <v>129</v>
      </c>
      <c r="E393" s="28" t="s">
        <v>1385</v>
      </c>
      <c r="F393" s="30" t="s">
        <v>1386</v>
      </c>
      <c r="G393" s="31" t="n">
        <v>4705</v>
      </c>
      <c r="H393" s="31" t="n">
        <v>21</v>
      </c>
      <c r="I393" s="31" t="n">
        <v>98799</v>
      </c>
      <c r="J393" s="29" t="n">
        <v>45677</v>
      </c>
      <c r="K393" s="31" t="n">
        <v>4476</v>
      </c>
      <c r="L393" s="30" t="s">
        <v>32</v>
      </c>
      <c r="M393" s="10" t="n">
        <v>1</v>
      </c>
      <c r="N393" s="12" t="n">
        <v>-4983</v>
      </c>
      <c r="O393" s="13" t="n">
        <v>-0.0504326127064424</v>
      </c>
      <c r="P393" s="15" t="n">
        <v>0.00750313516270973</v>
      </c>
      <c r="Q393" s="13" t="n">
        <v>-0.0583884200905477</v>
      </c>
      <c r="R393" s="15" t="n">
        <v>0.0917537746806039</v>
      </c>
      <c r="S393" s="32" t="n">
        <v>36271380500</v>
      </c>
      <c r="T393" s="15" t="n">
        <v>0.0767468499427262</v>
      </c>
      <c r="U393" s="32" t="n">
        <v>5854130989.75</v>
      </c>
      <c r="V393" s="14" t="n">
        <v>5.49736319696554</v>
      </c>
      <c r="W393" s="13" t="n">
        <v>0.0829493087557605</v>
      </c>
      <c r="X393" s="15" t="n">
        <v>0.0680851063829788</v>
      </c>
      <c r="Y393" s="13" t="n">
        <v>-0.00155885878875861</v>
      </c>
      <c r="Z393" s="13" t="n">
        <v>0.00308850535420424</v>
      </c>
      <c r="AA393" s="30" t="s">
        <v>97</v>
      </c>
      <c r="AB393" s="28" t="s">
        <v>93</v>
      </c>
      <c r="AC393" s="28" t="s">
        <v>101</v>
      </c>
      <c r="AD393" s="28" t="s">
        <v>107</v>
      </c>
      <c r="AE393" s="28" t="s">
        <v>101</v>
      </c>
      <c r="AF393" s="28" t="s">
        <v>119</v>
      </c>
      <c r="AG393" s="30" t="s">
        <v>122</v>
      </c>
    </row>
    <row r="394" customFormat="false" ht="15" hidden="false" customHeight="false" outlineLevel="0" collapsed="false">
      <c r="A394" s="10" t="n">
        <v>2025</v>
      </c>
      <c r="B394" s="28" t="s">
        <v>63</v>
      </c>
      <c r="C394" s="29" t="n">
        <v>45677</v>
      </c>
      <c r="D394" s="30" t="s">
        <v>125</v>
      </c>
      <c r="E394" s="28" t="s">
        <v>527</v>
      </c>
      <c r="F394" s="30" t="s">
        <v>528</v>
      </c>
      <c r="G394" s="31" t="n">
        <v>78478</v>
      </c>
      <c r="H394" s="31" t="n">
        <v>1</v>
      </c>
      <c r="I394" s="31" t="n">
        <v>78478</v>
      </c>
      <c r="J394" s="29" t="n">
        <v>45678</v>
      </c>
      <c r="K394" s="31" t="n">
        <v>74625</v>
      </c>
      <c r="L394" s="30" t="s">
        <v>32</v>
      </c>
      <c r="M394" s="10" t="n">
        <v>1</v>
      </c>
      <c r="N394" s="12" t="n">
        <v>-3988</v>
      </c>
      <c r="O394" s="13" t="n">
        <v>-0.0508165750703377</v>
      </c>
      <c r="P394" s="15" t="n">
        <v>-0.0111928887439091</v>
      </c>
      <c r="Q394" s="13" t="n">
        <v>-0.0940182266712878</v>
      </c>
      <c r="R394" s="15" t="n">
        <v>0.0208333333333333</v>
      </c>
      <c r="S394" s="32" t="n">
        <v>43956763200</v>
      </c>
      <c r="T394" s="15" t="n">
        <v>0.00127713920817363</v>
      </c>
      <c r="U394" s="32" t="n">
        <v>41297294495</v>
      </c>
      <c r="V394" s="14" t="n">
        <v>0.975908332956203</v>
      </c>
      <c r="W394" s="13" t="n">
        <v>0.00900900900900892</v>
      </c>
      <c r="X394" s="15" t="n">
        <v>0.0242346938775511</v>
      </c>
      <c r="Y394" s="13" t="n">
        <v>-0.00138693507162524</v>
      </c>
      <c r="Z394" s="13" t="n">
        <v>0.0122471440736516</v>
      </c>
      <c r="AA394" s="30" t="s">
        <v>97</v>
      </c>
      <c r="AB394" s="28" t="s">
        <v>93</v>
      </c>
      <c r="AC394" s="28" t="s">
        <v>99</v>
      </c>
      <c r="AD394" s="28" t="s">
        <v>107</v>
      </c>
      <c r="AE394" s="28" t="s">
        <v>112</v>
      </c>
      <c r="AF394" s="28" t="s">
        <v>116</v>
      </c>
      <c r="AG394" s="30" t="s">
        <v>122</v>
      </c>
    </row>
    <row r="395" customFormat="false" ht="15" hidden="false" customHeight="false" outlineLevel="0" collapsed="false">
      <c r="A395" s="10" t="n">
        <v>2025</v>
      </c>
      <c r="B395" s="28" t="s">
        <v>63</v>
      </c>
      <c r="C395" s="29" t="n">
        <v>45677</v>
      </c>
      <c r="D395" s="30" t="s">
        <v>125</v>
      </c>
      <c r="E395" s="28" t="s">
        <v>775</v>
      </c>
      <c r="F395" s="30" t="s">
        <v>776</v>
      </c>
      <c r="G395" s="31" t="n">
        <v>61161</v>
      </c>
      <c r="H395" s="31" t="n">
        <v>1</v>
      </c>
      <c r="I395" s="31" t="n">
        <v>61161</v>
      </c>
      <c r="J395" s="29" t="n">
        <v>45678</v>
      </c>
      <c r="K395" s="31" t="n">
        <v>58142</v>
      </c>
      <c r="L395" s="30" t="s">
        <v>32</v>
      </c>
      <c r="M395" s="10" t="n">
        <v>1</v>
      </c>
      <c r="N395" s="12" t="n">
        <v>-3124</v>
      </c>
      <c r="O395" s="13" t="n">
        <v>-0.0510848911317813</v>
      </c>
      <c r="P395" s="15" t="n">
        <v>-0.010809158108667</v>
      </c>
      <c r="Q395" s="13" t="n">
        <v>-0.138341200534326</v>
      </c>
      <c r="R395" s="15" t="n">
        <v>0.104882459312839</v>
      </c>
      <c r="S395" s="32" t="n">
        <v>42084152500</v>
      </c>
      <c r="T395" s="15" t="n">
        <v>0.0534482758620689</v>
      </c>
      <c r="U395" s="32" t="n">
        <v>12420575660</v>
      </c>
      <c r="V395" s="14" t="n">
        <v>3.07337297301398</v>
      </c>
      <c r="W395" s="13" t="n">
        <v>0.0989208633093526</v>
      </c>
      <c r="X395" s="15" t="n">
        <v>0</v>
      </c>
      <c r="Y395" s="13" t="n">
        <v>-0.00138693507162524</v>
      </c>
      <c r="Z395" s="13" t="n">
        <v>0.0122471440736516</v>
      </c>
      <c r="AA395" s="30" t="s">
        <v>97</v>
      </c>
      <c r="AB395" s="28" t="s">
        <v>93</v>
      </c>
      <c r="AC395" s="28" t="s">
        <v>102</v>
      </c>
      <c r="AD395" s="28" t="s">
        <v>107</v>
      </c>
      <c r="AE395" s="28" t="s">
        <v>101</v>
      </c>
      <c r="AF395" s="28" t="s">
        <v>118</v>
      </c>
      <c r="AG395" s="30" t="s">
        <v>122</v>
      </c>
    </row>
    <row r="396" customFormat="false" ht="15" hidden="false" customHeight="false" outlineLevel="0" collapsed="false">
      <c r="A396" s="10" t="n">
        <v>2025</v>
      </c>
      <c r="B396" s="28" t="s">
        <v>63</v>
      </c>
      <c r="C396" s="29" t="n">
        <v>45677</v>
      </c>
      <c r="D396" s="30" t="s">
        <v>125</v>
      </c>
      <c r="E396" s="28" t="s">
        <v>505</v>
      </c>
      <c r="F396" s="30" t="s">
        <v>506</v>
      </c>
      <c r="G396" s="31" t="n">
        <v>42793</v>
      </c>
      <c r="H396" s="31" t="n">
        <v>2</v>
      </c>
      <c r="I396" s="31" t="n">
        <v>85585</v>
      </c>
      <c r="J396" s="29" t="n">
        <v>45678</v>
      </c>
      <c r="K396" s="31" t="n">
        <v>40709</v>
      </c>
      <c r="L396" s="30" t="s">
        <v>32</v>
      </c>
      <c r="M396" s="10" t="n">
        <v>1</v>
      </c>
      <c r="N396" s="12" t="n">
        <v>-4314</v>
      </c>
      <c r="O396" s="13" t="n">
        <v>-0.050407818497292</v>
      </c>
      <c r="P396" s="15" t="n">
        <v>-0.00567268988321601</v>
      </c>
      <c r="Q396" s="13" t="n">
        <v>-0.0792832898096054</v>
      </c>
      <c r="R396" s="15" t="n">
        <v>0.0490797546012269</v>
      </c>
      <c r="S396" s="32" t="n">
        <v>32823108000</v>
      </c>
      <c r="T396" s="15" t="n">
        <v>0.0190703218116806</v>
      </c>
      <c r="U396" s="32" t="n">
        <v>7917201985</v>
      </c>
      <c r="V396" s="14" t="n">
        <v>3.85020066082929</v>
      </c>
      <c r="W396" s="13" t="n">
        <v>0.0351089588377724</v>
      </c>
      <c r="X396" s="15" t="n">
        <v>0.0280701754385966</v>
      </c>
      <c r="Y396" s="13" t="n">
        <v>-0.00138693507162524</v>
      </c>
      <c r="Z396" s="13" t="n">
        <v>0.0122471440736516</v>
      </c>
      <c r="AA396" s="30" t="s">
        <v>97</v>
      </c>
      <c r="AB396" s="28" t="s">
        <v>93</v>
      </c>
      <c r="AC396" s="28" t="s">
        <v>100</v>
      </c>
      <c r="AD396" s="28" t="s">
        <v>107</v>
      </c>
      <c r="AE396" s="28" t="s">
        <v>112</v>
      </c>
      <c r="AF396" s="28" t="s">
        <v>118</v>
      </c>
      <c r="AG396" s="30" t="s">
        <v>122</v>
      </c>
    </row>
    <row r="397" customFormat="false" ht="15" hidden="false" customHeight="false" outlineLevel="0" collapsed="false">
      <c r="A397" s="10" t="n">
        <v>2025</v>
      </c>
      <c r="B397" s="28" t="s">
        <v>63</v>
      </c>
      <c r="C397" s="29" t="n">
        <v>45678</v>
      </c>
      <c r="D397" s="30" t="s">
        <v>126</v>
      </c>
      <c r="E397" s="28" t="s">
        <v>247</v>
      </c>
      <c r="F397" s="30" t="s">
        <v>248</v>
      </c>
      <c r="G397" s="31" t="n">
        <v>21221</v>
      </c>
      <c r="H397" s="31" t="n">
        <v>4</v>
      </c>
      <c r="I397" s="31" t="n">
        <v>84885</v>
      </c>
      <c r="J397" s="29" t="n">
        <v>45769</v>
      </c>
      <c r="K397" s="31" t="n">
        <v>25500</v>
      </c>
      <c r="L397" s="30" t="s">
        <v>31</v>
      </c>
      <c r="M397" s="10" t="n">
        <v>60</v>
      </c>
      <c r="N397" s="12" t="n">
        <v>16934</v>
      </c>
      <c r="O397" s="13" t="n">
        <v>0.19949587299493</v>
      </c>
      <c r="P397" s="15" t="n">
        <v>0.201628560119126</v>
      </c>
      <c r="Q397" s="13" t="n">
        <v>-0.0363410174730928</v>
      </c>
      <c r="R397" s="15" t="n">
        <v>0.0216867469879518</v>
      </c>
      <c r="S397" s="32" t="n">
        <v>35290177200</v>
      </c>
      <c r="T397" s="15" t="n">
        <v>0.0216867469879518</v>
      </c>
      <c r="U397" s="32" t="n">
        <v>28269626930</v>
      </c>
      <c r="V397" s="14" t="n">
        <v>1.19466732999157</v>
      </c>
      <c r="W397" s="13" t="n">
        <v>0.0143540669856459</v>
      </c>
      <c r="X397" s="15" t="n">
        <v>0.00707547169811318</v>
      </c>
      <c r="Y397" s="13" t="n">
        <v>-0.000801571397392897</v>
      </c>
      <c r="Z397" s="13" t="n">
        <v>0.00826059101465537</v>
      </c>
      <c r="AA397" s="30" t="s">
        <v>97</v>
      </c>
      <c r="AB397" s="28" t="s">
        <v>93</v>
      </c>
      <c r="AC397" s="28" t="s">
        <v>99</v>
      </c>
      <c r="AD397" s="28" t="s">
        <v>107</v>
      </c>
      <c r="AE397" s="28" t="s">
        <v>113</v>
      </c>
      <c r="AF397" s="28" t="s">
        <v>116</v>
      </c>
      <c r="AG397" s="30" t="s">
        <v>122</v>
      </c>
    </row>
    <row r="398" customFormat="false" ht="15" hidden="false" customHeight="false" outlineLevel="0" collapsed="false">
      <c r="A398" s="10" t="n">
        <v>2025</v>
      </c>
      <c r="B398" s="28" t="s">
        <v>63</v>
      </c>
      <c r="C398" s="29" t="n">
        <v>45679</v>
      </c>
      <c r="D398" s="30" t="s">
        <v>127</v>
      </c>
      <c r="E398" s="28" t="s">
        <v>573</v>
      </c>
      <c r="F398" s="30" t="s">
        <v>574</v>
      </c>
      <c r="G398" s="31" t="n">
        <v>15816</v>
      </c>
      <c r="H398" s="31" t="n">
        <v>6</v>
      </c>
      <c r="I398" s="31" t="n">
        <v>94895</v>
      </c>
      <c r="J398" s="29" t="n">
        <v>45756</v>
      </c>
      <c r="K398" s="31" t="n">
        <v>15055</v>
      </c>
      <c r="L398" s="30" t="s">
        <v>32</v>
      </c>
      <c r="M398" s="10" t="n">
        <v>50</v>
      </c>
      <c r="N398" s="12" t="n">
        <v>-4728</v>
      </c>
      <c r="O398" s="13" t="n">
        <v>-0.0498288423285575</v>
      </c>
      <c r="P398" s="15" t="n">
        <v>0.1064884482606</v>
      </c>
      <c r="Q398" s="13" t="n">
        <v>-0.0509490509490508</v>
      </c>
      <c r="R398" s="15" t="n">
        <v>0.010230179028133</v>
      </c>
      <c r="S398" s="32" t="n">
        <v>29514052400</v>
      </c>
      <c r="T398" s="15" t="n">
        <v>0.00381194409148655</v>
      </c>
      <c r="U398" s="32" t="n">
        <v>25672078615.5</v>
      </c>
      <c r="V398" s="14" t="n">
        <v>1.12786730279615</v>
      </c>
      <c r="W398" s="13" t="n">
        <v>0.00381194409148655</v>
      </c>
      <c r="X398" s="15" t="n">
        <v>0.00696202531645573</v>
      </c>
      <c r="Y398" s="13" t="n">
        <v>0.0115288539056324</v>
      </c>
      <c r="Z398" s="13" t="n">
        <v>0.0201256803681498</v>
      </c>
      <c r="AA398" s="30" t="s">
        <v>97</v>
      </c>
      <c r="AB398" s="28" t="s">
        <v>93</v>
      </c>
      <c r="AC398" s="28" t="s">
        <v>99</v>
      </c>
      <c r="AD398" s="28" t="s">
        <v>106</v>
      </c>
      <c r="AE398" s="28" t="s">
        <v>112</v>
      </c>
      <c r="AF398" s="28" t="s">
        <v>116</v>
      </c>
      <c r="AG398" s="30" t="s">
        <v>122</v>
      </c>
    </row>
    <row r="399" customFormat="false" ht="15" hidden="false" customHeight="false" outlineLevel="0" collapsed="false">
      <c r="A399" s="10" t="n">
        <v>2025</v>
      </c>
      <c r="B399" s="28" t="s">
        <v>63</v>
      </c>
      <c r="C399" s="29" t="n">
        <v>45679</v>
      </c>
      <c r="D399" s="30" t="s">
        <v>127</v>
      </c>
      <c r="E399" s="28" t="s">
        <v>389</v>
      </c>
      <c r="F399" s="30" t="s">
        <v>390</v>
      </c>
      <c r="G399" s="31" t="n">
        <v>22923</v>
      </c>
      <c r="H399" s="31" t="n">
        <v>4</v>
      </c>
      <c r="I399" s="31" t="n">
        <v>91692</v>
      </c>
      <c r="J399" s="29" t="n">
        <v>45712</v>
      </c>
      <c r="K399" s="31" t="n">
        <v>21778</v>
      </c>
      <c r="L399" s="30" t="s">
        <v>32</v>
      </c>
      <c r="M399" s="10" t="n">
        <v>19</v>
      </c>
      <c r="N399" s="12" t="n">
        <v>-4736</v>
      </c>
      <c r="O399" s="13" t="n">
        <v>-0.0516545666124268</v>
      </c>
      <c r="P399" s="15" t="n">
        <v>0.114605918099368</v>
      </c>
      <c r="Q399" s="13" t="n">
        <v>-0.0729794223244004</v>
      </c>
      <c r="R399" s="15" t="n">
        <v>0.0361990950226245</v>
      </c>
      <c r="S399" s="32" t="n">
        <v>27649299700</v>
      </c>
      <c r="T399" s="15" t="n">
        <v>0.0200445434298442</v>
      </c>
      <c r="U399" s="32" t="n">
        <v>13427589132.5</v>
      </c>
      <c r="V399" s="14" t="n">
        <v>1.95895992480821</v>
      </c>
      <c r="W399" s="13" t="n">
        <v>0.00881057268722474</v>
      </c>
      <c r="X399" s="15" t="n">
        <v>0.017467248908297</v>
      </c>
      <c r="Y399" s="13" t="n">
        <v>0.0115288539056324</v>
      </c>
      <c r="Z399" s="13" t="n">
        <v>0.0201256803681498</v>
      </c>
      <c r="AA399" s="30" t="s">
        <v>97</v>
      </c>
      <c r="AB399" s="28" t="s">
        <v>93</v>
      </c>
      <c r="AC399" s="28" t="s">
        <v>100</v>
      </c>
      <c r="AD399" s="28" t="s">
        <v>106</v>
      </c>
      <c r="AE399" s="28" t="s">
        <v>113</v>
      </c>
      <c r="AF399" s="28" t="s">
        <v>116</v>
      </c>
      <c r="AG399" s="30" t="s">
        <v>122</v>
      </c>
    </row>
    <row r="400" customFormat="false" ht="15" hidden="false" customHeight="false" outlineLevel="0" collapsed="false">
      <c r="A400" s="10" t="n">
        <v>2025</v>
      </c>
      <c r="B400" s="28" t="s">
        <v>63</v>
      </c>
      <c r="C400" s="29" t="n">
        <v>45680</v>
      </c>
      <c r="D400" s="30" t="s">
        <v>128</v>
      </c>
      <c r="E400" s="28" t="s">
        <v>401</v>
      </c>
      <c r="F400" s="30" t="s">
        <v>402</v>
      </c>
      <c r="G400" s="31" t="n">
        <v>59159</v>
      </c>
      <c r="H400" s="31" t="n">
        <v>1</v>
      </c>
      <c r="I400" s="31" t="n">
        <v>59159</v>
      </c>
      <c r="J400" s="29" t="n">
        <v>45754</v>
      </c>
      <c r="K400" s="31" t="n">
        <v>55944</v>
      </c>
      <c r="L400" s="30" t="s">
        <v>32</v>
      </c>
      <c r="M400" s="10" t="n">
        <v>47</v>
      </c>
      <c r="N400" s="12" t="n">
        <v>-3316</v>
      </c>
      <c r="O400" s="13" t="n">
        <v>-0.0560569965567426</v>
      </c>
      <c r="P400" s="15" t="n">
        <v>0.0767574219350871</v>
      </c>
      <c r="Q400" s="13" t="n">
        <v>-0.0770650669127825</v>
      </c>
      <c r="R400" s="15" t="n">
        <v>0.00681431005110733</v>
      </c>
      <c r="S400" s="32" t="n">
        <v>79908873600</v>
      </c>
      <c r="T400" s="15" t="n">
        <v>0.00169491525423737</v>
      </c>
      <c r="U400" s="32" t="n">
        <v>42860228360</v>
      </c>
      <c r="V400" s="14" t="n">
        <v>1.82874578857034</v>
      </c>
      <c r="W400" s="13" t="n">
        <v>0.00169491525423737</v>
      </c>
      <c r="X400" s="15" t="n">
        <v>0.015228426395939</v>
      </c>
      <c r="Y400" s="13" t="n">
        <v>-0.0123946824966825</v>
      </c>
      <c r="Z400" s="13" t="n">
        <v>-0.00474779326525521</v>
      </c>
      <c r="AA400" s="30" t="s">
        <v>97</v>
      </c>
      <c r="AB400" s="28" t="s">
        <v>94</v>
      </c>
      <c r="AC400" s="28" t="s">
        <v>99</v>
      </c>
      <c r="AD400" s="28" t="s">
        <v>108</v>
      </c>
      <c r="AE400" s="28" t="s">
        <v>112</v>
      </c>
      <c r="AF400" s="28" t="s">
        <v>116</v>
      </c>
      <c r="AG400" s="30" t="s">
        <v>122</v>
      </c>
    </row>
    <row r="401" customFormat="false" ht="15" hidden="false" customHeight="false" outlineLevel="0" collapsed="false">
      <c r="A401" s="10" t="n">
        <v>2025</v>
      </c>
      <c r="B401" s="28" t="s">
        <v>63</v>
      </c>
      <c r="C401" s="29" t="n">
        <v>45680</v>
      </c>
      <c r="D401" s="30" t="s">
        <v>128</v>
      </c>
      <c r="E401" s="28" t="s">
        <v>361</v>
      </c>
      <c r="F401" s="30" t="s">
        <v>362</v>
      </c>
      <c r="G401" s="31" t="n">
        <v>65866</v>
      </c>
      <c r="H401" s="31" t="n">
        <v>1</v>
      </c>
      <c r="I401" s="31" t="n">
        <v>65866</v>
      </c>
      <c r="J401" s="29" t="n">
        <v>45694</v>
      </c>
      <c r="K401" s="31" t="n">
        <v>79100</v>
      </c>
      <c r="L401" s="30" t="s">
        <v>31</v>
      </c>
      <c r="M401" s="10" t="n">
        <v>6</v>
      </c>
      <c r="N401" s="12" t="n">
        <v>13094</v>
      </c>
      <c r="O401" s="13" t="n">
        <v>0.198795203732438</v>
      </c>
      <c r="P401" s="15" t="n">
        <v>0.337568206869119</v>
      </c>
      <c r="Q401" s="13" t="n">
        <v>-0.0101084326008336</v>
      </c>
      <c r="R401" s="15" t="n">
        <v>0.0345911949685536</v>
      </c>
      <c r="S401" s="32" t="n">
        <v>30645889400</v>
      </c>
      <c r="T401" s="15" t="n">
        <v>0.0313479623824451</v>
      </c>
      <c r="U401" s="32" t="n">
        <v>12800309100</v>
      </c>
      <c r="V401" s="14" t="n">
        <v>2.17089424474818</v>
      </c>
      <c r="W401" s="13" t="n">
        <v>0.0297339593114241</v>
      </c>
      <c r="X401" s="15" t="n">
        <v>0.0319148936170213</v>
      </c>
      <c r="Y401" s="13" t="n">
        <v>-0.0123946824966825</v>
      </c>
      <c r="Z401" s="13" t="n">
        <v>-0.00474779326525521</v>
      </c>
      <c r="AA401" s="30" t="s">
        <v>97</v>
      </c>
      <c r="AB401" s="28" t="s">
        <v>94</v>
      </c>
      <c r="AC401" s="28" t="s">
        <v>100</v>
      </c>
      <c r="AD401" s="28" t="s">
        <v>107</v>
      </c>
      <c r="AE401" s="28" t="s">
        <v>113</v>
      </c>
      <c r="AF401" s="28" t="s">
        <v>117</v>
      </c>
      <c r="AG401" s="30" t="s">
        <v>122</v>
      </c>
    </row>
    <row r="402" customFormat="false" ht="15" hidden="false" customHeight="false" outlineLevel="0" collapsed="false">
      <c r="A402" s="10" t="n">
        <v>2025</v>
      </c>
      <c r="B402" s="28" t="s">
        <v>63</v>
      </c>
      <c r="C402" s="29" t="n">
        <v>45680</v>
      </c>
      <c r="D402" s="30" t="s">
        <v>128</v>
      </c>
      <c r="E402" s="28" t="s">
        <v>751</v>
      </c>
      <c r="F402" s="30" t="s">
        <v>752</v>
      </c>
      <c r="G402" s="31" t="n">
        <v>24274</v>
      </c>
      <c r="H402" s="31" t="n">
        <v>4</v>
      </c>
      <c r="I402" s="31" t="n">
        <v>97097</v>
      </c>
      <c r="J402" s="29" t="n">
        <v>45727</v>
      </c>
      <c r="K402" s="31" t="n">
        <v>23077</v>
      </c>
      <c r="L402" s="30" t="s">
        <v>32</v>
      </c>
      <c r="M402" s="10" t="n">
        <v>28</v>
      </c>
      <c r="N402" s="12" t="n">
        <v>-4956</v>
      </c>
      <c r="O402" s="13" t="n">
        <v>-0.0510445440126882</v>
      </c>
      <c r="P402" s="15" t="n">
        <v>0.0278381412402033</v>
      </c>
      <c r="Q402" s="13" t="n">
        <v>-0.0504341019804936</v>
      </c>
      <c r="R402" s="15" t="n">
        <v>0.00831600831600832</v>
      </c>
      <c r="S402" s="32" t="n">
        <v>30169061250</v>
      </c>
      <c r="T402" s="15" t="n">
        <v>0.00414078674948248</v>
      </c>
      <c r="U402" s="32" t="n">
        <v>22673601837.5</v>
      </c>
      <c r="V402" s="14" t="n">
        <v>1.2853440291997</v>
      </c>
      <c r="W402" s="13" t="n">
        <v>0.00622406639004147</v>
      </c>
      <c r="X402" s="15" t="n">
        <v>0.0164948453608247</v>
      </c>
      <c r="Y402" s="13" t="n">
        <v>-0.0123946824966825</v>
      </c>
      <c r="Z402" s="13" t="n">
        <v>-0.00474779326525521</v>
      </c>
      <c r="AA402" s="30" t="s">
        <v>97</v>
      </c>
      <c r="AB402" s="28" t="s">
        <v>94</v>
      </c>
      <c r="AC402" s="28" t="s">
        <v>99</v>
      </c>
      <c r="AD402" s="28" t="s">
        <v>107</v>
      </c>
      <c r="AE402" s="28" t="s">
        <v>112</v>
      </c>
      <c r="AF402" s="28" t="s">
        <v>116</v>
      </c>
      <c r="AG402" s="30" t="s">
        <v>122</v>
      </c>
    </row>
    <row r="403" customFormat="false" ht="15" hidden="false" customHeight="false" outlineLevel="0" collapsed="false">
      <c r="A403" s="10" t="n">
        <v>2025</v>
      </c>
      <c r="B403" s="28" t="s">
        <v>63</v>
      </c>
      <c r="C403" s="29" t="n">
        <v>45688</v>
      </c>
      <c r="D403" s="30" t="s">
        <v>129</v>
      </c>
      <c r="E403" s="28" t="s">
        <v>193</v>
      </c>
      <c r="F403" s="30" t="s">
        <v>194</v>
      </c>
      <c r="G403" s="31" t="n">
        <v>13483</v>
      </c>
      <c r="H403" s="31" t="n">
        <v>7</v>
      </c>
      <c r="I403" s="31" t="n">
        <v>94384</v>
      </c>
      <c r="J403" s="29" t="n">
        <v>45698</v>
      </c>
      <c r="K403" s="31" t="n">
        <v>16190</v>
      </c>
      <c r="L403" s="30" t="s">
        <v>31</v>
      </c>
      <c r="M403" s="10" t="n">
        <v>6</v>
      </c>
      <c r="N403" s="12" t="n">
        <v>18745</v>
      </c>
      <c r="O403" s="13" t="n">
        <v>0.198598282155855</v>
      </c>
      <c r="P403" s="15" t="n">
        <v>0.268219531025767</v>
      </c>
      <c r="Q403" s="13" t="n">
        <v>-0.029181657244018</v>
      </c>
      <c r="R403" s="15" t="n">
        <v>0.045807453416149</v>
      </c>
      <c r="S403" s="32" t="n">
        <v>28361785440</v>
      </c>
      <c r="T403" s="15" t="n">
        <v>0.0181405895691611</v>
      </c>
      <c r="U403" s="32" t="n">
        <v>8082999149.5</v>
      </c>
      <c r="V403" s="14" t="n">
        <v>3.27633970859114</v>
      </c>
      <c r="W403" s="13" t="n">
        <v>-0.00148257968865828</v>
      </c>
      <c r="X403" s="15" t="n">
        <v>0.0267260579064588</v>
      </c>
      <c r="Y403" s="13" t="n">
        <v>-0.00765925575528237</v>
      </c>
      <c r="Z403" s="13" t="n">
        <v>-0.00106347096287784</v>
      </c>
      <c r="AA403" s="30" t="s">
        <v>97</v>
      </c>
      <c r="AB403" s="28" t="s">
        <v>94</v>
      </c>
      <c r="AC403" s="28" t="s">
        <v>100</v>
      </c>
      <c r="AD403" s="28" t="s">
        <v>106</v>
      </c>
      <c r="AE403" s="28" t="s">
        <v>112</v>
      </c>
      <c r="AF403" s="28" t="s">
        <v>118</v>
      </c>
      <c r="AG403" s="30" t="s">
        <v>123</v>
      </c>
    </row>
    <row r="404" customFormat="false" ht="15" hidden="false" customHeight="false" outlineLevel="0" collapsed="false">
      <c r="A404" s="10" t="n">
        <v>2025</v>
      </c>
      <c r="B404" s="28" t="s">
        <v>64</v>
      </c>
      <c r="C404" s="29" t="n">
        <v>45691</v>
      </c>
      <c r="D404" s="30" t="s">
        <v>125</v>
      </c>
      <c r="E404" s="28" t="s">
        <v>613</v>
      </c>
      <c r="F404" s="30" t="s">
        <v>614</v>
      </c>
      <c r="G404" s="31" t="n">
        <v>41842</v>
      </c>
      <c r="H404" s="31" t="n">
        <v>2</v>
      </c>
      <c r="I404" s="31" t="n">
        <v>83684</v>
      </c>
      <c r="J404" s="29" t="n">
        <v>45701</v>
      </c>
      <c r="K404" s="31" t="n">
        <v>39810</v>
      </c>
      <c r="L404" s="30" t="s">
        <v>32</v>
      </c>
      <c r="M404" s="10" t="n">
        <v>8</v>
      </c>
      <c r="N404" s="12" t="n">
        <v>-4207</v>
      </c>
      <c r="O404" s="13" t="n">
        <v>-0.0502753948802392</v>
      </c>
      <c r="P404" s="15" t="n">
        <v>0.099379089809712</v>
      </c>
      <c r="Q404" s="13" t="n">
        <v>-0.0511880464033573</v>
      </c>
      <c r="R404" s="15" t="n">
        <v>0.0899608865710562</v>
      </c>
      <c r="S404" s="32" t="n">
        <v>615329105600</v>
      </c>
      <c r="T404" s="15" t="n">
        <v>0.0676883780332056</v>
      </c>
      <c r="U404" s="32" t="n">
        <v>66659841112.5</v>
      </c>
      <c r="V404" s="14" t="n">
        <v>8.26409573552095</v>
      </c>
      <c r="W404" s="13" t="n">
        <v>0.0899608865710562</v>
      </c>
      <c r="X404" s="15" t="n">
        <v>0.0155502392344498</v>
      </c>
      <c r="Y404" s="13" t="n">
        <v>-0.0251929593186541</v>
      </c>
      <c r="Z404" s="13" t="n">
        <v>-0.0254484656656197</v>
      </c>
      <c r="AA404" s="30" t="s">
        <v>96</v>
      </c>
      <c r="AB404" s="28" t="s">
        <v>94</v>
      </c>
      <c r="AC404" s="28" t="s">
        <v>101</v>
      </c>
      <c r="AD404" s="28" t="s">
        <v>110</v>
      </c>
      <c r="AE404" s="28" t="s">
        <v>101</v>
      </c>
      <c r="AF404" s="28" t="s">
        <v>119</v>
      </c>
      <c r="AG404" s="30" t="s">
        <v>122</v>
      </c>
    </row>
    <row r="405" customFormat="false" ht="15" hidden="false" customHeight="false" outlineLevel="0" collapsed="false">
      <c r="A405" s="10" t="n">
        <v>2025</v>
      </c>
      <c r="B405" s="28" t="s">
        <v>64</v>
      </c>
      <c r="C405" s="29" t="n">
        <v>45691</v>
      </c>
      <c r="D405" s="30" t="s">
        <v>125</v>
      </c>
      <c r="E405" s="28" t="s">
        <v>547</v>
      </c>
      <c r="F405" s="30" t="s">
        <v>548</v>
      </c>
      <c r="G405" s="31" t="n">
        <v>14444</v>
      </c>
      <c r="H405" s="31" t="n">
        <v>6</v>
      </c>
      <c r="I405" s="31" t="n">
        <v>86667</v>
      </c>
      <c r="J405" s="29" t="n">
        <v>45692</v>
      </c>
      <c r="K405" s="31" t="n">
        <v>13746</v>
      </c>
      <c r="L405" s="30" t="s">
        <v>32</v>
      </c>
      <c r="M405" s="10" t="n">
        <v>1</v>
      </c>
      <c r="N405" s="12" t="n">
        <v>-4338</v>
      </c>
      <c r="O405" s="13" t="n">
        <v>-0.0500565242449857</v>
      </c>
      <c r="P405" s="15" t="n">
        <v>0.00315484930869547</v>
      </c>
      <c r="Q405" s="13" t="n">
        <v>-0.0923837077683231</v>
      </c>
      <c r="R405" s="15" t="n">
        <v>0.216694772344014</v>
      </c>
      <c r="S405" s="32" t="n">
        <v>148356013260</v>
      </c>
      <c r="T405" s="15" t="n">
        <v>0.0736607142857142</v>
      </c>
      <c r="U405" s="32" t="n">
        <v>3369384430</v>
      </c>
      <c r="V405" s="14" t="n">
        <v>39.8499427701865</v>
      </c>
      <c r="W405" s="13" t="n">
        <v>0.068888888888889</v>
      </c>
      <c r="X405" s="15" t="n">
        <v>0.0277200277200278</v>
      </c>
      <c r="Y405" s="13" t="n">
        <v>-0.0251929593186541</v>
      </c>
      <c r="Z405" s="13" t="n">
        <v>-0.0254484656656197</v>
      </c>
      <c r="AA405" s="30" t="s">
        <v>96</v>
      </c>
      <c r="AB405" s="28" t="s">
        <v>94</v>
      </c>
      <c r="AC405" s="28" t="s">
        <v>104</v>
      </c>
      <c r="AD405" s="28" t="s">
        <v>109</v>
      </c>
      <c r="AE405" s="28" t="s">
        <v>101</v>
      </c>
      <c r="AF405" s="28" t="s">
        <v>120</v>
      </c>
      <c r="AG405" s="30" t="s">
        <v>122</v>
      </c>
    </row>
    <row r="406" customFormat="false" ht="15" hidden="false" customHeight="false" outlineLevel="0" collapsed="false">
      <c r="A406" s="10" t="n">
        <v>2025</v>
      </c>
      <c r="B406" s="28" t="s">
        <v>64</v>
      </c>
      <c r="C406" s="29" t="n">
        <v>45691</v>
      </c>
      <c r="D406" s="30" t="s">
        <v>125</v>
      </c>
      <c r="E406" s="28" t="s">
        <v>409</v>
      </c>
      <c r="F406" s="30" t="s">
        <v>410</v>
      </c>
      <c r="G406" s="31" t="n">
        <v>16653</v>
      </c>
      <c r="H406" s="31" t="n">
        <v>5</v>
      </c>
      <c r="I406" s="31" t="n">
        <v>83264</v>
      </c>
      <c r="J406" s="29" t="n">
        <v>45698</v>
      </c>
      <c r="K406" s="31" t="n">
        <v>15854</v>
      </c>
      <c r="L406" s="30" t="s">
        <v>32</v>
      </c>
      <c r="M406" s="10" t="n">
        <v>5</v>
      </c>
      <c r="N406" s="12" t="n">
        <v>-4137</v>
      </c>
      <c r="O406" s="13" t="n">
        <v>-0.0496844929754729</v>
      </c>
      <c r="P406" s="15" t="n">
        <v>0.120683827450745</v>
      </c>
      <c r="Q406" s="13" t="n">
        <v>-0.053578000946422</v>
      </c>
      <c r="R406" s="15" t="n">
        <v>0.0406885758998434</v>
      </c>
      <c r="S406" s="32" t="n">
        <v>41774395600</v>
      </c>
      <c r="T406" s="15" t="n">
        <v>0.00150602409638556</v>
      </c>
      <c r="U406" s="32" t="n">
        <v>18355634149.5</v>
      </c>
      <c r="V406" s="14" t="n">
        <v>2.13973284216738</v>
      </c>
      <c r="W406" s="13" t="n">
        <v>0.0326086956521738</v>
      </c>
      <c r="X406" s="15" t="n">
        <v>0.00150375939849612</v>
      </c>
      <c r="Y406" s="13" t="n">
        <v>-0.0251929593186541</v>
      </c>
      <c r="Z406" s="13" t="n">
        <v>-0.0254484656656197</v>
      </c>
      <c r="AA406" s="30" t="s">
        <v>96</v>
      </c>
      <c r="AB406" s="28" t="s">
        <v>94</v>
      </c>
      <c r="AC406" s="28" t="s">
        <v>100</v>
      </c>
      <c r="AD406" s="28" t="s">
        <v>107</v>
      </c>
      <c r="AE406" s="28" t="s">
        <v>112</v>
      </c>
      <c r="AF406" s="28" t="s">
        <v>117</v>
      </c>
      <c r="AG406" s="30" t="s">
        <v>122</v>
      </c>
    </row>
    <row r="407" customFormat="false" ht="15" hidden="false" customHeight="false" outlineLevel="0" collapsed="false">
      <c r="A407" s="10" t="n">
        <v>2025</v>
      </c>
      <c r="B407" s="28" t="s">
        <v>64</v>
      </c>
      <c r="C407" s="29" t="n">
        <v>45695</v>
      </c>
      <c r="D407" s="30" t="s">
        <v>129</v>
      </c>
      <c r="E407" s="28" t="s">
        <v>759</v>
      </c>
      <c r="F407" s="30" t="s">
        <v>760</v>
      </c>
      <c r="G407" s="31" t="n">
        <v>20571</v>
      </c>
      <c r="H407" s="31" t="n">
        <v>4</v>
      </c>
      <c r="I407" s="31" t="n">
        <v>82282</v>
      </c>
      <c r="J407" s="29" t="n">
        <v>45698</v>
      </c>
      <c r="K407" s="31" t="n">
        <v>26700</v>
      </c>
      <c r="L407" s="30" t="s">
        <v>31</v>
      </c>
      <c r="M407" s="10" t="n">
        <v>1</v>
      </c>
      <c r="N407" s="12" t="n">
        <v>24329</v>
      </c>
      <c r="O407" s="13" t="n">
        <v>0.295680446925338</v>
      </c>
      <c r="P407" s="15" t="n">
        <v>0.297972100891809</v>
      </c>
      <c r="Q407" s="13" t="n">
        <v>0.297972100891809</v>
      </c>
      <c r="R407" s="15" t="n">
        <v>0.181713628522139</v>
      </c>
      <c r="S407" s="32" t="n">
        <v>26035288200</v>
      </c>
      <c r="T407" s="15" t="n">
        <v>0.0838607594936709</v>
      </c>
      <c r="U407" s="32" t="n">
        <v>6155047069</v>
      </c>
      <c r="V407" s="14" t="n">
        <v>3.31101033165142</v>
      </c>
      <c r="W407" s="13" t="n">
        <v>0.146123814835471</v>
      </c>
      <c r="X407" s="15" t="n">
        <v>0.0291970802919708</v>
      </c>
      <c r="Y407" s="13" t="n">
        <v>-0.00584606287572675</v>
      </c>
      <c r="Z407" s="13" t="n">
        <v>0.0018074418937224</v>
      </c>
      <c r="AA407" s="30" t="s">
        <v>97</v>
      </c>
      <c r="AB407" s="28" t="s">
        <v>93</v>
      </c>
      <c r="AC407" s="28" t="s">
        <v>103</v>
      </c>
      <c r="AD407" s="28" t="s">
        <v>106</v>
      </c>
      <c r="AE407" s="28" t="s">
        <v>101</v>
      </c>
      <c r="AF407" s="28" t="s">
        <v>118</v>
      </c>
      <c r="AG407" s="30" t="s">
        <v>122</v>
      </c>
    </row>
    <row r="408" customFormat="false" ht="15" hidden="false" customHeight="false" outlineLevel="0" collapsed="false">
      <c r="A408" s="10" t="n">
        <v>2025</v>
      </c>
      <c r="B408" s="28" t="s">
        <v>64</v>
      </c>
      <c r="C408" s="29" t="n">
        <v>45699</v>
      </c>
      <c r="D408" s="30" t="s">
        <v>126</v>
      </c>
      <c r="E408" s="28" t="s">
        <v>245</v>
      </c>
      <c r="F408" s="30" t="s">
        <v>246</v>
      </c>
      <c r="G408" s="31" t="n">
        <v>67367</v>
      </c>
      <c r="H408" s="31" t="n">
        <v>1</v>
      </c>
      <c r="I408" s="31" t="n">
        <v>67367</v>
      </c>
      <c r="J408" s="29" t="n">
        <v>45722</v>
      </c>
      <c r="K408" s="31" t="n">
        <v>81000</v>
      </c>
      <c r="L408" s="30" t="s">
        <v>31</v>
      </c>
      <c r="M408" s="10" t="n">
        <v>16</v>
      </c>
      <c r="N408" s="12" t="n">
        <v>13489</v>
      </c>
      <c r="O408" s="13" t="n">
        <v>0.200229857883573</v>
      </c>
      <c r="P408" s="15" t="n">
        <v>0.246895749124576</v>
      </c>
      <c r="Q408" s="13" t="n">
        <v>0.00048539870233788</v>
      </c>
      <c r="R408" s="15" t="n">
        <v>0.0750798722044728</v>
      </c>
      <c r="S408" s="32" t="n">
        <v>212488578200</v>
      </c>
      <c r="T408" s="15" t="n">
        <v>0.0105105105105106</v>
      </c>
      <c r="U408" s="32" t="n">
        <v>10166480980</v>
      </c>
      <c r="V408" s="14" t="n">
        <v>20.1764566234498</v>
      </c>
      <c r="W408" s="13" t="n">
        <v>0.0733652312599682</v>
      </c>
      <c r="X408" s="15" t="n">
        <v>0.00297176820208023</v>
      </c>
      <c r="Y408" s="13" t="n">
        <v>0.00705200157063701</v>
      </c>
      <c r="Z408" s="13" t="n">
        <v>0.0231132816749877</v>
      </c>
      <c r="AA408" s="30" t="s">
        <v>97</v>
      </c>
      <c r="AB408" s="28" t="s">
        <v>93</v>
      </c>
      <c r="AC408" s="28" t="s">
        <v>101</v>
      </c>
      <c r="AD408" s="28" t="s">
        <v>110</v>
      </c>
      <c r="AE408" s="28" t="s">
        <v>112</v>
      </c>
      <c r="AF408" s="28" t="s">
        <v>120</v>
      </c>
      <c r="AG408" s="30" t="s">
        <v>122</v>
      </c>
    </row>
    <row r="409" customFormat="false" ht="15" hidden="false" customHeight="false" outlineLevel="0" collapsed="false">
      <c r="A409" s="10" t="n">
        <v>2025</v>
      </c>
      <c r="B409" s="28" t="s">
        <v>64</v>
      </c>
      <c r="C409" s="29" t="n">
        <v>45701</v>
      </c>
      <c r="D409" s="30" t="s">
        <v>128</v>
      </c>
      <c r="E409" s="28" t="s">
        <v>455</v>
      </c>
      <c r="F409" s="30" t="s">
        <v>456</v>
      </c>
      <c r="G409" s="31" t="n">
        <v>20370</v>
      </c>
      <c r="H409" s="31" t="n">
        <v>4</v>
      </c>
      <c r="I409" s="31" t="n">
        <v>81481</v>
      </c>
      <c r="J409" s="29" t="n">
        <v>45705</v>
      </c>
      <c r="K409" s="31" t="n">
        <v>19391</v>
      </c>
      <c r="L409" s="30" t="s">
        <v>32</v>
      </c>
      <c r="M409" s="10" t="n">
        <v>2</v>
      </c>
      <c r="N409" s="12" t="n">
        <v>-4059</v>
      </c>
      <c r="O409" s="13" t="n">
        <v>-0.0498179965489056</v>
      </c>
      <c r="P409" s="15" t="n">
        <v>0.00391009481918569</v>
      </c>
      <c r="Q409" s="13" t="n">
        <v>-0.0481263208535935</v>
      </c>
      <c r="R409" s="15" t="n">
        <v>0.0824468085106382</v>
      </c>
      <c r="S409" s="32" t="n">
        <v>36806129250</v>
      </c>
      <c r="T409" s="15" t="n">
        <v>0.00992555831265518</v>
      </c>
      <c r="U409" s="32" t="n">
        <v>12955055446.5</v>
      </c>
      <c r="V409" s="14" t="n">
        <v>2.68193739840262</v>
      </c>
      <c r="W409" s="13" t="n">
        <v>0.0767195767195767</v>
      </c>
      <c r="X409" s="15" t="n">
        <v>0</v>
      </c>
      <c r="Y409" s="13" t="n">
        <v>0.0136478325531022</v>
      </c>
      <c r="Z409" s="13" t="n">
        <v>0.0182990046319109</v>
      </c>
      <c r="AA409" s="30" t="s">
        <v>97</v>
      </c>
      <c r="AB409" s="28" t="s">
        <v>93</v>
      </c>
      <c r="AC409" s="28" t="s">
        <v>101</v>
      </c>
      <c r="AD409" s="28" t="s">
        <v>107</v>
      </c>
      <c r="AE409" s="28" t="s">
        <v>112</v>
      </c>
      <c r="AF409" s="28" t="s">
        <v>117</v>
      </c>
      <c r="AG409" s="30" t="s">
        <v>122</v>
      </c>
    </row>
    <row r="410" customFormat="false" ht="15" hidden="false" customHeight="false" outlineLevel="0" collapsed="false">
      <c r="A410" s="10" t="n">
        <v>2025</v>
      </c>
      <c r="B410" s="28" t="s">
        <v>64</v>
      </c>
      <c r="C410" s="29" t="n">
        <v>45701</v>
      </c>
      <c r="D410" s="30" t="s">
        <v>128</v>
      </c>
      <c r="E410" s="28" t="s">
        <v>1035</v>
      </c>
      <c r="F410" s="30" t="s">
        <v>1036</v>
      </c>
      <c r="G410" s="31" t="n">
        <v>59259</v>
      </c>
      <c r="H410" s="31" t="n">
        <v>1</v>
      </c>
      <c r="I410" s="31" t="n">
        <v>59259</v>
      </c>
      <c r="J410" s="29" t="n">
        <v>45708</v>
      </c>
      <c r="K410" s="31" t="n">
        <v>71200</v>
      </c>
      <c r="L410" s="30" t="s">
        <v>31</v>
      </c>
      <c r="M410" s="10" t="n">
        <v>5</v>
      </c>
      <c r="N410" s="12" t="n">
        <v>11814</v>
      </c>
      <c r="O410" s="13" t="n">
        <v>0.199368724518725</v>
      </c>
      <c r="P410" s="15" t="n">
        <v>0.231876231876232</v>
      </c>
      <c r="Q410" s="13" t="n">
        <v>-0.00943650943650942</v>
      </c>
      <c r="R410" s="15" t="n">
        <v>0.108614232209738</v>
      </c>
      <c r="S410" s="32" t="n">
        <v>34826827200</v>
      </c>
      <c r="T410" s="15" t="n">
        <v>0.00169204737732653</v>
      </c>
      <c r="U410" s="32" t="n">
        <v>5659892800</v>
      </c>
      <c r="V410" s="14" t="n">
        <v>5.84850325534878</v>
      </c>
      <c r="W410" s="13" t="n">
        <v>0.100371747211896</v>
      </c>
      <c r="X410" s="15" t="n">
        <v>0.0118243243243243</v>
      </c>
      <c r="Y410" s="13" t="n">
        <v>0.0136478325531022</v>
      </c>
      <c r="Z410" s="13" t="n">
        <v>0.0182990046319109</v>
      </c>
      <c r="AA410" s="30" t="s">
        <v>97</v>
      </c>
      <c r="AB410" s="28" t="s">
        <v>93</v>
      </c>
      <c r="AC410" s="28" t="s">
        <v>102</v>
      </c>
      <c r="AD410" s="28" t="s">
        <v>107</v>
      </c>
      <c r="AE410" s="28" t="s">
        <v>112</v>
      </c>
      <c r="AF410" s="28" t="s">
        <v>119</v>
      </c>
      <c r="AG410" s="30" t="s">
        <v>122</v>
      </c>
    </row>
    <row r="411" customFormat="false" ht="15" hidden="false" customHeight="false" outlineLevel="0" collapsed="false">
      <c r="A411" s="10" t="n">
        <v>2025</v>
      </c>
      <c r="B411" s="28" t="s">
        <v>64</v>
      </c>
      <c r="C411" s="29" t="n">
        <v>45701</v>
      </c>
      <c r="D411" s="30" t="s">
        <v>128</v>
      </c>
      <c r="E411" s="28" t="s">
        <v>465</v>
      </c>
      <c r="F411" s="28" t="s">
        <v>466</v>
      </c>
      <c r="G411" s="31" t="n">
        <v>56356</v>
      </c>
      <c r="H411" s="31" t="n">
        <v>1</v>
      </c>
      <c r="I411" s="31" t="n">
        <v>56356</v>
      </c>
      <c r="J411" s="29" t="n">
        <v>45775</v>
      </c>
      <c r="K411" s="31" t="n">
        <v>53646</v>
      </c>
      <c r="L411" s="30" t="s">
        <v>32</v>
      </c>
      <c r="M411" s="10" t="n">
        <v>51</v>
      </c>
      <c r="N411" s="12" t="n">
        <v>-2807</v>
      </c>
      <c r="O411" s="13" t="n">
        <v>-0.0498075608228361</v>
      </c>
      <c r="P411" s="15" t="n">
        <v>0.0486848852745834</v>
      </c>
      <c r="Q411" s="13" t="n">
        <v>-0.0613294343312104</v>
      </c>
      <c r="R411" s="15" t="n">
        <v>0.00535714285714284</v>
      </c>
      <c r="S411" s="32" t="n">
        <v>29369514300</v>
      </c>
      <c r="T411" s="15" t="n">
        <v>0.00356506238859189</v>
      </c>
      <c r="U411" s="32" t="n">
        <v>28662430075</v>
      </c>
      <c r="V411" s="14" t="n">
        <v>1.00851014593172</v>
      </c>
      <c r="W411" s="13" t="n">
        <v>0.00896057347670243</v>
      </c>
      <c r="X411" s="15" t="n">
        <v>0</v>
      </c>
      <c r="Y411" s="13" t="n">
        <v>0.0136478325531022</v>
      </c>
      <c r="Z411" s="13" t="n">
        <v>0.0182990046319109</v>
      </c>
      <c r="AA411" s="30" t="s">
        <v>97</v>
      </c>
      <c r="AB411" s="28" t="s">
        <v>93</v>
      </c>
      <c r="AC411" s="28" t="s">
        <v>99</v>
      </c>
      <c r="AD411" s="28" t="s">
        <v>106</v>
      </c>
      <c r="AE411" s="28" t="s">
        <v>112</v>
      </c>
      <c r="AF411" s="28" t="s">
        <v>116</v>
      </c>
      <c r="AG411" s="30" t="s">
        <v>122</v>
      </c>
    </row>
    <row r="412" customFormat="false" ht="15" hidden="false" customHeight="false" outlineLevel="0" collapsed="false">
      <c r="A412" s="10" t="n">
        <v>2025</v>
      </c>
      <c r="B412" s="28" t="s">
        <v>64</v>
      </c>
      <c r="C412" s="29" t="n">
        <v>45701</v>
      </c>
      <c r="D412" s="30" t="s">
        <v>128</v>
      </c>
      <c r="E412" s="28" t="s">
        <v>217</v>
      </c>
      <c r="F412" s="28" t="s">
        <v>218</v>
      </c>
      <c r="G412" s="31" t="n">
        <v>76777</v>
      </c>
      <c r="H412" s="31" t="n">
        <v>1</v>
      </c>
      <c r="I412" s="31" t="n">
        <v>76777</v>
      </c>
      <c r="J412" s="29" t="n">
        <v>45708</v>
      </c>
      <c r="K412" s="31" t="n">
        <v>73027</v>
      </c>
      <c r="L412" s="30" t="s">
        <v>32</v>
      </c>
      <c r="M412" s="10" t="n">
        <v>5</v>
      </c>
      <c r="N412" s="12" t="n">
        <v>-3882</v>
      </c>
      <c r="O412" s="13" t="n">
        <v>-0.050559751721551</v>
      </c>
      <c r="P412" s="15" t="n">
        <v>0.0302604826724775</v>
      </c>
      <c r="Q412" s="13" t="n">
        <v>-0.0648204468282695</v>
      </c>
      <c r="R412" s="15" t="n">
        <v>0.0407055630936228</v>
      </c>
      <c r="S412" s="32" t="n">
        <v>26715760500</v>
      </c>
      <c r="T412" s="15" t="n">
        <v>0.00261437908496731</v>
      </c>
      <c r="U412" s="32" t="n">
        <v>18831032720</v>
      </c>
      <c r="V412" s="14" t="n">
        <v>1.30119255905313</v>
      </c>
      <c r="W412" s="13" t="n">
        <v>0.0281501340482573</v>
      </c>
      <c r="X412" s="15" t="n">
        <v>0.0169491525423728</v>
      </c>
      <c r="Y412" s="13" t="n">
        <v>0.0136478325531022</v>
      </c>
      <c r="Z412" s="13" t="n">
        <v>0.0182990046319109</v>
      </c>
      <c r="AA412" s="30" t="s">
        <v>97</v>
      </c>
      <c r="AB412" s="28" t="s">
        <v>93</v>
      </c>
      <c r="AC412" s="28" t="s">
        <v>100</v>
      </c>
      <c r="AD412" s="28" t="s">
        <v>106</v>
      </c>
      <c r="AE412" s="28" t="s">
        <v>112</v>
      </c>
      <c r="AF412" s="28" t="s">
        <v>116</v>
      </c>
      <c r="AG412" s="30" t="s">
        <v>122</v>
      </c>
    </row>
    <row r="413" customFormat="false" ht="15" hidden="false" customHeight="false" outlineLevel="0" collapsed="false">
      <c r="A413" s="10" t="n">
        <v>2025</v>
      </c>
      <c r="B413" s="28" t="s">
        <v>64</v>
      </c>
      <c r="C413" s="29" t="n">
        <v>45701</v>
      </c>
      <c r="D413" s="30" t="s">
        <v>128</v>
      </c>
      <c r="E413" s="28" t="s">
        <v>359</v>
      </c>
      <c r="F413" s="28" t="s">
        <v>360</v>
      </c>
      <c r="G413" s="31" t="n">
        <v>18669</v>
      </c>
      <c r="H413" s="31" t="n">
        <v>5</v>
      </c>
      <c r="I413" s="31" t="n">
        <v>93343</v>
      </c>
      <c r="J413" s="29" t="n">
        <v>45716</v>
      </c>
      <c r="K413" s="31" t="n">
        <v>17772</v>
      </c>
      <c r="L413" s="30" t="s">
        <v>32</v>
      </c>
      <c r="M413" s="10" t="n">
        <v>11</v>
      </c>
      <c r="N413" s="12" t="n">
        <v>-4643</v>
      </c>
      <c r="O413" s="13" t="n">
        <v>-0.0497392389915715</v>
      </c>
      <c r="P413" s="15" t="n">
        <v>0.0606015967946265</v>
      </c>
      <c r="Q413" s="13" t="n">
        <v>-0.0593856545599172</v>
      </c>
      <c r="R413" s="15" t="n">
        <v>0.0693807339449541</v>
      </c>
      <c r="S413" s="32" t="n">
        <v>22078709250</v>
      </c>
      <c r="T413" s="15" t="n">
        <v>0.0247252747252746</v>
      </c>
      <c r="U413" s="32" t="n">
        <v>6626213954.5</v>
      </c>
      <c r="V413" s="14" t="n">
        <v>3.10534681415673</v>
      </c>
      <c r="W413" s="13" t="n">
        <v>0.0536723163841808</v>
      </c>
      <c r="X413" s="15" t="n">
        <v>0.00750670241286855</v>
      </c>
      <c r="Y413" s="13" t="n">
        <v>0.0136478325531022</v>
      </c>
      <c r="Z413" s="13" t="n">
        <v>0.0182990046319109</v>
      </c>
      <c r="AA413" s="30" t="s">
        <v>97</v>
      </c>
      <c r="AB413" s="28" t="s">
        <v>93</v>
      </c>
      <c r="AC413" s="28" t="s">
        <v>101</v>
      </c>
      <c r="AD413" s="28" t="s">
        <v>106</v>
      </c>
      <c r="AE413" s="28" t="s">
        <v>113</v>
      </c>
      <c r="AF413" s="28" t="s">
        <v>118</v>
      </c>
      <c r="AG413" s="30" t="s">
        <v>122</v>
      </c>
    </row>
    <row r="414" customFormat="false" ht="15" hidden="false" customHeight="false" outlineLevel="0" collapsed="false">
      <c r="A414" s="10" t="n">
        <v>2025</v>
      </c>
      <c r="B414" s="28" t="s">
        <v>64</v>
      </c>
      <c r="C414" s="29" t="n">
        <v>45701</v>
      </c>
      <c r="D414" s="30" t="s">
        <v>128</v>
      </c>
      <c r="E414" s="28" t="s">
        <v>571</v>
      </c>
      <c r="F414" s="30" t="s">
        <v>572</v>
      </c>
      <c r="G414" s="31" t="n">
        <v>17197</v>
      </c>
      <c r="H414" s="31" t="n">
        <v>5</v>
      </c>
      <c r="I414" s="31" t="n">
        <v>85986</v>
      </c>
      <c r="J414" s="29" t="n">
        <v>45727</v>
      </c>
      <c r="K414" s="31" t="n">
        <v>16364</v>
      </c>
      <c r="L414" s="30" t="s">
        <v>32</v>
      </c>
      <c r="M414" s="10" t="n">
        <v>17</v>
      </c>
      <c r="N414" s="12" t="n">
        <v>-4316</v>
      </c>
      <c r="O414" s="13" t="n">
        <v>-0.050190760927082</v>
      </c>
      <c r="P414" s="15" t="n">
        <v>0.136814291645491</v>
      </c>
      <c r="Q414" s="13" t="n">
        <v>-0.0574035975665777</v>
      </c>
      <c r="R414" s="15" t="n">
        <v>0.0520514390691977</v>
      </c>
      <c r="S414" s="32" t="n">
        <v>21670336600</v>
      </c>
      <c r="T414" s="15" t="n">
        <v>0.00644405389572356</v>
      </c>
      <c r="U414" s="32" t="n">
        <v>4224904433.5</v>
      </c>
      <c r="V414" s="14" t="n">
        <v>4.82708620786316</v>
      </c>
      <c r="W414" s="13" t="n">
        <v>0.0355635925256179</v>
      </c>
      <c r="X414" s="15" t="n">
        <v>0.0488940628637951</v>
      </c>
      <c r="Y414" s="13" t="n">
        <v>0.0136478325531022</v>
      </c>
      <c r="Z414" s="13" t="n">
        <v>0.0182990046319109</v>
      </c>
      <c r="AA414" s="30" t="s">
        <v>97</v>
      </c>
      <c r="AB414" s="28" t="s">
        <v>93</v>
      </c>
      <c r="AC414" s="28" t="s">
        <v>101</v>
      </c>
      <c r="AD414" s="28" t="s">
        <v>106</v>
      </c>
      <c r="AE414" s="28" t="s">
        <v>112</v>
      </c>
      <c r="AF414" s="28" t="s">
        <v>118</v>
      </c>
      <c r="AG414" s="30" t="s">
        <v>122</v>
      </c>
    </row>
    <row r="415" customFormat="false" ht="15" hidden="false" customHeight="false" outlineLevel="0" collapsed="false">
      <c r="A415" s="10" t="n">
        <v>2025</v>
      </c>
      <c r="B415" s="28" t="s">
        <v>64</v>
      </c>
      <c r="C415" s="29" t="n">
        <v>45701</v>
      </c>
      <c r="D415" s="30" t="s">
        <v>128</v>
      </c>
      <c r="E415" s="28" t="s">
        <v>403</v>
      </c>
      <c r="F415" s="30" t="s">
        <v>404</v>
      </c>
      <c r="G415" s="31" t="n">
        <v>52753</v>
      </c>
      <c r="H415" s="31" t="n">
        <v>1</v>
      </c>
      <c r="I415" s="31" t="n">
        <v>52753</v>
      </c>
      <c r="J415" s="29" t="n">
        <v>45721</v>
      </c>
      <c r="K415" s="31" t="n">
        <v>63400</v>
      </c>
      <c r="L415" s="30" t="s">
        <v>31</v>
      </c>
      <c r="M415" s="10" t="n">
        <v>13</v>
      </c>
      <c r="N415" s="12" t="n">
        <v>10535</v>
      </c>
      <c r="O415" s="13" t="n">
        <v>0.199701192450813</v>
      </c>
      <c r="P415" s="15" t="n">
        <v>0.228373144881684</v>
      </c>
      <c r="Q415" s="13" t="n">
        <v>-0.0104771888453102</v>
      </c>
      <c r="R415" s="15" t="n">
        <v>0.0134615384615384</v>
      </c>
      <c r="S415" s="32" t="n">
        <v>20678689500</v>
      </c>
      <c r="T415" s="15" t="n">
        <v>0.00764818355640529</v>
      </c>
      <c r="U415" s="32" t="n">
        <v>24838480112.5</v>
      </c>
      <c r="V415" s="14" t="n">
        <v>0.773215302484266</v>
      </c>
      <c r="W415" s="13" t="n">
        <v>0.00572519083969469</v>
      </c>
      <c r="X415" s="15" t="n">
        <v>0.0113851992409868</v>
      </c>
      <c r="Y415" s="13" t="n">
        <v>0.0136478325531022</v>
      </c>
      <c r="Z415" s="13" t="n">
        <v>0.0182990046319109</v>
      </c>
      <c r="AA415" s="30" t="s">
        <v>97</v>
      </c>
      <c r="AB415" s="28" t="s">
        <v>93</v>
      </c>
      <c r="AC415" s="28" t="s">
        <v>99</v>
      </c>
      <c r="AD415" s="28" t="s">
        <v>106</v>
      </c>
      <c r="AE415" s="28" t="s">
        <v>112</v>
      </c>
      <c r="AF415" s="28" t="s">
        <v>116</v>
      </c>
      <c r="AG415" s="30" t="s">
        <v>122</v>
      </c>
    </row>
    <row r="416" customFormat="false" ht="15" hidden="false" customHeight="false" outlineLevel="0" collapsed="false">
      <c r="A416" s="10" t="n">
        <v>2025</v>
      </c>
      <c r="B416" s="28" t="s">
        <v>64</v>
      </c>
      <c r="C416" s="29" t="n">
        <v>45702</v>
      </c>
      <c r="D416" s="30" t="s">
        <v>129</v>
      </c>
      <c r="E416" s="28" t="s">
        <v>645</v>
      </c>
      <c r="F416" s="30" t="s">
        <v>646</v>
      </c>
      <c r="G416" s="31" t="n">
        <v>32783</v>
      </c>
      <c r="H416" s="31" t="n">
        <v>3</v>
      </c>
      <c r="I416" s="31" t="n">
        <v>98348</v>
      </c>
      <c r="J416" s="29" t="n">
        <v>45706</v>
      </c>
      <c r="K416" s="31" t="n">
        <v>31169</v>
      </c>
      <c r="L416" s="30" t="s">
        <v>32</v>
      </c>
      <c r="M416" s="10" t="n">
        <v>2</v>
      </c>
      <c r="N416" s="12" t="n">
        <v>-5011</v>
      </c>
      <c r="O416" s="13" t="n">
        <v>-0.050950452067017</v>
      </c>
      <c r="P416" s="15" t="n">
        <v>0.000526191365886053</v>
      </c>
      <c r="Q416" s="13" t="n">
        <v>-0.0559059261349337</v>
      </c>
      <c r="R416" s="15" t="n">
        <v>0.242884250474383</v>
      </c>
      <c r="S416" s="32" t="n">
        <v>267526005750</v>
      </c>
      <c r="T416" s="15" t="n">
        <v>0.231203007518797</v>
      </c>
      <c r="U416" s="32" t="n">
        <v>23202333225</v>
      </c>
      <c r="V416" s="14" t="n">
        <v>8.82367561686735</v>
      </c>
      <c r="W416" s="13" t="n">
        <v>0.206261510128913</v>
      </c>
      <c r="X416" s="15" t="n">
        <v>0.0458015267175573</v>
      </c>
      <c r="Y416" s="13" t="n">
        <v>0.00305051545194468</v>
      </c>
      <c r="Z416" s="13" t="n">
        <v>0.0274116546123588</v>
      </c>
      <c r="AA416" s="30" t="s">
        <v>97</v>
      </c>
      <c r="AB416" s="28" t="s">
        <v>93</v>
      </c>
      <c r="AC416" s="28" t="s">
        <v>104</v>
      </c>
      <c r="AD416" s="28" t="s">
        <v>110</v>
      </c>
      <c r="AE416" s="28" t="s">
        <v>114</v>
      </c>
      <c r="AF416" s="28" t="s">
        <v>119</v>
      </c>
      <c r="AG416" s="30" t="s">
        <v>122</v>
      </c>
    </row>
    <row r="417" customFormat="false" ht="15" hidden="false" customHeight="false" outlineLevel="0" collapsed="false">
      <c r="A417" s="10" t="n">
        <v>2025</v>
      </c>
      <c r="B417" s="28" t="s">
        <v>64</v>
      </c>
      <c r="C417" s="29" t="n">
        <v>45702</v>
      </c>
      <c r="D417" s="30" t="s">
        <v>129</v>
      </c>
      <c r="E417" s="28" t="s">
        <v>1387</v>
      </c>
      <c r="F417" s="30" t="s">
        <v>1388</v>
      </c>
      <c r="G417" s="31" t="n">
        <v>4865</v>
      </c>
      <c r="H417" s="31" t="n">
        <v>20</v>
      </c>
      <c r="I417" s="31" t="n">
        <v>97297</v>
      </c>
      <c r="J417" s="29" t="n">
        <v>45706</v>
      </c>
      <c r="K417" s="31" t="n">
        <v>5840</v>
      </c>
      <c r="L417" s="30" t="s">
        <v>31</v>
      </c>
      <c r="M417" s="10" t="n">
        <v>2</v>
      </c>
      <c r="N417" s="12" t="n">
        <v>19295</v>
      </c>
      <c r="O417" s="13" t="n">
        <v>0.198314909576021</v>
      </c>
      <c r="P417" s="15" t="n">
        <v>0.229223451445674</v>
      </c>
      <c r="Q417" s="13" t="n">
        <v>0.0103065658621215</v>
      </c>
      <c r="R417" s="15" t="n">
        <v>0.216520650813517</v>
      </c>
      <c r="S417" s="32" t="n">
        <v>90975282840</v>
      </c>
      <c r="T417" s="15" t="n">
        <v>0.138173302107728</v>
      </c>
      <c r="U417" s="32" t="n">
        <v>7787915818.5</v>
      </c>
      <c r="V417" s="14" t="n">
        <v>9.86270725847741</v>
      </c>
      <c r="W417" s="13" t="n">
        <v>0.151658767772512</v>
      </c>
      <c r="X417" s="15" t="n">
        <v>0.0349794238683128</v>
      </c>
      <c r="Y417" s="13" t="n">
        <v>0.00305051545194468</v>
      </c>
      <c r="Z417" s="13" t="n">
        <v>0.0274116546123588</v>
      </c>
      <c r="AA417" s="30" t="s">
        <v>97</v>
      </c>
      <c r="AB417" s="28" t="s">
        <v>93</v>
      </c>
      <c r="AC417" s="28" t="s">
        <v>104</v>
      </c>
      <c r="AD417" s="28" t="s">
        <v>108</v>
      </c>
      <c r="AE417" s="28" t="s">
        <v>114</v>
      </c>
      <c r="AF417" s="28" t="s">
        <v>119</v>
      </c>
      <c r="AG417" s="30" t="s">
        <v>122</v>
      </c>
    </row>
    <row r="418" customFormat="false" ht="15" hidden="false" customHeight="false" outlineLevel="0" collapsed="false">
      <c r="A418" s="10" t="n">
        <v>2025</v>
      </c>
      <c r="B418" s="28" t="s">
        <v>64</v>
      </c>
      <c r="C418" s="29" t="n">
        <v>45702</v>
      </c>
      <c r="D418" s="30" t="s">
        <v>129</v>
      </c>
      <c r="E418" s="28" t="s">
        <v>1165</v>
      </c>
      <c r="F418" s="30" t="s">
        <v>1166</v>
      </c>
      <c r="G418" s="31" t="n">
        <v>96697</v>
      </c>
      <c r="H418" s="31" t="n">
        <v>1</v>
      </c>
      <c r="I418" s="31" t="n">
        <v>96697</v>
      </c>
      <c r="J418" s="29" t="n">
        <v>45709</v>
      </c>
      <c r="K418" s="31" t="n">
        <v>92008</v>
      </c>
      <c r="L418" s="30" t="s">
        <v>32</v>
      </c>
      <c r="M418" s="10" t="n">
        <v>5</v>
      </c>
      <c r="N418" s="12" t="n">
        <v>-4855</v>
      </c>
      <c r="O418" s="13" t="n">
        <v>-0.0502087718182439</v>
      </c>
      <c r="P418" s="15" t="n">
        <v>0.0724265382650478</v>
      </c>
      <c r="Q418" s="13" t="n">
        <v>-0.072356215213358</v>
      </c>
      <c r="R418" s="15" t="n">
        <v>0.0733333333333333</v>
      </c>
      <c r="S418" s="32" t="n">
        <v>66780546000</v>
      </c>
      <c r="T418" s="15" t="n">
        <v>0.016842105263158</v>
      </c>
      <c r="U418" s="32" t="n">
        <v>28963149935</v>
      </c>
      <c r="V418" s="14" t="n">
        <v>2.14568236942231</v>
      </c>
      <c r="W418" s="13" t="n">
        <v>0.0511425462459194</v>
      </c>
      <c r="X418" s="15" t="n">
        <v>0.0113871635610765</v>
      </c>
      <c r="Y418" s="13" t="n">
        <v>0.00305051545194468</v>
      </c>
      <c r="Z418" s="13" t="n">
        <v>0.0274116546123588</v>
      </c>
      <c r="AA418" s="30" t="s">
        <v>97</v>
      </c>
      <c r="AB418" s="28" t="s">
        <v>93</v>
      </c>
      <c r="AC418" s="28" t="s">
        <v>101</v>
      </c>
      <c r="AD418" s="28" t="s">
        <v>108</v>
      </c>
      <c r="AE418" s="28" t="s">
        <v>112</v>
      </c>
      <c r="AF418" s="28" t="s">
        <v>117</v>
      </c>
      <c r="AG418" s="30" t="s">
        <v>122</v>
      </c>
    </row>
    <row r="419" customFormat="false" ht="15" hidden="false" customHeight="false" outlineLevel="0" collapsed="false">
      <c r="A419" s="10" t="n">
        <v>2025</v>
      </c>
      <c r="B419" s="28" t="s">
        <v>64</v>
      </c>
      <c r="C419" s="29" t="n">
        <v>45705</v>
      </c>
      <c r="D419" s="30" t="s">
        <v>125</v>
      </c>
      <c r="E419" s="28" t="s">
        <v>563</v>
      </c>
      <c r="F419" s="30" t="s">
        <v>564</v>
      </c>
      <c r="G419" s="31" t="n">
        <v>68869</v>
      </c>
      <c r="H419" s="31" t="n">
        <v>1</v>
      </c>
      <c r="I419" s="31" t="n">
        <v>68869</v>
      </c>
      <c r="J419" s="29" t="n">
        <v>45706</v>
      </c>
      <c r="K419" s="31" t="n">
        <v>65534</v>
      </c>
      <c r="L419" s="30" t="s">
        <v>32</v>
      </c>
      <c r="M419" s="10" t="n">
        <v>1</v>
      </c>
      <c r="N419" s="12" t="n">
        <v>-3453</v>
      </c>
      <c r="O419" s="13" t="n">
        <v>-0.050136812025184</v>
      </c>
      <c r="P419" s="15" t="n">
        <v>-0.00390307367051535</v>
      </c>
      <c r="Q419" s="13" t="n">
        <v>-0.10264154450201</v>
      </c>
      <c r="R419" s="15" t="n">
        <v>0.063369397217929</v>
      </c>
      <c r="S419" s="32" t="n">
        <v>42381350400</v>
      </c>
      <c r="T419" s="15" t="n">
        <v>0.0424242424242425</v>
      </c>
      <c r="U419" s="32" t="n">
        <v>12751557180</v>
      </c>
      <c r="V419" s="14" t="n">
        <v>3.00004967550209</v>
      </c>
      <c r="W419" s="13" t="n">
        <v>0.036144578313253</v>
      </c>
      <c r="X419" s="15" t="n">
        <v>0.0203488372093024</v>
      </c>
      <c r="Y419" s="13" t="n">
        <v>0.0074757337758824</v>
      </c>
      <c r="Z419" s="13" t="n">
        <v>0.0353591642307249</v>
      </c>
      <c r="AA419" s="30" t="s">
        <v>97</v>
      </c>
      <c r="AB419" s="28" t="s">
        <v>93</v>
      </c>
      <c r="AC419" s="28" t="s">
        <v>101</v>
      </c>
      <c r="AD419" s="28" t="s">
        <v>107</v>
      </c>
      <c r="AE419" s="28" t="s">
        <v>113</v>
      </c>
      <c r="AF419" s="28" t="s">
        <v>118</v>
      </c>
      <c r="AG419" s="30" t="s">
        <v>122</v>
      </c>
    </row>
    <row r="420" customFormat="false" ht="15" hidden="false" customHeight="false" outlineLevel="0" collapsed="false">
      <c r="A420" s="10" t="n">
        <v>2025</v>
      </c>
      <c r="B420" s="28" t="s">
        <v>64</v>
      </c>
      <c r="C420" s="29" t="n">
        <v>45705</v>
      </c>
      <c r="D420" s="30" t="s">
        <v>125</v>
      </c>
      <c r="E420" s="28" t="s">
        <v>1389</v>
      </c>
      <c r="F420" s="30" t="s">
        <v>1390</v>
      </c>
      <c r="G420" s="31" t="n">
        <v>19620</v>
      </c>
      <c r="H420" s="31" t="n">
        <v>5</v>
      </c>
      <c r="I420" s="31" t="n">
        <v>98098</v>
      </c>
      <c r="J420" s="29" t="n">
        <v>45709</v>
      </c>
      <c r="K420" s="31" t="n">
        <v>18671</v>
      </c>
      <c r="L420" s="30" t="s">
        <v>32</v>
      </c>
      <c r="M420" s="10" t="n">
        <v>4</v>
      </c>
      <c r="N420" s="12" t="n">
        <v>-4910</v>
      </c>
      <c r="O420" s="13" t="n">
        <v>-0.0500540582631655</v>
      </c>
      <c r="P420" s="15" t="n">
        <v>0.0525189096617669</v>
      </c>
      <c r="Q420" s="13" t="n">
        <v>-0.0789822422475484</v>
      </c>
      <c r="R420" s="15" t="n">
        <v>0.101123595505618</v>
      </c>
      <c r="S420" s="32" t="n">
        <v>29748546800</v>
      </c>
      <c r="T420" s="15" t="n">
        <v>0.0481283422459893</v>
      </c>
      <c r="U420" s="32" t="n">
        <v>11420147652.5</v>
      </c>
      <c r="V420" s="14" t="n">
        <v>2.33840998511323</v>
      </c>
      <c r="W420" s="13" t="n">
        <v>0.0980392156862746</v>
      </c>
      <c r="X420" s="15" t="n">
        <v>0.0163265306122449</v>
      </c>
      <c r="Y420" s="13" t="n">
        <v>0.0074757337758824</v>
      </c>
      <c r="Z420" s="13" t="n">
        <v>0.0353591642307249</v>
      </c>
      <c r="AA420" s="30" t="s">
        <v>97</v>
      </c>
      <c r="AB420" s="28" t="s">
        <v>93</v>
      </c>
      <c r="AC420" s="28" t="s">
        <v>102</v>
      </c>
      <c r="AD420" s="28" t="s">
        <v>106</v>
      </c>
      <c r="AE420" s="28" t="s">
        <v>113</v>
      </c>
      <c r="AF420" s="28" t="s">
        <v>117</v>
      </c>
      <c r="AG420" s="30" t="s">
        <v>122</v>
      </c>
    </row>
    <row r="421" customFormat="false" ht="15" hidden="false" customHeight="false" outlineLevel="0" collapsed="false">
      <c r="A421" s="10" t="n">
        <v>2025</v>
      </c>
      <c r="B421" s="28" t="s">
        <v>64</v>
      </c>
      <c r="C421" s="29" t="n">
        <v>45706</v>
      </c>
      <c r="D421" s="30" t="s">
        <v>126</v>
      </c>
      <c r="E421" s="28" t="s">
        <v>297</v>
      </c>
      <c r="F421" s="30" t="s">
        <v>298</v>
      </c>
      <c r="G421" s="31" t="n">
        <v>6867</v>
      </c>
      <c r="H421" s="31" t="n">
        <v>14</v>
      </c>
      <c r="I421" s="31" t="n">
        <v>96136</v>
      </c>
      <c r="J421" s="29" t="n">
        <v>45707</v>
      </c>
      <c r="K421" s="31" t="n">
        <v>6533</v>
      </c>
      <c r="L421" s="30" t="s">
        <v>32</v>
      </c>
      <c r="M421" s="10" t="n">
        <v>1</v>
      </c>
      <c r="N421" s="12" t="n">
        <v>-4833</v>
      </c>
      <c r="O421" s="13" t="n">
        <v>-0.0502719202080718</v>
      </c>
      <c r="P421" s="15" t="n">
        <v>-0.00828034938822109</v>
      </c>
      <c r="Q421" s="13" t="n">
        <v>-0.0490559003678537</v>
      </c>
      <c r="R421" s="15" t="n">
        <v>0.124590163934426</v>
      </c>
      <c r="S421" s="32" t="n">
        <v>143450049960</v>
      </c>
      <c r="T421" s="15" t="n">
        <v>0.102893890675241</v>
      </c>
      <c r="U421" s="32" t="n">
        <v>8556386213.5</v>
      </c>
      <c r="V421" s="14" t="n">
        <v>14.4884567258821</v>
      </c>
      <c r="W421" s="13" t="n">
        <v>0.110032362459547</v>
      </c>
      <c r="X421" s="15" t="n">
        <v>0.0189504373177842</v>
      </c>
      <c r="Y421" s="13" t="n">
        <v>0.00627868312378843</v>
      </c>
      <c r="Z421" s="13" t="n">
        <v>0.034564108623304</v>
      </c>
      <c r="AA421" s="30" t="s">
        <v>97</v>
      </c>
      <c r="AB421" s="28" t="s">
        <v>93</v>
      </c>
      <c r="AC421" s="28" t="s">
        <v>102</v>
      </c>
      <c r="AD421" s="28" t="s">
        <v>109</v>
      </c>
      <c r="AE421" s="28" t="s">
        <v>114</v>
      </c>
      <c r="AF421" s="28" t="s">
        <v>120</v>
      </c>
      <c r="AG421" s="30" t="s">
        <v>122</v>
      </c>
    </row>
    <row r="422" customFormat="false" ht="15" hidden="false" customHeight="false" outlineLevel="0" collapsed="false">
      <c r="A422" s="10" t="n">
        <v>2025</v>
      </c>
      <c r="B422" s="28" t="s">
        <v>64</v>
      </c>
      <c r="C422" s="29" t="n">
        <v>45707</v>
      </c>
      <c r="D422" s="30" t="s">
        <v>127</v>
      </c>
      <c r="E422" s="28" t="s">
        <v>1391</v>
      </c>
      <c r="F422" s="30" t="s">
        <v>1392</v>
      </c>
      <c r="G422" s="31" t="n">
        <v>6166</v>
      </c>
      <c r="H422" s="31" t="n">
        <v>16</v>
      </c>
      <c r="I422" s="31" t="n">
        <v>98659</v>
      </c>
      <c r="J422" s="29" t="n">
        <v>45708</v>
      </c>
      <c r="K422" s="31" t="n">
        <v>5864</v>
      </c>
      <c r="L422" s="30" t="s">
        <v>32</v>
      </c>
      <c r="M422" s="10" t="n">
        <v>1</v>
      </c>
      <c r="N422" s="12" t="n">
        <v>-5002</v>
      </c>
      <c r="O422" s="13" t="n">
        <v>-0.0507010422207661</v>
      </c>
      <c r="P422" s="15" t="n">
        <v>0.0703582132153562</v>
      </c>
      <c r="Q422" s="13" t="n">
        <v>-0.0496516470542443</v>
      </c>
      <c r="R422" s="15" t="n">
        <v>0.0352941176470589</v>
      </c>
      <c r="S422" s="32" t="n">
        <v>45883757920</v>
      </c>
      <c r="T422" s="15" t="n">
        <v>0.0301003344481605</v>
      </c>
      <c r="U422" s="32" t="n">
        <v>38902583822.75</v>
      </c>
      <c r="V422" s="14" t="n">
        <v>0.989469955919963</v>
      </c>
      <c r="W422" s="13" t="n">
        <v>0.0387858347386172</v>
      </c>
      <c r="X422" s="15" t="n">
        <v>0.0227272727272727</v>
      </c>
      <c r="Y422" s="13" t="n">
        <v>0.0170206448125292</v>
      </c>
      <c r="Z422" s="13" t="n">
        <v>0.0483167803986047</v>
      </c>
      <c r="AA422" s="30" t="s">
        <v>97</v>
      </c>
      <c r="AB422" s="28" t="s">
        <v>93</v>
      </c>
      <c r="AC422" s="28" t="s">
        <v>100</v>
      </c>
      <c r="AD422" s="28" t="s">
        <v>107</v>
      </c>
      <c r="AE422" s="28" t="s">
        <v>113</v>
      </c>
      <c r="AF422" s="28" t="s">
        <v>116</v>
      </c>
      <c r="AG422" s="30" t="s">
        <v>122</v>
      </c>
    </row>
    <row r="423" customFormat="false" ht="15" hidden="false" customHeight="false" outlineLevel="0" collapsed="false">
      <c r="A423" s="10" t="n">
        <v>2025</v>
      </c>
      <c r="B423" s="28" t="s">
        <v>64</v>
      </c>
      <c r="C423" s="29" t="n">
        <v>45709</v>
      </c>
      <c r="D423" s="30" t="s">
        <v>129</v>
      </c>
      <c r="E423" s="28" t="s">
        <v>963</v>
      </c>
      <c r="F423" s="30" t="s">
        <v>964</v>
      </c>
      <c r="G423" s="31" t="n">
        <v>34735</v>
      </c>
      <c r="H423" s="31" t="n">
        <v>2</v>
      </c>
      <c r="I423" s="31" t="n">
        <v>69469</v>
      </c>
      <c r="J423" s="29" t="n">
        <v>45723</v>
      </c>
      <c r="K423" s="31" t="n">
        <v>33067</v>
      </c>
      <c r="L423" s="30" t="s">
        <v>32</v>
      </c>
      <c r="M423" s="10" t="n">
        <v>9</v>
      </c>
      <c r="N423" s="12" t="n">
        <v>-3455</v>
      </c>
      <c r="O423" s="13" t="n">
        <v>-0.0497361598056121</v>
      </c>
      <c r="P423" s="15" t="n">
        <v>0.0940068576956186</v>
      </c>
      <c r="Q423" s="13" t="n">
        <v>-0.0801705499111839</v>
      </c>
      <c r="R423" s="15" t="n">
        <v>0.182282793867121</v>
      </c>
      <c r="S423" s="32" t="n">
        <v>87897771900</v>
      </c>
      <c r="T423" s="15" t="n">
        <v>0.0826833073322932</v>
      </c>
      <c r="U423" s="32" t="n">
        <v>3710619347.5</v>
      </c>
      <c r="V423" s="14" t="n">
        <v>19.8239688210458</v>
      </c>
      <c r="W423" s="13" t="n">
        <v>0.0843750000000001</v>
      </c>
      <c r="X423" s="15" t="n">
        <v>0.0360230547550433</v>
      </c>
      <c r="Y423" s="13" t="n">
        <v>0.000195926241305822</v>
      </c>
      <c r="Z423" s="13" t="n">
        <v>0.0245190173867735</v>
      </c>
      <c r="AA423" s="30" t="s">
        <v>97</v>
      </c>
      <c r="AB423" s="28" t="s">
        <v>93</v>
      </c>
      <c r="AC423" s="28" t="s">
        <v>103</v>
      </c>
      <c r="AD423" s="28" t="s">
        <v>108</v>
      </c>
      <c r="AE423" s="28" t="s">
        <v>101</v>
      </c>
      <c r="AF423" s="28" t="s">
        <v>120</v>
      </c>
      <c r="AG423" s="30" t="s">
        <v>122</v>
      </c>
    </row>
    <row r="424" customFormat="false" ht="15" hidden="false" customHeight="false" outlineLevel="0" collapsed="false">
      <c r="A424" s="10" t="n">
        <v>2025</v>
      </c>
      <c r="B424" s="28" t="s">
        <v>64</v>
      </c>
      <c r="C424" s="29" t="n">
        <v>45709</v>
      </c>
      <c r="D424" s="30" t="s">
        <v>129</v>
      </c>
      <c r="E424" s="28" t="s">
        <v>545</v>
      </c>
      <c r="F424" s="30" t="s">
        <v>546</v>
      </c>
      <c r="G424" s="31" t="n">
        <v>33834</v>
      </c>
      <c r="H424" s="31" t="n">
        <v>2</v>
      </c>
      <c r="I424" s="31" t="n">
        <v>67668</v>
      </c>
      <c r="J424" s="29" t="n">
        <v>45714</v>
      </c>
      <c r="K424" s="31" t="n">
        <v>28921</v>
      </c>
      <c r="L424" s="30" t="s">
        <v>32</v>
      </c>
      <c r="M424" s="10" t="n">
        <v>3</v>
      </c>
      <c r="N424" s="12" t="n">
        <v>-9931</v>
      </c>
      <c r="O424" s="13" t="n">
        <v>-0.146762846694725</v>
      </c>
      <c r="P424" s="15" t="n">
        <v>0.0876697267229813</v>
      </c>
      <c r="Q424" s="13" t="n">
        <v>-0.215281759660458</v>
      </c>
      <c r="R424" s="15" t="n">
        <v>0.073015873015873</v>
      </c>
      <c r="S424" s="32" t="n">
        <v>57618251600</v>
      </c>
      <c r="T424" s="15" t="n">
        <v>0.00595238095238093</v>
      </c>
      <c r="U424" s="32" t="n">
        <v>28802229340</v>
      </c>
      <c r="V424" s="14" t="n">
        <v>1.81684966537351</v>
      </c>
      <c r="W424" s="13" t="n">
        <v>0.0833333333333333</v>
      </c>
      <c r="X424" s="15" t="n">
        <v>0.00591715976331364</v>
      </c>
      <c r="Y424" s="13" t="n">
        <v>0.000195926241305822</v>
      </c>
      <c r="Z424" s="13" t="n">
        <v>0.0245190173867735</v>
      </c>
      <c r="AA424" s="30" t="s">
        <v>97</v>
      </c>
      <c r="AB424" s="28" t="s">
        <v>93</v>
      </c>
      <c r="AC424" s="28" t="s">
        <v>101</v>
      </c>
      <c r="AD424" s="28" t="s">
        <v>108</v>
      </c>
      <c r="AE424" s="28" t="s">
        <v>112</v>
      </c>
      <c r="AF424" s="28" t="s">
        <v>116</v>
      </c>
      <c r="AG424" s="30" t="s">
        <v>122</v>
      </c>
    </row>
    <row r="425" customFormat="false" ht="15" hidden="false" customHeight="false" outlineLevel="0" collapsed="false">
      <c r="A425" s="10" t="n">
        <v>2025</v>
      </c>
      <c r="B425" s="28" t="s">
        <v>64</v>
      </c>
      <c r="C425" s="29" t="n">
        <v>45712</v>
      </c>
      <c r="D425" s="30" t="s">
        <v>125</v>
      </c>
      <c r="E425" s="28" t="s">
        <v>385</v>
      </c>
      <c r="F425" s="28" t="s">
        <v>386</v>
      </c>
      <c r="G425" s="31" t="n">
        <v>20020</v>
      </c>
      <c r="H425" s="31" t="n">
        <v>4</v>
      </c>
      <c r="I425" s="31" t="n">
        <v>80080</v>
      </c>
      <c r="J425" s="29" t="n">
        <v>45754</v>
      </c>
      <c r="K425" s="31" t="n">
        <v>18981</v>
      </c>
      <c r="L425" s="30" t="s">
        <v>32</v>
      </c>
      <c r="M425" s="10" t="n">
        <v>29</v>
      </c>
      <c r="N425" s="12" t="n">
        <v>-4293</v>
      </c>
      <c r="O425" s="13" t="n">
        <v>-0.0536124700299698</v>
      </c>
      <c r="P425" s="15" t="n">
        <v>0.131368631368632</v>
      </c>
      <c r="Q425" s="13" t="n">
        <v>-0.1003996003996</v>
      </c>
      <c r="R425" s="15" t="n">
        <v>0.0712372790573113</v>
      </c>
      <c r="S425" s="32" t="n">
        <v>566257380000</v>
      </c>
      <c r="T425" s="15" t="n">
        <v>0.0432968179447053</v>
      </c>
      <c r="U425" s="32" t="n">
        <v>30815224827</v>
      </c>
      <c r="V425" s="14" t="n">
        <v>17.079786401844</v>
      </c>
      <c r="W425" s="13" t="n">
        <v>0.019367991845056</v>
      </c>
      <c r="X425" s="15" t="n">
        <v>0.0825</v>
      </c>
      <c r="Y425" s="13" t="n">
        <v>-0.00350714613987901</v>
      </c>
      <c r="Z425" s="13" t="n">
        <v>0.0133503420905448</v>
      </c>
      <c r="AA425" s="30" t="s">
        <v>97</v>
      </c>
      <c r="AB425" s="28" t="s">
        <v>93</v>
      </c>
      <c r="AC425" s="28" t="s">
        <v>101</v>
      </c>
      <c r="AD425" s="28" t="s">
        <v>110</v>
      </c>
      <c r="AE425" s="28" t="s">
        <v>113</v>
      </c>
      <c r="AF425" s="28" t="s">
        <v>120</v>
      </c>
      <c r="AG425" s="30" t="s">
        <v>122</v>
      </c>
    </row>
    <row r="426" customFormat="false" ht="15" hidden="false" customHeight="false" outlineLevel="0" collapsed="false">
      <c r="A426" s="10" t="n">
        <v>2025</v>
      </c>
      <c r="B426" s="28" t="s">
        <v>64</v>
      </c>
      <c r="C426" s="29" t="n">
        <v>45712</v>
      </c>
      <c r="D426" s="30" t="s">
        <v>125</v>
      </c>
      <c r="E426" s="28" t="s">
        <v>1207</v>
      </c>
      <c r="F426" s="30" t="s">
        <v>1208</v>
      </c>
      <c r="G426" s="31" t="n">
        <v>21872</v>
      </c>
      <c r="H426" s="31" t="n">
        <v>4</v>
      </c>
      <c r="I426" s="31" t="n">
        <v>87487</v>
      </c>
      <c r="J426" s="29" t="n">
        <v>45713</v>
      </c>
      <c r="K426" s="31" t="n">
        <v>20779</v>
      </c>
      <c r="L426" s="30" t="s">
        <v>32</v>
      </c>
      <c r="M426" s="10" t="n">
        <v>1</v>
      </c>
      <c r="N426" s="12" t="n">
        <v>-4521</v>
      </c>
      <c r="O426" s="13" t="n">
        <v>-0.051674479182145</v>
      </c>
      <c r="P426" s="15" t="n">
        <v>0.0744404337081683</v>
      </c>
      <c r="Q426" s="13" t="n">
        <v>-0.078724479182145</v>
      </c>
      <c r="R426" s="15" t="n">
        <v>0.138613861386139</v>
      </c>
      <c r="S426" s="32" t="n">
        <v>223742448650</v>
      </c>
      <c r="T426" s="15" t="n">
        <v>0.0979899497487438</v>
      </c>
      <c r="U426" s="32" t="n">
        <v>33418957377</v>
      </c>
      <c r="V426" s="14" t="n">
        <v>5.59692431572207</v>
      </c>
      <c r="W426" s="13" t="n">
        <v>0.119364754098361</v>
      </c>
      <c r="X426" s="15" t="n">
        <v>0.0503432494279177</v>
      </c>
      <c r="Y426" s="13" t="n">
        <v>-0.00350714613987901</v>
      </c>
      <c r="Z426" s="13" t="n">
        <v>0.0133503420905448</v>
      </c>
      <c r="AA426" s="30" t="s">
        <v>97</v>
      </c>
      <c r="AB426" s="28" t="s">
        <v>93</v>
      </c>
      <c r="AC426" s="28" t="s">
        <v>102</v>
      </c>
      <c r="AD426" s="28" t="s">
        <v>110</v>
      </c>
      <c r="AE426" s="28" t="s">
        <v>101</v>
      </c>
      <c r="AF426" s="28" t="s">
        <v>119</v>
      </c>
      <c r="AG426" s="30" t="s">
        <v>122</v>
      </c>
    </row>
    <row r="427" customFormat="false" ht="15" hidden="false" customHeight="false" outlineLevel="0" collapsed="false">
      <c r="A427" s="10" t="n">
        <v>2025</v>
      </c>
      <c r="B427" s="28" t="s">
        <v>64</v>
      </c>
      <c r="C427" s="29" t="n">
        <v>45712</v>
      </c>
      <c r="D427" s="30" t="s">
        <v>125</v>
      </c>
      <c r="E427" s="28" t="s">
        <v>223</v>
      </c>
      <c r="F427" s="30" t="s">
        <v>224</v>
      </c>
      <c r="G427" s="31" t="n">
        <v>10020</v>
      </c>
      <c r="H427" s="31" t="n">
        <v>9</v>
      </c>
      <c r="I427" s="31" t="n">
        <v>90180</v>
      </c>
      <c r="J427" s="29" t="n">
        <v>45713</v>
      </c>
      <c r="K427" s="31" t="n">
        <v>9500</v>
      </c>
      <c r="L427" s="30" t="s">
        <v>32</v>
      </c>
      <c r="M427" s="10" t="n">
        <v>1</v>
      </c>
      <c r="N427" s="12" t="n">
        <v>-4830</v>
      </c>
      <c r="O427" s="13" t="n">
        <v>-0.0535627020332312</v>
      </c>
      <c r="P427" s="15" t="n">
        <v>0.0778432356853938</v>
      </c>
      <c r="Q427" s="13" t="n">
        <v>-0.0508991507992506</v>
      </c>
      <c r="R427" s="15" t="n">
        <v>0.115942028985507</v>
      </c>
      <c r="S427" s="32" t="n">
        <v>108827688970</v>
      </c>
      <c r="T427" s="15" t="n">
        <v>0.0481675392670158</v>
      </c>
      <c r="U427" s="32" t="n">
        <v>4669828324</v>
      </c>
      <c r="V427" s="14" t="n">
        <v>20.9355922111619</v>
      </c>
      <c r="W427" s="13" t="n">
        <v>0.0603813559322033</v>
      </c>
      <c r="X427" s="15" t="n">
        <v>0.043956043956044</v>
      </c>
      <c r="Y427" s="13" t="n">
        <v>-0.00350714613987901</v>
      </c>
      <c r="Z427" s="13" t="n">
        <v>0.0133503420905448</v>
      </c>
      <c r="AA427" s="30" t="s">
        <v>97</v>
      </c>
      <c r="AB427" s="28" t="s">
        <v>93</v>
      </c>
      <c r="AC427" s="28" t="s">
        <v>102</v>
      </c>
      <c r="AD427" s="28" t="s">
        <v>109</v>
      </c>
      <c r="AE427" s="28" t="s">
        <v>113</v>
      </c>
      <c r="AF427" s="28" t="s">
        <v>120</v>
      </c>
      <c r="AG427" s="30" t="s">
        <v>122</v>
      </c>
    </row>
    <row r="428" customFormat="false" ht="15" hidden="false" customHeight="false" outlineLevel="0" collapsed="false">
      <c r="A428" s="10" t="n">
        <v>2025</v>
      </c>
      <c r="B428" s="28" t="s">
        <v>64</v>
      </c>
      <c r="C428" s="29" t="n">
        <v>45712</v>
      </c>
      <c r="D428" s="30" t="s">
        <v>125</v>
      </c>
      <c r="E428" s="28" t="s">
        <v>445</v>
      </c>
      <c r="F428" s="28" t="s">
        <v>446</v>
      </c>
      <c r="G428" s="31" t="n">
        <v>31682</v>
      </c>
      <c r="H428" s="31" t="n">
        <v>3</v>
      </c>
      <c r="I428" s="31" t="n">
        <v>95045</v>
      </c>
      <c r="J428" s="29" t="n">
        <v>45716</v>
      </c>
      <c r="K428" s="31" t="n">
        <v>30120</v>
      </c>
      <c r="L428" s="30" t="s">
        <v>32</v>
      </c>
      <c r="M428" s="10" t="n">
        <v>4</v>
      </c>
      <c r="N428" s="12" t="n">
        <v>-4849</v>
      </c>
      <c r="O428" s="13" t="n">
        <v>-0.0510153353755251</v>
      </c>
      <c r="P428" s="15" t="n">
        <v>0.051081619801999</v>
      </c>
      <c r="Q428" s="13" t="n">
        <v>-0.0799090325156675</v>
      </c>
      <c r="R428" s="15" t="n">
        <v>0.100869565217391</v>
      </c>
      <c r="S428" s="32" t="n">
        <v>56015594250</v>
      </c>
      <c r="T428" s="15" t="n">
        <v>0.0857632933104631</v>
      </c>
      <c r="U428" s="32" t="n">
        <v>6935471285</v>
      </c>
      <c r="V428" s="14" t="n">
        <v>6.84796268810331</v>
      </c>
      <c r="W428" s="13" t="n">
        <v>0.0620805369127517</v>
      </c>
      <c r="X428" s="15" t="n">
        <v>0.0410742496050554</v>
      </c>
      <c r="Y428" s="13" t="n">
        <v>-0.00350714613987901</v>
      </c>
      <c r="Z428" s="13" t="n">
        <v>0.0133503420905448</v>
      </c>
      <c r="AA428" s="30" t="s">
        <v>97</v>
      </c>
      <c r="AB428" s="28" t="s">
        <v>93</v>
      </c>
      <c r="AC428" s="28" t="s">
        <v>102</v>
      </c>
      <c r="AD428" s="28" t="s">
        <v>108</v>
      </c>
      <c r="AE428" s="28" t="s">
        <v>101</v>
      </c>
      <c r="AF428" s="28" t="s">
        <v>119</v>
      </c>
      <c r="AG428" s="30" t="s">
        <v>122</v>
      </c>
    </row>
    <row r="429" customFormat="false" ht="15" hidden="false" customHeight="false" outlineLevel="0" collapsed="false">
      <c r="A429" s="10" t="n">
        <v>2025</v>
      </c>
      <c r="B429" s="28" t="s">
        <v>64</v>
      </c>
      <c r="C429" s="29" t="n">
        <v>45712</v>
      </c>
      <c r="D429" s="30" t="s">
        <v>125</v>
      </c>
      <c r="E429" s="28" t="s">
        <v>775</v>
      </c>
      <c r="F429" s="30" t="s">
        <v>776</v>
      </c>
      <c r="G429" s="31" t="n">
        <v>57658</v>
      </c>
      <c r="H429" s="31" t="n">
        <v>1</v>
      </c>
      <c r="I429" s="31" t="n">
        <v>57658</v>
      </c>
      <c r="J429" s="29" t="n">
        <v>45713</v>
      </c>
      <c r="K429" s="31" t="n">
        <v>54845</v>
      </c>
      <c r="L429" s="30" t="s">
        <v>32</v>
      </c>
      <c r="M429" s="10" t="n">
        <v>1</v>
      </c>
      <c r="N429" s="12" t="n">
        <v>-2912</v>
      </c>
      <c r="O429" s="13" t="n">
        <v>-0.0504988597340159</v>
      </c>
      <c r="P429" s="15" t="n">
        <v>0.00246975246975256</v>
      </c>
      <c r="Q429" s="13" t="n">
        <v>-0.0634365634365633</v>
      </c>
      <c r="R429" s="15" t="n">
        <v>0.0176678445229681</v>
      </c>
      <c r="S429" s="32" t="n">
        <v>55624492800</v>
      </c>
      <c r="T429" s="15" t="n">
        <v>0.0176678445229681</v>
      </c>
      <c r="U429" s="32" t="n">
        <v>23754583735</v>
      </c>
      <c r="V429" s="14" t="n">
        <v>2.12599538081221</v>
      </c>
      <c r="W429" s="13" t="n">
        <v>0.0415913200723328</v>
      </c>
      <c r="X429" s="15" t="n">
        <v>0.0190972222222223</v>
      </c>
      <c r="Y429" s="13" t="n">
        <v>-0.00350714613987901</v>
      </c>
      <c r="Z429" s="13" t="n">
        <v>0.0133503420905448</v>
      </c>
      <c r="AA429" s="30" t="s">
        <v>97</v>
      </c>
      <c r="AB429" s="28" t="s">
        <v>93</v>
      </c>
      <c r="AC429" s="28" t="s">
        <v>99</v>
      </c>
      <c r="AD429" s="28" t="s">
        <v>108</v>
      </c>
      <c r="AE429" s="28" t="s">
        <v>112</v>
      </c>
      <c r="AF429" s="28" t="s">
        <v>117</v>
      </c>
      <c r="AG429" s="30" t="s">
        <v>122</v>
      </c>
    </row>
    <row r="430" customFormat="false" ht="15" hidden="false" customHeight="false" outlineLevel="0" collapsed="false">
      <c r="A430" s="10" t="n">
        <v>2025</v>
      </c>
      <c r="B430" s="28" t="s">
        <v>64</v>
      </c>
      <c r="C430" s="29" t="n">
        <v>45712</v>
      </c>
      <c r="D430" s="30" t="s">
        <v>125</v>
      </c>
      <c r="E430" s="28" t="s">
        <v>787</v>
      </c>
      <c r="F430" s="30" t="s">
        <v>788</v>
      </c>
      <c r="G430" s="31" t="n">
        <v>91792</v>
      </c>
      <c r="H430" s="31" t="n">
        <v>1</v>
      </c>
      <c r="I430" s="31" t="n">
        <v>91792</v>
      </c>
      <c r="J430" s="29" t="n">
        <v>45713</v>
      </c>
      <c r="K430" s="31" t="n">
        <v>87313</v>
      </c>
      <c r="L430" s="30" t="s">
        <v>32</v>
      </c>
      <c r="M430" s="10" t="n">
        <v>1</v>
      </c>
      <c r="N430" s="12" t="n">
        <v>-4637</v>
      </c>
      <c r="O430" s="13" t="n">
        <v>-0.0505158368893919</v>
      </c>
      <c r="P430" s="15" t="n">
        <v>-0.0108038090589889</v>
      </c>
      <c r="Q430" s="13" t="n">
        <v>-0.0663643880655876</v>
      </c>
      <c r="R430" s="15" t="n">
        <v>0.00328227571115969</v>
      </c>
      <c r="S430" s="32" t="n">
        <v>35294413000</v>
      </c>
      <c r="T430" s="15" t="n">
        <v>0.00328227571115969</v>
      </c>
      <c r="U430" s="32" t="n">
        <v>28311033365</v>
      </c>
      <c r="V430" s="14" t="n">
        <v>1.15658107674216</v>
      </c>
      <c r="W430" s="13" t="n">
        <v>0.0132596685082873</v>
      </c>
      <c r="X430" s="15" t="n">
        <v>0.0239912758996728</v>
      </c>
      <c r="Y430" s="13" t="n">
        <v>-0.00350714613987901</v>
      </c>
      <c r="Z430" s="13" t="n">
        <v>0.0133503420905448</v>
      </c>
      <c r="AA430" s="30" t="s">
        <v>97</v>
      </c>
      <c r="AB430" s="28" t="s">
        <v>93</v>
      </c>
      <c r="AC430" s="28" t="s">
        <v>99</v>
      </c>
      <c r="AD430" s="28" t="s">
        <v>107</v>
      </c>
      <c r="AE430" s="28" t="s">
        <v>112</v>
      </c>
      <c r="AF430" s="28" t="s">
        <v>116</v>
      </c>
      <c r="AG430" s="30" t="s">
        <v>122</v>
      </c>
    </row>
    <row r="431" customFormat="false" ht="15" hidden="false" customHeight="false" outlineLevel="0" collapsed="false">
      <c r="A431" s="10" t="n">
        <v>2025</v>
      </c>
      <c r="B431" s="28" t="s">
        <v>64</v>
      </c>
      <c r="C431" s="29" t="n">
        <v>45712</v>
      </c>
      <c r="D431" s="30" t="s">
        <v>125</v>
      </c>
      <c r="E431" s="28" t="s">
        <v>1393</v>
      </c>
      <c r="F431" s="30" t="s">
        <v>1394</v>
      </c>
      <c r="G431" s="31" t="n">
        <v>3624</v>
      </c>
      <c r="H431" s="31" t="n">
        <v>27</v>
      </c>
      <c r="I431" s="31" t="n">
        <v>97838</v>
      </c>
      <c r="J431" s="29" t="n">
        <v>45714</v>
      </c>
      <c r="K431" s="31" t="n">
        <v>3447</v>
      </c>
      <c r="L431" s="30" t="s">
        <v>32</v>
      </c>
      <c r="M431" s="10" t="n">
        <v>2</v>
      </c>
      <c r="N431" s="12" t="n">
        <v>-4949</v>
      </c>
      <c r="O431" s="13" t="n">
        <v>-0.0505848710681583</v>
      </c>
      <c r="P431" s="15" t="n">
        <v>0.0293573829485434</v>
      </c>
      <c r="Q431" s="13" t="n">
        <v>-0.100347166645509</v>
      </c>
      <c r="R431" s="15" t="n">
        <v>0.156549520766773</v>
      </c>
      <c r="S431" s="32" t="n">
        <v>24674625900</v>
      </c>
      <c r="T431" s="15" t="n">
        <v>0.141955835962145</v>
      </c>
      <c r="U431" s="32" t="n">
        <v>3382535549.5</v>
      </c>
      <c r="V431" s="14" t="n">
        <v>6.25424656790146</v>
      </c>
      <c r="W431" s="13" t="n">
        <v>0.173419773095624</v>
      </c>
      <c r="X431" s="15" t="n">
        <v>0.0359116022099448</v>
      </c>
      <c r="Y431" s="13" t="n">
        <v>-0.00350714613987901</v>
      </c>
      <c r="Z431" s="13" t="n">
        <v>0.0133503420905448</v>
      </c>
      <c r="AA431" s="30" t="s">
        <v>97</v>
      </c>
      <c r="AB431" s="28" t="s">
        <v>93</v>
      </c>
      <c r="AC431" s="28" t="s">
        <v>103</v>
      </c>
      <c r="AD431" s="28" t="s">
        <v>106</v>
      </c>
      <c r="AE431" s="28" t="s">
        <v>114</v>
      </c>
      <c r="AF431" s="28" t="s">
        <v>119</v>
      </c>
      <c r="AG431" s="30" t="s">
        <v>122</v>
      </c>
    </row>
    <row r="432" customFormat="false" ht="15" hidden="false" customHeight="false" outlineLevel="0" collapsed="false">
      <c r="A432" s="10" t="n">
        <v>2025</v>
      </c>
      <c r="B432" s="28" t="s">
        <v>65</v>
      </c>
      <c r="C432" s="29" t="n">
        <v>45729</v>
      </c>
      <c r="D432" s="30" t="s">
        <v>128</v>
      </c>
      <c r="E432" s="28" t="s">
        <v>1383</v>
      </c>
      <c r="F432" s="30" t="s">
        <v>1384</v>
      </c>
      <c r="G432" s="31" t="n">
        <v>19289</v>
      </c>
      <c r="H432" s="31" t="n">
        <v>5</v>
      </c>
      <c r="I432" s="31" t="n">
        <v>96446</v>
      </c>
      <c r="J432" s="29" t="n">
        <v>45741</v>
      </c>
      <c r="K432" s="31" t="n">
        <v>18362</v>
      </c>
      <c r="L432" s="30" t="s">
        <v>32</v>
      </c>
      <c r="M432" s="10" t="n">
        <v>8</v>
      </c>
      <c r="N432" s="12" t="n">
        <v>-4804</v>
      </c>
      <c r="O432" s="13" t="n">
        <v>-0.049812152740876</v>
      </c>
      <c r="P432" s="15" t="n">
        <v>0.163859492868315</v>
      </c>
      <c r="Q432" s="13" t="n">
        <v>-0.0595807928449339</v>
      </c>
      <c r="R432" s="15" t="n">
        <v>0.106199770378875</v>
      </c>
      <c r="S432" s="32" t="n">
        <v>45254689310</v>
      </c>
      <c r="T432" s="15" t="n">
        <v>0.0801569506726458</v>
      </c>
      <c r="U432" s="32" t="n">
        <v>9384009226.5</v>
      </c>
      <c r="V432" s="14" t="n">
        <v>4.09971237720692</v>
      </c>
      <c r="W432" s="13" t="n">
        <v>0.106199770378875</v>
      </c>
      <c r="X432" s="15" t="n">
        <v>0.0378827192527245</v>
      </c>
      <c r="Y432" s="13" t="n">
        <v>-0.00045828446260332</v>
      </c>
      <c r="Z432" s="13" t="n">
        <v>-0.000978200111794281</v>
      </c>
      <c r="AA432" s="30" t="s">
        <v>96</v>
      </c>
      <c r="AB432" s="28" t="s">
        <v>94</v>
      </c>
      <c r="AC432" s="28" t="s">
        <v>102</v>
      </c>
      <c r="AD432" s="28" t="s">
        <v>107</v>
      </c>
      <c r="AE432" s="28" t="s">
        <v>101</v>
      </c>
      <c r="AF432" s="28" t="s">
        <v>118</v>
      </c>
      <c r="AG432" s="30" t="s">
        <v>122</v>
      </c>
    </row>
    <row r="433" customFormat="false" ht="15" hidden="false" customHeight="false" outlineLevel="0" collapsed="false">
      <c r="A433" s="10" t="n">
        <v>2025</v>
      </c>
      <c r="B433" s="28" t="s">
        <v>65</v>
      </c>
      <c r="C433" s="29" t="n">
        <v>45733</v>
      </c>
      <c r="D433" s="30" t="s">
        <v>125</v>
      </c>
      <c r="E433" s="28" t="s">
        <v>1217</v>
      </c>
      <c r="F433" s="30" t="s">
        <v>1218</v>
      </c>
      <c r="G433" s="31" t="n">
        <v>39479</v>
      </c>
      <c r="H433" s="31" t="n">
        <v>2</v>
      </c>
      <c r="I433" s="31" t="n">
        <v>78959</v>
      </c>
      <c r="J433" s="29" t="n">
        <v>45735</v>
      </c>
      <c r="K433" s="31" t="n">
        <v>35315</v>
      </c>
      <c r="L433" s="30" t="s">
        <v>32</v>
      </c>
      <c r="M433" s="10" t="n">
        <v>2</v>
      </c>
      <c r="N433" s="12" t="n">
        <v>-8458</v>
      </c>
      <c r="O433" s="13" t="n">
        <v>-0.10712043956044</v>
      </c>
      <c r="P433" s="15" t="n">
        <v>-0.000999000999000854</v>
      </c>
      <c r="Q433" s="13" t="n">
        <v>-0.16009916009916</v>
      </c>
      <c r="R433" s="15" t="n">
        <v>0.087248322147651</v>
      </c>
      <c r="S433" s="32" t="n">
        <v>122153629500</v>
      </c>
      <c r="T433" s="15" t="n">
        <v>0.0657894736842104</v>
      </c>
      <c r="U433" s="32" t="n">
        <v>44730970095</v>
      </c>
      <c r="V433" s="14" t="n">
        <v>2.35950466141065</v>
      </c>
      <c r="W433" s="13" t="n">
        <v>0.0643889618922471</v>
      </c>
      <c r="X433" s="15" t="n">
        <v>0.0296296296296297</v>
      </c>
      <c r="Y433" s="13" t="n">
        <v>0.0172734924172757</v>
      </c>
      <c r="Z433" s="13" t="n">
        <v>0.0156785546162257</v>
      </c>
      <c r="AA433" s="30" t="s">
        <v>97</v>
      </c>
      <c r="AB433" s="28" t="s">
        <v>93</v>
      </c>
      <c r="AC433" s="28" t="s">
        <v>101</v>
      </c>
      <c r="AD433" s="28" t="s">
        <v>109</v>
      </c>
      <c r="AE433" s="28" t="s">
        <v>101</v>
      </c>
      <c r="AF433" s="28" t="s">
        <v>117</v>
      </c>
      <c r="AG433" s="30" t="s">
        <v>122</v>
      </c>
    </row>
    <row r="434" customFormat="false" ht="15" hidden="false" customHeight="false" outlineLevel="0" collapsed="false">
      <c r="A434" s="10" t="n">
        <v>2025</v>
      </c>
      <c r="B434" s="28" t="s">
        <v>65</v>
      </c>
      <c r="C434" s="29" t="n">
        <v>45734</v>
      </c>
      <c r="D434" s="30" t="s">
        <v>126</v>
      </c>
      <c r="E434" s="28" t="s">
        <v>853</v>
      </c>
      <c r="F434" s="30" t="s">
        <v>854</v>
      </c>
      <c r="G434" s="31" t="n">
        <v>6196</v>
      </c>
      <c r="H434" s="31" t="n">
        <v>16</v>
      </c>
      <c r="I434" s="31" t="n">
        <v>99139</v>
      </c>
      <c r="J434" s="29" t="n">
        <v>45735</v>
      </c>
      <c r="K434" s="31" t="n">
        <v>5894</v>
      </c>
      <c r="L434" s="30" t="s">
        <v>32</v>
      </c>
      <c r="M434" s="10" t="n">
        <v>1</v>
      </c>
      <c r="N434" s="12" t="n">
        <v>-5004</v>
      </c>
      <c r="O434" s="13" t="n">
        <v>-0.0504737094085236</v>
      </c>
      <c r="P434" s="15" t="n">
        <v>0.0151399489040847</v>
      </c>
      <c r="Q434" s="13" t="n">
        <v>-0.0510297456985663</v>
      </c>
      <c r="R434" s="15" t="n">
        <v>0.127504553734062</v>
      </c>
      <c r="S434" s="32" t="n">
        <v>49082267960</v>
      </c>
      <c r="T434" s="15" t="n">
        <v>0.0727902946273831</v>
      </c>
      <c r="U434" s="32" t="n">
        <v>7749645839</v>
      </c>
      <c r="V434" s="14" t="n">
        <v>5.64177418727102</v>
      </c>
      <c r="W434" s="13" t="n">
        <v>0.113309352517986</v>
      </c>
      <c r="X434" s="15" t="n">
        <v>0.0242326332794831</v>
      </c>
      <c r="Y434" s="13" t="n">
        <v>0.000632016823138848</v>
      </c>
      <c r="Z434" s="13" t="n">
        <v>0.029453026481715</v>
      </c>
      <c r="AA434" s="30" t="s">
        <v>97</v>
      </c>
      <c r="AB434" s="28" t="s">
        <v>93</v>
      </c>
      <c r="AC434" s="28" t="s">
        <v>102</v>
      </c>
      <c r="AD434" s="28" t="s">
        <v>107</v>
      </c>
      <c r="AE434" s="28" t="s">
        <v>101</v>
      </c>
      <c r="AF434" s="28" t="s">
        <v>119</v>
      </c>
      <c r="AG434" s="30" t="s">
        <v>122</v>
      </c>
    </row>
    <row r="435" customFormat="false" ht="15" hidden="false" customHeight="false" outlineLevel="0" collapsed="false">
      <c r="A435" s="10" t="n">
        <v>2025</v>
      </c>
      <c r="B435" s="28" t="s">
        <v>65</v>
      </c>
      <c r="C435" s="29" t="n">
        <v>45734</v>
      </c>
      <c r="D435" s="30" t="s">
        <v>126</v>
      </c>
      <c r="E435" s="28" t="s">
        <v>1337</v>
      </c>
      <c r="F435" s="30" t="s">
        <v>1338</v>
      </c>
      <c r="G435" s="31" t="n">
        <v>42555</v>
      </c>
      <c r="H435" s="31" t="n">
        <v>2</v>
      </c>
      <c r="I435" s="31" t="n">
        <v>85109</v>
      </c>
      <c r="J435" s="29" t="n">
        <v>45736</v>
      </c>
      <c r="K435" s="31" t="n">
        <v>40509</v>
      </c>
      <c r="L435" s="30" t="s">
        <v>32</v>
      </c>
      <c r="M435" s="10" t="n">
        <v>2</v>
      </c>
      <c r="N435" s="12" t="n">
        <v>-4237</v>
      </c>
      <c r="O435" s="13" t="n">
        <v>-0.0497825328673048</v>
      </c>
      <c r="P435" s="15" t="n">
        <v>0.00137957280814427</v>
      </c>
      <c r="Q435" s="13" t="n">
        <v>-0.0545169116597688</v>
      </c>
      <c r="R435" s="15" t="n">
        <v>0.103810775295664</v>
      </c>
      <c r="S435" s="32" t="n">
        <v>20951532000</v>
      </c>
      <c r="T435" s="15" t="n">
        <v>0.0231425091352009</v>
      </c>
      <c r="U435" s="32" t="n">
        <v>5389797305</v>
      </c>
      <c r="V435" s="14" t="n">
        <v>3.61553871487714</v>
      </c>
      <c r="W435" s="13" t="n">
        <v>0.053952321204517</v>
      </c>
      <c r="X435" s="15" t="n">
        <v>0.00714285714285712</v>
      </c>
      <c r="Y435" s="13" t="n">
        <v>0.000632016823138848</v>
      </c>
      <c r="Z435" s="13" t="n">
        <v>0.029453026481715</v>
      </c>
      <c r="AA435" s="30" t="s">
        <v>97</v>
      </c>
      <c r="AB435" s="28" t="s">
        <v>93</v>
      </c>
      <c r="AC435" s="28" t="s">
        <v>102</v>
      </c>
      <c r="AD435" s="28" t="s">
        <v>106</v>
      </c>
      <c r="AE435" s="28" t="s">
        <v>113</v>
      </c>
      <c r="AF435" s="28" t="s">
        <v>118</v>
      </c>
      <c r="AG435" s="30" t="s">
        <v>122</v>
      </c>
    </row>
    <row r="436" customFormat="false" ht="15" hidden="false" customHeight="false" outlineLevel="0" collapsed="false">
      <c r="A436" s="10" t="n">
        <v>2025</v>
      </c>
      <c r="B436" s="28" t="s">
        <v>65</v>
      </c>
      <c r="C436" s="29" t="n">
        <v>45740</v>
      </c>
      <c r="D436" s="30" t="s">
        <v>125</v>
      </c>
      <c r="E436" s="28" t="s">
        <v>1395</v>
      </c>
      <c r="F436" s="30" t="s">
        <v>1396</v>
      </c>
      <c r="G436" s="31" t="n">
        <v>7588</v>
      </c>
      <c r="H436" s="31" t="n">
        <v>13</v>
      </c>
      <c r="I436" s="31" t="n">
        <v>98639</v>
      </c>
      <c r="J436" s="29" t="n">
        <v>45741</v>
      </c>
      <c r="K436" s="31" t="n">
        <v>7223</v>
      </c>
      <c r="L436" s="30" t="s">
        <v>32</v>
      </c>
      <c r="M436" s="10" t="n">
        <v>1</v>
      </c>
      <c r="N436" s="12" t="n">
        <v>-4912</v>
      </c>
      <c r="O436" s="13" t="n">
        <v>-0.0498005566333402</v>
      </c>
      <c r="P436" s="15" t="n">
        <v>0.00822660189414814</v>
      </c>
      <c r="Q436" s="13" t="n">
        <v>-0.058988504898795</v>
      </c>
      <c r="R436" s="15" t="n">
        <v>0.0527777777777778</v>
      </c>
      <c r="S436" s="32" t="n">
        <v>30759147300</v>
      </c>
      <c r="T436" s="15" t="n">
        <v>0.0215633423180592</v>
      </c>
      <c r="U436" s="32" t="n">
        <v>9482888177</v>
      </c>
      <c r="V436" s="14" t="n">
        <v>3.0751570804864</v>
      </c>
      <c r="W436" s="13" t="n">
        <v>0.0484094052558783</v>
      </c>
      <c r="X436" s="15" t="n">
        <v>0.0079155672823219</v>
      </c>
      <c r="Y436" s="13" t="n">
        <v>-0.00418443285044623</v>
      </c>
      <c r="Z436" s="13" t="n">
        <v>0.00818940586588224</v>
      </c>
      <c r="AA436" s="30" t="s">
        <v>97</v>
      </c>
      <c r="AB436" s="28" t="s">
        <v>93</v>
      </c>
      <c r="AC436" s="28" t="s">
        <v>101</v>
      </c>
      <c r="AD436" s="28" t="s">
        <v>107</v>
      </c>
      <c r="AE436" s="28" t="s">
        <v>113</v>
      </c>
      <c r="AF436" s="28" t="s">
        <v>118</v>
      </c>
      <c r="AG436" s="30" t="s">
        <v>122</v>
      </c>
    </row>
    <row r="437" customFormat="false" ht="15" hidden="false" customHeight="false" outlineLevel="0" collapsed="false">
      <c r="A437" s="10" t="n">
        <v>2025</v>
      </c>
      <c r="B437" s="28" t="s">
        <v>66</v>
      </c>
      <c r="C437" s="29" t="n">
        <v>45761</v>
      </c>
      <c r="D437" s="30" t="s">
        <v>125</v>
      </c>
      <c r="E437" s="28" t="s">
        <v>759</v>
      </c>
      <c r="F437" s="30" t="s">
        <v>760</v>
      </c>
      <c r="G437" s="31" t="n">
        <v>49399</v>
      </c>
      <c r="H437" s="31" t="n">
        <v>2</v>
      </c>
      <c r="I437" s="31" t="n">
        <v>98799</v>
      </c>
      <c r="J437" s="29" t="n">
        <v>45762</v>
      </c>
      <c r="K437" s="31" t="n">
        <v>47003</v>
      </c>
      <c r="L437" s="30" t="s">
        <v>32</v>
      </c>
      <c r="M437" s="10" t="n">
        <v>1</v>
      </c>
      <c r="N437" s="12" t="n">
        <v>-4963</v>
      </c>
      <c r="O437" s="13" t="n">
        <v>-0.0502307170033612</v>
      </c>
      <c r="P437" s="15" t="n">
        <v>0.0283536119402383</v>
      </c>
      <c r="Q437" s="13" t="n">
        <v>-0.059704226877479</v>
      </c>
      <c r="R437" s="15" t="n">
        <v>0.00611620795107037</v>
      </c>
      <c r="S437" s="32" t="n">
        <v>40133048550</v>
      </c>
      <c r="T437" s="15" t="n">
        <v>0.00611620795107037</v>
      </c>
      <c r="U437" s="32" t="n">
        <v>28749150897.5</v>
      </c>
      <c r="V437" s="14" t="n">
        <v>1.23080650878314</v>
      </c>
      <c r="W437" s="13" t="n">
        <v>0.0175257731958762</v>
      </c>
      <c r="X437" s="15" t="n">
        <v>0.0476190476190477</v>
      </c>
      <c r="Y437" s="13" t="n">
        <v>0.00952431845835111</v>
      </c>
      <c r="Z437" s="13" t="n">
        <v>0.0548449445923891</v>
      </c>
      <c r="AA437" s="30" t="s">
        <v>96</v>
      </c>
      <c r="AB437" s="28" t="s">
        <v>93</v>
      </c>
      <c r="AC437" s="28" t="s">
        <v>99</v>
      </c>
      <c r="AD437" s="28" t="s">
        <v>107</v>
      </c>
      <c r="AE437" s="28" t="s">
        <v>112</v>
      </c>
      <c r="AF437" s="28" t="s">
        <v>116</v>
      </c>
      <c r="AG437" s="30" t="s">
        <v>122</v>
      </c>
    </row>
    <row r="438" customFormat="false" ht="15" hidden="false" customHeight="false" outlineLevel="0" collapsed="false">
      <c r="A438" s="10" t="n">
        <v>2025</v>
      </c>
      <c r="B438" s="28" t="s">
        <v>66</v>
      </c>
      <c r="C438" s="29" t="n">
        <v>45761</v>
      </c>
      <c r="D438" s="30" t="s">
        <v>125</v>
      </c>
      <c r="E438" s="28" t="s">
        <v>667</v>
      </c>
      <c r="F438" s="30" t="s">
        <v>668</v>
      </c>
      <c r="G438" s="31" t="n">
        <v>6587</v>
      </c>
      <c r="H438" s="31" t="n">
        <v>15</v>
      </c>
      <c r="I438" s="31" t="n">
        <v>98799</v>
      </c>
      <c r="J438" s="29" t="n">
        <v>45768</v>
      </c>
      <c r="K438" s="31" t="n">
        <v>7910</v>
      </c>
      <c r="L438" s="30" t="s">
        <v>31</v>
      </c>
      <c r="M438" s="10" t="n">
        <v>5</v>
      </c>
      <c r="N438" s="12" t="n">
        <v>19641</v>
      </c>
      <c r="O438" s="13" t="n">
        <v>0.198795203732438</v>
      </c>
      <c r="P438" s="15" t="n">
        <v>0.228255027647125</v>
      </c>
      <c r="Q438" s="13" t="n">
        <v>-0.0116266712011391</v>
      </c>
      <c r="R438" s="15" t="n">
        <v>0.0630048465266559</v>
      </c>
      <c r="S438" s="32" t="n">
        <v>39438493360</v>
      </c>
      <c r="T438" s="15" t="n">
        <v>0.0511182108626198</v>
      </c>
      <c r="U438" s="32" t="n">
        <v>14111139083</v>
      </c>
      <c r="V438" s="14" t="n">
        <v>2.57333976601155</v>
      </c>
      <c r="W438" s="13" t="n">
        <v>0.0595813204508857</v>
      </c>
      <c r="X438" s="15" t="n">
        <v>0.047112462006079</v>
      </c>
      <c r="Y438" s="13" t="n">
        <v>0.00952431845835111</v>
      </c>
      <c r="Z438" s="13" t="n">
        <v>0.0548449445923891</v>
      </c>
      <c r="AA438" s="30" t="s">
        <v>96</v>
      </c>
      <c r="AB438" s="28" t="s">
        <v>93</v>
      </c>
      <c r="AC438" s="28" t="s">
        <v>101</v>
      </c>
      <c r="AD438" s="28" t="s">
        <v>107</v>
      </c>
      <c r="AE438" s="28" t="s">
        <v>101</v>
      </c>
      <c r="AF438" s="28" t="s">
        <v>117</v>
      </c>
      <c r="AG438" s="30" t="s">
        <v>122</v>
      </c>
    </row>
    <row r="439" customFormat="false" ht="15" hidden="false" customHeight="false" outlineLevel="0" collapsed="false">
      <c r="A439" s="10" t="n">
        <v>2025</v>
      </c>
      <c r="B439" s="28" t="s">
        <v>66</v>
      </c>
      <c r="C439" s="29" t="n">
        <v>45761</v>
      </c>
      <c r="D439" s="30" t="s">
        <v>125</v>
      </c>
      <c r="E439" s="28" t="s">
        <v>195</v>
      </c>
      <c r="F439" s="30" t="s">
        <v>196</v>
      </c>
      <c r="G439" s="31" t="n">
        <v>18929</v>
      </c>
      <c r="H439" s="31" t="n">
        <v>5</v>
      </c>
      <c r="I439" s="31" t="n">
        <v>94645</v>
      </c>
      <c r="J439" s="29" t="n">
        <v>45763</v>
      </c>
      <c r="K439" s="31" t="n">
        <v>18012</v>
      </c>
      <c r="L439" s="30" t="s">
        <v>32</v>
      </c>
      <c r="M439" s="10" t="n">
        <v>2</v>
      </c>
      <c r="N439" s="12" t="n">
        <v>-4747</v>
      </c>
      <c r="O439" s="13" t="n">
        <v>-0.0501613186918844</v>
      </c>
      <c r="P439" s="15" t="n">
        <v>0.0301702528037802</v>
      </c>
      <c r="Q439" s="13" t="n">
        <v>-0.0532999522951927</v>
      </c>
      <c r="R439" s="15" t="n">
        <v>0.0665538635081782</v>
      </c>
      <c r="S439" s="32" t="n">
        <v>33172262380</v>
      </c>
      <c r="T439" s="15" t="n">
        <v>0.0390109890109891</v>
      </c>
      <c r="U439" s="32" t="n">
        <v>4370505449.5</v>
      </c>
      <c r="V439" s="14" t="n">
        <v>6.66420240854006</v>
      </c>
      <c r="W439" s="13" t="n">
        <v>0.0249322493224933</v>
      </c>
      <c r="X439" s="15" t="n">
        <v>0.0682178741406663</v>
      </c>
      <c r="Y439" s="13" t="n">
        <v>0.00952431845835111</v>
      </c>
      <c r="Z439" s="13" t="n">
        <v>0.0548449445923891</v>
      </c>
      <c r="AA439" s="30" t="s">
        <v>96</v>
      </c>
      <c r="AB439" s="28" t="s">
        <v>93</v>
      </c>
      <c r="AC439" s="28" t="s">
        <v>101</v>
      </c>
      <c r="AD439" s="28" t="s">
        <v>107</v>
      </c>
      <c r="AE439" s="28" t="s">
        <v>113</v>
      </c>
      <c r="AF439" s="28" t="s">
        <v>119</v>
      </c>
      <c r="AG439" s="30" t="s">
        <v>122</v>
      </c>
    </row>
    <row r="440" customFormat="false" ht="15" hidden="false" customHeight="false" outlineLevel="0" collapsed="false">
      <c r="A440" s="10" t="n">
        <v>2025</v>
      </c>
      <c r="B440" s="28" t="s">
        <v>66</v>
      </c>
      <c r="C440" s="29" t="n">
        <v>45761</v>
      </c>
      <c r="D440" s="30" t="s">
        <v>125</v>
      </c>
      <c r="E440" s="28" t="s">
        <v>1397</v>
      </c>
      <c r="F440" s="30" t="s">
        <v>1398</v>
      </c>
      <c r="G440" s="31" t="n">
        <v>15245</v>
      </c>
      <c r="H440" s="31" t="n">
        <v>6</v>
      </c>
      <c r="I440" s="31" t="n">
        <v>91471</v>
      </c>
      <c r="J440" s="29" t="n">
        <v>45762</v>
      </c>
      <c r="K440" s="31" t="n">
        <v>14505</v>
      </c>
      <c r="L440" s="30" t="s">
        <v>32</v>
      </c>
      <c r="M440" s="10" t="n">
        <v>1</v>
      </c>
      <c r="N440" s="12" t="n">
        <v>-4596</v>
      </c>
      <c r="O440" s="13" t="n">
        <v>-0.0502433106289639</v>
      </c>
      <c r="P440" s="15" t="n">
        <v>0.00424854200297409</v>
      </c>
      <c r="Q440" s="13" t="n">
        <v>-0.0515066023930106</v>
      </c>
      <c r="R440" s="15" t="n">
        <v>0.0870806566738045</v>
      </c>
      <c r="S440" s="32" t="n">
        <v>23429801540</v>
      </c>
      <c r="T440" s="15" t="n">
        <v>0.0772874787360429</v>
      </c>
      <c r="U440" s="32" t="n">
        <v>10808989612.5</v>
      </c>
      <c r="V440" s="14" t="n">
        <v>1.87348500782883</v>
      </c>
      <c r="W440" s="13" t="n">
        <v>0.0855310049893086</v>
      </c>
      <c r="X440" s="15" t="n">
        <v>0.0210111621799081</v>
      </c>
      <c r="Y440" s="13" t="n">
        <v>0.00952431845835111</v>
      </c>
      <c r="Z440" s="13" t="n">
        <v>0.0548449445923891</v>
      </c>
      <c r="AA440" s="30" t="s">
        <v>96</v>
      </c>
      <c r="AB440" s="28" t="s">
        <v>93</v>
      </c>
      <c r="AC440" s="28" t="s">
        <v>101</v>
      </c>
      <c r="AD440" s="28" t="s">
        <v>106</v>
      </c>
      <c r="AE440" s="28" t="s">
        <v>101</v>
      </c>
      <c r="AF440" s="28" t="s">
        <v>116</v>
      </c>
      <c r="AG440" s="30" t="s">
        <v>122</v>
      </c>
    </row>
    <row r="441" customFormat="false" ht="15" hidden="false" customHeight="false" outlineLevel="0" collapsed="false">
      <c r="A441" s="10" t="n">
        <v>2025</v>
      </c>
      <c r="B441" s="28" t="s">
        <v>66</v>
      </c>
      <c r="C441" s="29" t="n">
        <v>45761</v>
      </c>
      <c r="D441" s="30" t="s">
        <v>125</v>
      </c>
      <c r="E441" s="28" t="s">
        <v>567</v>
      </c>
      <c r="F441" s="30" t="s">
        <v>568</v>
      </c>
      <c r="G441" s="31" t="n">
        <v>33533</v>
      </c>
      <c r="H441" s="31" t="n">
        <v>2</v>
      </c>
      <c r="I441" s="31" t="n">
        <v>67067</v>
      </c>
      <c r="J441" s="29" t="n">
        <v>45763</v>
      </c>
      <c r="K441" s="31" t="n">
        <v>31918</v>
      </c>
      <c r="L441" s="30" t="s">
        <v>32</v>
      </c>
      <c r="M441" s="10" t="n">
        <v>2</v>
      </c>
      <c r="N441" s="12" t="n">
        <v>-3346</v>
      </c>
      <c r="O441" s="13" t="n">
        <v>-0.0498947263930097</v>
      </c>
      <c r="P441" s="15" t="n">
        <v>0.00347413780249628</v>
      </c>
      <c r="Q441" s="13" t="n">
        <v>-0.0502035278154679</v>
      </c>
      <c r="R441" s="15" t="n">
        <v>0.0567823343848581</v>
      </c>
      <c r="S441" s="32" t="n">
        <v>21713929500</v>
      </c>
      <c r="T441" s="15" t="n">
        <v>0.0551181102362204</v>
      </c>
      <c r="U441" s="32" t="n">
        <v>7082700310</v>
      </c>
      <c r="V441" s="14" t="n">
        <v>2.77732572862397</v>
      </c>
      <c r="W441" s="13" t="n">
        <v>0.0291858678955452</v>
      </c>
      <c r="X441" s="15" t="n">
        <v>0.0104477611940299</v>
      </c>
      <c r="Y441" s="13" t="n">
        <v>0.00952431845835111</v>
      </c>
      <c r="Z441" s="13" t="n">
        <v>0.0548449445923891</v>
      </c>
      <c r="AA441" s="30" t="s">
        <v>96</v>
      </c>
      <c r="AB441" s="28" t="s">
        <v>93</v>
      </c>
      <c r="AC441" s="28" t="s">
        <v>101</v>
      </c>
      <c r="AD441" s="28" t="s">
        <v>106</v>
      </c>
      <c r="AE441" s="28" t="s">
        <v>101</v>
      </c>
      <c r="AF441" s="28" t="s">
        <v>117</v>
      </c>
      <c r="AG441" s="30" t="s">
        <v>122</v>
      </c>
    </row>
    <row r="442" customFormat="false" ht="15" hidden="false" customHeight="false" outlineLevel="0" collapsed="false">
      <c r="A442" s="10" t="n">
        <v>2025</v>
      </c>
      <c r="B442" s="28" t="s">
        <v>66</v>
      </c>
      <c r="C442" s="29" t="n">
        <v>45761</v>
      </c>
      <c r="D442" s="30" t="s">
        <v>125</v>
      </c>
      <c r="E442" s="28" t="s">
        <v>361</v>
      </c>
      <c r="F442" s="30" t="s">
        <v>362</v>
      </c>
      <c r="G442" s="31" t="n">
        <v>60961</v>
      </c>
      <c r="H442" s="31" t="n">
        <v>1</v>
      </c>
      <c r="I442" s="31" t="n">
        <v>60961</v>
      </c>
      <c r="J442" s="29" t="n">
        <v>45786</v>
      </c>
      <c r="K442" s="31" t="n">
        <v>57942</v>
      </c>
      <c r="L442" s="30" t="s">
        <v>32</v>
      </c>
      <c r="M442" s="10" t="n">
        <v>16</v>
      </c>
      <c r="N442" s="12" t="n">
        <v>-3124</v>
      </c>
      <c r="O442" s="13" t="n">
        <v>-0.0512401955187669</v>
      </c>
      <c r="P442" s="15" t="n">
        <v>0.115469095764663</v>
      </c>
      <c r="Q442" s="13" t="n">
        <v>-0.0485704771419057</v>
      </c>
      <c r="R442" s="15" t="n">
        <v>0.0628272251308901</v>
      </c>
      <c r="S442" s="32" t="n">
        <v>20167887600</v>
      </c>
      <c r="T442" s="15" t="n">
        <v>0.0287162162162162</v>
      </c>
      <c r="U442" s="32" t="n">
        <v>16958073590</v>
      </c>
      <c r="V442" s="14" t="n">
        <v>1.11572396777997</v>
      </c>
      <c r="W442" s="13" t="n">
        <v>0.0536332179930796</v>
      </c>
      <c r="X442" s="15" t="n">
        <v>0.00821018062397383</v>
      </c>
      <c r="Y442" s="13" t="n">
        <v>0.00952431845835111</v>
      </c>
      <c r="Z442" s="13" t="n">
        <v>0.0548449445923891</v>
      </c>
      <c r="AA442" s="30" t="s">
        <v>96</v>
      </c>
      <c r="AB442" s="28" t="s">
        <v>93</v>
      </c>
      <c r="AC442" s="28" t="s">
        <v>101</v>
      </c>
      <c r="AD442" s="28" t="s">
        <v>106</v>
      </c>
      <c r="AE442" s="28" t="s">
        <v>113</v>
      </c>
      <c r="AF442" s="28" t="s">
        <v>116</v>
      </c>
      <c r="AG442" s="30" t="s">
        <v>122</v>
      </c>
    </row>
    <row r="443" customFormat="false" ht="15" hidden="false" customHeight="false" outlineLevel="0" collapsed="false">
      <c r="A443" s="10" t="n">
        <v>2025</v>
      </c>
      <c r="B443" s="28" t="s">
        <v>66</v>
      </c>
      <c r="C443" s="29" t="n">
        <v>45762</v>
      </c>
      <c r="D443" s="30" t="s">
        <v>126</v>
      </c>
      <c r="E443" s="28" t="s">
        <v>801</v>
      </c>
      <c r="F443" s="30" t="s">
        <v>802</v>
      </c>
      <c r="G443" s="31" t="n">
        <v>87587</v>
      </c>
      <c r="H443" s="31" t="n">
        <v>1</v>
      </c>
      <c r="I443" s="31" t="n">
        <v>87587</v>
      </c>
      <c r="J443" s="29" t="n">
        <v>45763</v>
      </c>
      <c r="K443" s="31" t="n">
        <v>83317</v>
      </c>
      <c r="L443" s="30" t="s">
        <v>32</v>
      </c>
      <c r="M443" s="10" t="n">
        <v>1</v>
      </c>
      <c r="N443" s="12" t="n">
        <v>-4422</v>
      </c>
      <c r="O443" s="13" t="n">
        <v>-0.0504810676751818</v>
      </c>
      <c r="P443" s="15" t="n">
        <v>0.0149850149850153</v>
      </c>
      <c r="Q443" s="13" t="n">
        <v>-0.0626516340802054</v>
      </c>
      <c r="R443" s="15" t="n">
        <v>0.0466507177033493</v>
      </c>
      <c r="S443" s="32" t="n">
        <v>26563075000</v>
      </c>
      <c r="T443" s="15" t="n">
        <v>0.0269953051643193</v>
      </c>
      <c r="U443" s="32" t="n">
        <v>23795790040</v>
      </c>
      <c r="V443" s="14" t="n">
        <v>0.964557259645477</v>
      </c>
      <c r="W443" s="13" t="n">
        <v>0.0294117647058823</v>
      </c>
      <c r="X443" s="15" t="n">
        <v>0.0251428571428571</v>
      </c>
      <c r="Y443" s="13" t="n">
        <v>0.00876260744577317</v>
      </c>
      <c r="Z443" s="13" t="n">
        <v>0.0613392853317796</v>
      </c>
      <c r="AA443" s="30" t="s">
        <v>96</v>
      </c>
      <c r="AB443" s="28" t="s">
        <v>93</v>
      </c>
      <c r="AC443" s="28" t="s">
        <v>100</v>
      </c>
      <c r="AD443" s="28" t="s">
        <v>106</v>
      </c>
      <c r="AE443" s="28" t="s">
        <v>113</v>
      </c>
      <c r="AF443" s="28" t="s">
        <v>116</v>
      </c>
      <c r="AG443" s="30" t="s">
        <v>122</v>
      </c>
    </row>
    <row r="444" customFormat="false" ht="15" hidden="false" customHeight="false" outlineLevel="0" collapsed="false">
      <c r="A444" s="10" t="n">
        <v>2025</v>
      </c>
      <c r="B444" s="28" t="s">
        <v>66</v>
      </c>
      <c r="C444" s="29" t="n">
        <v>45764</v>
      </c>
      <c r="D444" s="30" t="s">
        <v>128</v>
      </c>
      <c r="E444" s="28" t="s">
        <v>639</v>
      </c>
      <c r="F444" s="30" t="s">
        <v>640</v>
      </c>
      <c r="G444" s="31" t="n">
        <v>13383</v>
      </c>
      <c r="H444" s="31" t="n">
        <v>7</v>
      </c>
      <c r="I444" s="31" t="n">
        <v>93684</v>
      </c>
      <c r="J444" s="29" t="n">
        <v>45765</v>
      </c>
      <c r="K444" s="31" t="n">
        <v>12737</v>
      </c>
      <c r="L444" s="30" t="s">
        <v>32</v>
      </c>
      <c r="M444" s="10" t="n">
        <v>1</v>
      </c>
      <c r="N444" s="12" t="n">
        <v>-4684</v>
      </c>
      <c r="O444" s="13" t="n">
        <v>-0.04999816697887</v>
      </c>
      <c r="P444" s="15" t="n">
        <v>0.055040696027981</v>
      </c>
      <c r="Q444" s="13" t="n">
        <v>-0.0503139343827451</v>
      </c>
      <c r="R444" s="15" t="n">
        <v>0.290540540540541</v>
      </c>
      <c r="S444" s="32" t="n">
        <v>143735094160</v>
      </c>
      <c r="T444" s="15" t="n">
        <v>0.170753064798599</v>
      </c>
      <c r="U444" s="32" t="n">
        <v>4771147640.5</v>
      </c>
      <c r="V444" s="14" t="n">
        <v>23.2069087742521</v>
      </c>
      <c r="W444" s="13" t="n">
        <v>0.275763358778626</v>
      </c>
      <c r="X444" s="15" t="n">
        <v>0.00673148840688098</v>
      </c>
      <c r="Y444" s="13" t="n">
        <v>0.00938944116889973</v>
      </c>
      <c r="Z444" s="13" t="n">
        <v>0.0103678437338961</v>
      </c>
      <c r="AA444" s="30" t="s">
        <v>96</v>
      </c>
      <c r="AB444" s="28" t="s">
        <v>93</v>
      </c>
      <c r="AC444" s="28" t="s">
        <v>104</v>
      </c>
      <c r="AD444" s="28" t="s">
        <v>109</v>
      </c>
      <c r="AE444" s="28" t="s">
        <v>114</v>
      </c>
      <c r="AF444" s="28" t="s">
        <v>120</v>
      </c>
      <c r="AG444" s="30" t="s">
        <v>122</v>
      </c>
    </row>
    <row r="445" customFormat="false" ht="15" hidden="false" customHeight="false" outlineLevel="0" collapsed="false">
      <c r="A445" s="10" t="n">
        <v>2025</v>
      </c>
      <c r="B445" s="28" t="s">
        <v>66</v>
      </c>
      <c r="C445" s="29" t="n">
        <v>45764</v>
      </c>
      <c r="D445" s="30" t="s">
        <v>128</v>
      </c>
      <c r="E445" s="28" t="s">
        <v>591</v>
      </c>
      <c r="F445" s="30" t="s">
        <v>592</v>
      </c>
      <c r="G445" s="31" t="n">
        <v>14915</v>
      </c>
      <c r="H445" s="31" t="n">
        <v>6</v>
      </c>
      <c r="I445" s="31" t="n">
        <v>89489</v>
      </c>
      <c r="J445" s="29" t="n">
        <v>45768</v>
      </c>
      <c r="K445" s="31" t="n">
        <v>14196</v>
      </c>
      <c r="L445" s="30" t="s">
        <v>32</v>
      </c>
      <c r="M445" s="10" t="n">
        <v>2</v>
      </c>
      <c r="N445" s="12" t="n">
        <v>-4469</v>
      </c>
      <c r="O445" s="13" t="n">
        <v>-0.049934648472333</v>
      </c>
      <c r="P445" s="15" t="n">
        <v>0.0157627607292039</v>
      </c>
      <c r="Q445" s="13" t="n">
        <v>-0.0667051069735632</v>
      </c>
      <c r="R445" s="15" t="n">
        <v>0.0282953761214631</v>
      </c>
      <c r="S445" s="32" t="n">
        <v>96342506000</v>
      </c>
      <c r="T445" s="15" t="n">
        <v>0.0156782549420587</v>
      </c>
      <c r="U445" s="32" t="n">
        <v>104380139170.5</v>
      </c>
      <c r="V445" s="14" t="n">
        <v>0.866759137471748</v>
      </c>
      <c r="W445" s="13" t="n">
        <v>0.0226492793411119</v>
      </c>
      <c r="X445" s="15" t="n">
        <v>0</v>
      </c>
      <c r="Y445" s="13" t="n">
        <v>0.00938944116889973</v>
      </c>
      <c r="Z445" s="13" t="n">
        <v>0.0103678437338961</v>
      </c>
      <c r="AA445" s="30" t="s">
        <v>96</v>
      </c>
      <c r="AB445" s="28" t="s">
        <v>93</v>
      </c>
      <c r="AC445" s="28" t="s">
        <v>99</v>
      </c>
      <c r="AD445" s="28" t="s">
        <v>108</v>
      </c>
      <c r="AE445" s="28" t="s">
        <v>112</v>
      </c>
      <c r="AF445" s="28" t="s">
        <v>116</v>
      </c>
      <c r="AG445" s="30" t="s">
        <v>122</v>
      </c>
    </row>
    <row r="446" customFormat="false" ht="15" hidden="false" customHeight="false" outlineLevel="0" collapsed="false">
      <c r="A446" s="10" t="n">
        <v>2025</v>
      </c>
      <c r="B446" s="28" t="s">
        <v>66</v>
      </c>
      <c r="C446" s="29" t="n">
        <v>45764</v>
      </c>
      <c r="D446" s="30" t="s">
        <v>128</v>
      </c>
      <c r="E446" s="28" t="s">
        <v>229</v>
      </c>
      <c r="F446" s="30" t="s">
        <v>230</v>
      </c>
      <c r="G446" s="31" t="n">
        <v>36587</v>
      </c>
      <c r="H446" s="31" t="n">
        <v>2</v>
      </c>
      <c r="I446" s="31" t="n">
        <v>73173</v>
      </c>
      <c r="J446" s="29" t="n">
        <v>45804</v>
      </c>
      <c r="K446" s="31" t="n">
        <v>43950</v>
      </c>
      <c r="L446" s="30" t="s">
        <v>31</v>
      </c>
      <c r="M446" s="10" t="n">
        <v>25</v>
      </c>
      <c r="N446" s="12" t="n">
        <v>14571</v>
      </c>
      <c r="O446" s="13" t="n">
        <v>0.199129038335126</v>
      </c>
      <c r="P446" s="15" t="n">
        <v>0.213560721084661</v>
      </c>
      <c r="Q446" s="13" t="n">
        <v>-0.0146652253355398</v>
      </c>
      <c r="R446" s="15" t="n">
        <v>0.0594202898550724</v>
      </c>
      <c r="S446" s="32" t="n">
        <v>43136821700</v>
      </c>
      <c r="T446" s="15" t="n">
        <v>0.0594202898550724</v>
      </c>
      <c r="U446" s="32" t="n">
        <v>17948231120</v>
      </c>
      <c r="V446" s="14" t="n">
        <v>2.17176962990463</v>
      </c>
      <c r="W446" s="13" t="n">
        <v>0.0442857142857143</v>
      </c>
      <c r="X446" s="15" t="n">
        <v>0.0109439124487005</v>
      </c>
      <c r="Y446" s="13" t="n">
        <v>0.00938944116889973</v>
      </c>
      <c r="Z446" s="13" t="n">
        <v>0.0103678437338961</v>
      </c>
      <c r="AA446" s="30" t="s">
        <v>96</v>
      </c>
      <c r="AB446" s="28" t="s">
        <v>93</v>
      </c>
      <c r="AC446" s="28" t="s">
        <v>101</v>
      </c>
      <c r="AD446" s="28" t="s">
        <v>107</v>
      </c>
      <c r="AE446" s="28" t="s">
        <v>101</v>
      </c>
      <c r="AF446" s="28" t="s">
        <v>117</v>
      </c>
      <c r="AG446" s="30" t="s">
        <v>122</v>
      </c>
    </row>
    <row r="447" customFormat="false" ht="15" hidden="false" customHeight="false" outlineLevel="0" collapsed="false">
      <c r="A447" s="10" t="n">
        <v>2025</v>
      </c>
      <c r="B447" s="28" t="s">
        <v>66</v>
      </c>
      <c r="C447" s="29" t="n">
        <v>45764</v>
      </c>
      <c r="D447" s="30" t="s">
        <v>128</v>
      </c>
      <c r="E447" s="28" t="s">
        <v>601</v>
      </c>
      <c r="F447" s="30" t="s">
        <v>602</v>
      </c>
      <c r="G447" s="31" t="n">
        <v>59359</v>
      </c>
      <c r="H447" s="31" t="n">
        <v>1</v>
      </c>
      <c r="I447" s="31" t="n">
        <v>59359</v>
      </c>
      <c r="J447" s="29" t="n">
        <v>45769</v>
      </c>
      <c r="K447" s="31" t="n">
        <v>56444</v>
      </c>
      <c r="L447" s="30" t="s">
        <v>32</v>
      </c>
      <c r="M447" s="10" t="n">
        <v>3</v>
      </c>
      <c r="N447" s="12" t="n">
        <v>-3018</v>
      </c>
      <c r="O447" s="13" t="n">
        <v>-0.050840149226827</v>
      </c>
      <c r="P447" s="15" t="n">
        <v>0.0107935908947714</v>
      </c>
      <c r="Q447" s="13" t="n">
        <v>-0.0532233365285642</v>
      </c>
      <c r="R447" s="15" t="n">
        <v>0.0762250453720508</v>
      </c>
      <c r="S447" s="32" t="n">
        <v>22401820300</v>
      </c>
      <c r="T447" s="15" t="n">
        <v>0.0224137931034483</v>
      </c>
      <c r="U447" s="32" t="n">
        <v>9852443532.5</v>
      </c>
      <c r="V447" s="14" t="n">
        <v>2.0206374375623</v>
      </c>
      <c r="W447" s="13" t="n">
        <v>0.0762250453720508</v>
      </c>
      <c r="X447" s="15" t="n">
        <v>0.015177065767285</v>
      </c>
      <c r="Y447" s="13" t="n">
        <v>0.00938944116889973</v>
      </c>
      <c r="Z447" s="13" t="n">
        <v>0.0103678437338961</v>
      </c>
      <c r="AA447" s="30" t="s">
        <v>96</v>
      </c>
      <c r="AB447" s="28" t="s">
        <v>93</v>
      </c>
      <c r="AC447" s="28" t="s">
        <v>101</v>
      </c>
      <c r="AD447" s="28" t="s">
        <v>106</v>
      </c>
      <c r="AE447" s="28" t="s">
        <v>113</v>
      </c>
      <c r="AF447" s="28" t="s">
        <v>117</v>
      </c>
      <c r="AG447" s="30" t="s">
        <v>122</v>
      </c>
    </row>
    <row r="448" customFormat="false" ht="15" hidden="false" customHeight="false" outlineLevel="0" collapsed="false">
      <c r="A448" s="10" t="n">
        <v>2025</v>
      </c>
      <c r="B448" s="28" t="s">
        <v>66</v>
      </c>
      <c r="C448" s="29" t="n">
        <v>45764</v>
      </c>
      <c r="D448" s="30" t="s">
        <v>128</v>
      </c>
      <c r="E448" s="28" t="s">
        <v>1017</v>
      </c>
      <c r="F448" s="30" t="s">
        <v>1018</v>
      </c>
      <c r="G448" s="31" t="n">
        <v>12623</v>
      </c>
      <c r="H448" s="31" t="n">
        <v>7</v>
      </c>
      <c r="I448" s="31" t="n">
        <v>88358</v>
      </c>
      <c r="J448" s="29" t="n">
        <v>45776</v>
      </c>
      <c r="K448" s="31" t="n">
        <v>12008</v>
      </c>
      <c r="L448" s="30" t="s">
        <v>32</v>
      </c>
      <c r="M448" s="10" t="n">
        <v>8</v>
      </c>
      <c r="N448" s="12" t="n">
        <v>-4454</v>
      </c>
      <c r="O448" s="13" t="n">
        <v>-0.0504124391468957</v>
      </c>
      <c r="P448" s="15" t="n">
        <v>0.0195989577432878</v>
      </c>
      <c r="Q448" s="13" t="n">
        <v>-0.087351981880134</v>
      </c>
      <c r="R448" s="15" t="n">
        <v>0.0218800648298216</v>
      </c>
      <c r="S448" s="32" t="n">
        <v>21364706870</v>
      </c>
      <c r="T448" s="15" t="n">
        <v>0.000793650793650791</v>
      </c>
      <c r="U448" s="32" t="n">
        <v>6626355417.5</v>
      </c>
      <c r="V448" s="14" t="n">
        <v>3.12579931472023</v>
      </c>
      <c r="W448" s="13" t="n">
        <v>0.00478087649402381</v>
      </c>
      <c r="X448" s="15" t="n">
        <v>0.0586835844567804</v>
      </c>
      <c r="Y448" s="13" t="n">
        <v>0.00938944116889973</v>
      </c>
      <c r="Z448" s="13" t="n">
        <v>0.0103678437338961</v>
      </c>
      <c r="AA448" s="30" t="s">
        <v>96</v>
      </c>
      <c r="AB448" s="28" t="s">
        <v>93</v>
      </c>
      <c r="AC448" s="28" t="s">
        <v>99</v>
      </c>
      <c r="AD448" s="28" t="s">
        <v>106</v>
      </c>
      <c r="AE448" s="28" t="s">
        <v>112</v>
      </c>
      <c r="AF448" s="28" t="s">
        <v>118</v>
      </c>
      <c r="AG448" s="30" t="s">
        <v>122</v>
      </c>
    </row>
    <row r="449" customFormat="false" ht="15" hidden="false" customHeight="false" outlineLevel="0" collapsed="false">
      <c r="A449" s="10" t="n">
        <v>2025</v>
      </c>
      <c r="B449" s="28" t="s">
        <v>66</v>
      </c>
      <c r="C449" s="29" t="n">
        <v>45768</v>
      </c>
      <c r="D449" s="30" t="s">
        <v>125</v>
      </c>
      <c r="E449" s="28" t="s">
        <v>573</v>
      </c>
      <c r="F449" s="30" t="s">
        <v>574</v>
      </c>
      <c r="G449" s="31" t="n">
        <v>17007</v>
      </c>
      <c r="H449" s="31" t="n">
        <v>5</v>
      </c>
      <c r="I449" s="31" t="n">
        <v>85035</v>
      </c>
      <c r="J449" s="29" t="n">
        <v>45813</v>
      </c>
      <c r="K449" s="31" t="n">
        <v>20500</v>
      </c>
      <c r="L449" s="30" t="s">
        <v>31</v>
      </c>
      <c r="M449" s="10" t="n">
        <v>29</v>
      </c>
      <c r="N449" s="12" t="n">
        <v>17283</v>
      </c>
      <c r="O449" s="13" t="n">
        <v>0.203247838183006</v>
      </c>
      <c r="P449" s="15" t="n">
        <v>0.223026532031829</v>
      </c>
      <c r="Q449" s="13" t="n">
        <v>-0.0221667678995517</v>
      </c>
      <c r="R449" s="15" t="n">
        <v>0.0125148986889154</v>
      </c>
      <c r="S449" s="32" t="n">
        <v>25344135910</v>
      </c>
      <c r="T449" s="15" t="n">
        <v>0.00354400472533967</v>
      </c>
      <c r="U449" s="32" t="n">
        <v>25003049586.5</v>
      </c>
      <c r="V449" s="14" t="n">
        <v>0.970030390568997</v>
      </c>
      <c r="W449" s="13" t="n">
        <v>0.0125148986889154</v>
      </c>
      <c r="X449" s="15" t="n">
        <v>0.000588581518540243</v>
      </c>
      <c r="Y449" s="13" t="n">
        <v>0.00201335255413904</v>
      </c>
      <c r="Z449" s="13" t="n">
        <v>0.0132457072588756</v>
      </c>
      <c r="AA449" s="30" t="s">
        <v>97</v>
      </c>
      <c r="AB449" s="28" t="s">
        <v>93</v>
      </c>
      <c r="AC449" s="28" t="s">
        <v>99</v>
      </c>
      <c r="AD449" s="28" t="s">
        <v>106</v>
      </c>
      <c r="AE449" s="28" t="s">
        <v>112</v>
      </c>
      <c r="AF449" s="28" t="s">
        <v>116</v>
      </c>
      <c r="AG449" s="30" t="s">
        <v>122</v>
      </c>
    </row>
    <row r="450" customFormat="false" ht="15" hidden="false" customHeight="false" outlineLevel="0" collapsed="false">
      <c r="A450" s="10" t="n">
        <v>2025</v>
      </c>
      <c r="B450" s="28" t="s">
        <v>66</v>
      </c>
      <c r="C450" s="29" t="n">
        <v>45769</v>
      </c>
      <c r="D450" s="30" t="s">
        <v>126</v>
      </c>
      <c r="E450" s="28" t="s">
        <v>935</v>
      </c>
      <c r="F450" s="30" t="s">
        <v>936</v>
      </c>
      <c r="G450" s="31" t="n">
        <v>14189</v>
      </c>
      <c r="H450" s="31" t="n">
        <v>7</v>
      </c>
      <c r="I450" s="31" t="n">
        <v>99326</v>
      </c>
      <c r="J450" s="29" t="n">
        <v>45777</v>
      </c>
      <c r="K450" s="31" t="n">
        <v>13506</v>
      </c>
      <c r="L450" s="30" t="s">
        <v>32</v>
      </c>
      <c r="M450" s="10" t="n">
        <v>6</v>
      </c>
      <c r="N450" s="12" t="n">
        <v>-4952</v>
      </c>
      <c r="O450" s="13" t="n">
        <v>-0.0498542070247672</v>
      </c>
      <c r="P450" s="15" t="n">
        <v>0.133569626720312</v>
      </c>
      <c r="Q450" s="13" t="n">
        <v>-0.0739853753552383</v>
      </c>
      <c r="R450" s="15" t="n">
        <v>0.183144246353323</v>
      </c>
      <c r="S450" s="32" t="n">
        <v>174124359600</v>
      </c>
      <c r="T450" s="15" t="n">
        <v>0.0233644859813085</v>
      </c>
      <c r="U450" s="32" t="n">
        <v>10730643580.5</v>
      </c>
      <c r="V450" s="14" t="n">
        <v>13.9066187795789</v>
      </c>
      <c r="W450" s="13" t="n">
        <v>0.19934282584885</v>
      </c>
      <c r="X450" s="15" t="n">
        <v>0.0365296803652968</v>
      </c>
      <c r="Y450" s="13" t="n">
        <v>-0.000715313331350886</v>
      </c>
      <c r="Z450" s="13" t="n">
        <v>0.00372566510993333</v>
      </c>
      <c r="AA450" s="30" t="s">
        <v>97</v>
      </c>
      <c r="AB450" s="28" t="s">
        <v>93</v>
      </c>
      <c r="AC450" s="28" t="s">
        <v>103</v>
      </c>
      <c r="AD450" s="28" t="s">
        <v>109</v>
      </c>
      <c r="AE450" s="28" t="s">
        <v>113</v>
      </c>
      <c r="AF450" s="28" t="s">
        <v>120</v>
      </c>
      <c r="AG450" s="30" t="s">
        <v>122</v>
      </c>
    </row>
    <row r="451" customFormat="false" ht="15" hidden="false" customHeight="false" outlineLevel="0" collapsed="false">
      <c r="A451" s="10" t="n">
        <v>2025</v>
      </c>
      <c r="B451" s="28" t="s">
        <v>66</v>
      </c>
      <c r="C451" s="29" t="n">
        <v>45769</v>
      </c>
      <c r="D451" s="30" t="s">
        <v>126</v>
      </c>
      <c r="E451" s="28" t="s">
        <v>397</v>
      </c>
      <c r="F451" s="30" t="s">
        <v>398</v>
      </c>
      <c r="G451" s="31" t="n">
        <v>83283</v>
      </c>
      <c r="H451" s="31" t="n">
        <v>1</v>
      </c>
      <c r="I451" s="31" t="n">
        <v>83283</v>
      </c>
      <c r="J451" s="29" t="n">
        <v>45824</v>
      </c>
      <c r="K451" s="31" t="n">
        <v>101400</v>
      </c>
      <c r="L451" s="30" t="s">
        <v>31</v>
      </c>
      <c r="M451" s="10" t="n">
        <v>34</v>
      </c>
      <c r="N451" s="12" t="n">
        <v>17937</v>
      </c>
      <c r="O451" s="13" t="n">
        <v>0.215373538961039</v>
      </c>
      <c r="P451" s="15" t="n">
        <v>0.222335356950742</v>
      </c>
      <c r="Q451" s="13" t="n">
        <v>-0.0394221163451932</v>
      </c>
      <c r="R451" s="15" t="n">
        <v>0.0335403726708075</v>
      </c>
      <c r="S451" s="32" t="n">
        <v>104261164800</v>
      </c>
      <c r="T451" s="15" t="n">
        <v>0.0146341463414634</v>
      </c>
      <c r="U451" s="32" t="n">
        <v>73603422175</v>
      </c>
      <c r="V451" s="14" t="n">
        <v>1.32025877783832</v>
      </c>
      <c r="W451" s="13" t="n">
        <v>0.0426065162907268</v>
      </c>
      <c r="X451" s="15" t="n">
        <v>0.0336538461538463</v>
      </c>
      <c r="Y451" s="13" t="n">
        <v>-0.000715313331350886</v>
      </c>
      <c r="Z451" s="13" t="n">
        <v>0.00372566510993333</v>
      </c>
      <c r="AA451" s="30" t="s">
        <v>97</v>
      </c>
      <c r="AB451" s="28" t="s">
        <v>93</v>
      </c>
      <c r="AC451" s="28" t="s">
        <v>100</v>
      </c>
      <c r="AD451" s="28" t="s">
        <v>109</v>
      </c>
      <c r="AE451" s="28" t="s">
        <v>112</v>
      </c>
      <c r="AF451" s="28" t="s">
        <v>116</v>
      </c>
      <c r="AG451" s="30" t="s">
        <v>122</v>
      </c>
    </row>
    <row r="452" customFormat="false" ht="15" hidden="false" customHeight="false" outlineLevel="0" collapsed="false">
      <c r="A452" s="10" t="n">
        <v>2025</v>
      </c>
      <c r="B452" s="28" t="s">
        <v>66</v>
      </c>
      <c r="C452" s="29" t="n">
        <v>45769</v>
      </c>
      <c r="D452" s="30" t="s">
        <v>126</v>
      </c>
      <c r="E452" s="28" t="s">
        <v>295</v>
      </c>
      <c r="F452" s="30" t="s">
        <v>296</v>
      </c>
      <c r="G452" s="31" t="n">
        <v>39039</v>
      </c>
      <c r="H452" s="31" t="n">
        <v>2</v>
      </c>
      <c r="I452" s="31" t="n">
        <v>78078</v>
      </c>
      <c r="J452" s="29" t="n">
        <v>45786</v>
      </c>
      <c r="K452" s="31" t="n">
        <v>46850</v>
      </c>
      <c r="L452" s="30" t="s">
        <v>31</v>
      </c>
      <c r="M452" s="10" t="n">
        <v>10</v>
      </c>
      <c r="N452" s="12" t="n">
        <v>15456</v>
      </c>
      <c r="O452" s="13" t="n">
        <v>0.197951834063373</v>
      </c>
      <c r="P452" s="15" t="n">
        <v>0.215451215451216</v>
      </c>
      <c r="Q452" s="13" t="n">
        <v>-0.0317374932759547</v>
      </c>
      <c r="R452" s="15" t="n">
        <v>0.015625</v>
      </c>
      <c r="S452" s="32" t="n">
        <v>102726780000</v>
      </c>
      <c r="T452" s="15" t="n">
        <v>0.00386100386100385</v>
      </c>
      <c r="U452" s="32" t="n">
        <v>88863300367.5</v>
      </c>
      <c r="V452" s="14" t="n">
        <v>1.03358041564411</v>
      </c>
      <c r="W452" s="13" t="n">
        <v>0.0331125827814569</v>
      </c>
      <c r="X452" s="15" t="n">
        <v>0.0153846153846153</v>
      </c>
      <c r="Y452" s="13" t="n">
        <v>-0.000715313331350886</v>
      </c>
      <c r="Z452" s="13" t="n">
        <v>0.00372566510993333</v>
      </c>
      <c r="AA452" s="30" t="s">
        <v>97</v>
      </c>
      <c r="AB452" s="28" t="s">
        <v>93</v>
      </c>
      <c r="AC452" s="28" t="s">
        <v>99</v>
      </c>
      <c r="AD452" s="28" t="s">
        <v>109</v>
      </c>
      <c r="AE452" s="28" t="s">
        <v>112</v>
      </c>
      <c r="AF452" s="28" t="s">
        <v>116</v>
      </c>
      <c r="AG452" s="30" t="s">
        <v>122</v>
      </c>
    </row>
    <row r="453" customFormat="false" ht="15" hidden="false" customHeight="false" outlineLevel="0" collapsed="false">
      <c r="A453" s="10" t="n">
        <v>2025</v>
      </c>
      <c r="B453" s="28" t="s">
        <v>66</v>
      </c>
      <c r="C453" s="29" t="n">
        <v>45769</v>
      </c>
      <c r="D453" s="30" t="s">
        <v>126</v>
      </c>
      <c r="E453" s="28" t="s">
        <v>489</v>
      </c>
      <c r="F453" s="30" t="s">
        <v>490</v>
      </c>
      <c r="G453" s="31" t="n">
        <v>25876</v>
      </c>
      <c r="H453" s="31" t="n">
        <v>3</v>
      </c>
      <c r="I453" s="31" t="n">
        <v>77628</v>
      </c>
      <c r="J453" s="29" t="n">
        <v>45786</v>
      </c>
      <c r="K453" s="31" t="n">
        <v>31100</v>
      </c>
      <c r="L453" s="30" t="s">
        <v>31</v>
      </c>
      <c r="M453" s="10" t="n">
        <v>10</v>
      </c>
      <c r="N453" s="12" t="n">
        <v>15507</v>
      </c>
      <c r="O453" s="13" t="n">
        <v>0.199759761418466</v>
      </c>
      <c r="P453" s="15" t="n">
        <v>0.223148225082461</v>
      </c>
      <c r="Q453" s="13" t="n">
        <v>-0.0145251267108133</v>
      </c>
      <c r="R453" s="15" t="n">
        <v>0.0594262295081967</v>
      </c>
      <c r="S453" s="32" t="n">
        <v>73051841500</v>
      </c>
      <c r="T453" s="15" t="n">
        <v>0.0137254901960784</v>
      </c>
      <c r="U453" s="32" t="n">
        <v>25708048237.5</v>
      </c>
      <c r="V453" s="14" t="n">
        <v>2.50564336987882</v>
      </c>
      <c r="W453" s="13" t="n">
        <v>0.0770833333333334</v>
      </c>
      <c r="X453" s="15" t="n">
        <v>0.00967117988394595</v>
      </c>
      <c r="Y453" s="13" t="n">
        <v>-0.000715313331350886</v>
      </c>
      <c r="Z453" s="13" t="n">
        <v>0.00372566510993333</v>
      </c>
      <c r="AA453" s="30" t="s">
        <v>97</v>
      </c>
      <c r="AB453" s="28" t="s">
        <v>93</v>
      </c>
      <c r="AC453" s="28" t="s">
        <v>101</v>
      </c>
      <c r="AD453" s="28" t="s">
        <v>108</v>
      </c>
      <c r="AE453" s="28" t="s">
        <v>112</v>
      </c>
      <c r="AF453" s="28" t="s">
        <v>117</v>
      </c>
      <c r="AG453" s="30" t="s">
        <v>122</v>
      </c>
    </row>
    <row r="454" customFormat="false" ht="15" hidden="false" customHeight="false" outlineLevel="0" collapsed="false">
      <c r="A454" s="10" t="n">
        <v>2025</v>
      </c>
      <c r="B454" s="28" t="s">
        <v>66</v>
      </c>
      <c r="C454" s="29" t="n">
        <v>45769</v>
      </c>
      <c r="D454" s="30" t="s">
        <v>126</v>
      </c>
      <c r="E454" s="28" t="s">
        <v>649</v>
      </c>
      <c r="F454" s="30" t="s">
        <v>650</v>
      </c>
      <c r="G454" s="31" t="n">
        <v>4374</v>
      </c>
      <c r="H454" s="31" t="n">
        <v>22</v>
      </c>
      <c r="I454" s="31" t="n">
        <v>96236</v>
      </c>
      <c r="J454" s="29" t="n">
        <v>45776</v>
      </c>
      <c r="K454" s="31" t="n">
        <v>4161</v>
      </c>
      <c r="L454" s="30" t="s">
        <v>32</v>
      </c>
      <c r="M454" s="10" t="n">
        <v>5</v>
      </c>
      <c r="N454" s="12" t="n">
        <v>-4863</v>
      </c>
      <c r="O454" s="13" t="n">
        <v>-0.0505344845657775</v>
      </c>
      <c r="P454" s="15" t="n">
        <v>0.128162455393577</v>
      </c>
      <c r="Q454" s="13" t="n">
        <v>-0.0512919574704471</v>
      </c>
      <c r="R454" s="15" t="n">
        <v>0.0222222222222221</v>
      </c>
      <c r="S454" s="32" t="n">
        <v>56994296010</v>
      </c>
      <c r="T454" s="15" t="n">
        <v>0.0222222222222221</v>
      </c>
      <c r="U454" s="32" t="n">
        <v>21780963016.5</v>
      </c>
      <c r="V454" s="14" t="n">
        <v>2.41344809772636</v>
      </c>
      <c r="W454" s="13" t="n">
        <v>0.0246189917936694</v>
      </c>
      <c r="X454" s="15" t="n">
        <v>0.0720823798627002</v>
      </c>
      <c r="Y454" s="13" t="n">
        <v>-0.000715313331350886</v>
      </c>
      <c r="Z454" s="13" t="n">
        <v>0.00372566510993333</v>
      </c>
      <c r="AA454" s="30" t="s">
        <v>97</v>
      </c>
      <c r="AB454" s="28" t="s">
        <v>93</v>
      </c>
      <c r="AC454" s="28" t="s">
        <v>99</v>
      </c>
      <c r="AD454" s="28" t="s">
        <v>108</v>
      </c>
      <c r="AE454" s="28" t="s">
        <v>113</v>
      </c>
      <c r="AF454" s="28" t="s">
        <v>117</v>
      </c>
      <c r="AG454" s="30" t="s">
        <v>122</v>
      </c>
    </row>
    <row r="455" customFormat="false" ht="15" hidden="false" customHeight="false" outlineLevel="0" collapsed="false">
      <c r="A455" s="10" t="n">
        <v>2025</v>
      </c>
      <c r="B455" s="28" t="s">
        <v>66</v>
      </c>
      <c r="C455" s="29" t="n">
        <v>45770</v>
      </c>
      <c r="D455" s="30" t="s">
        <v>127</v>
      </c>
      <c r="E455" s="28" t="s">
        <v>263</v>
      </c>
      <c r="F455" s="30" t="s">
        <v>264</v>
      </c>
      <c r="G455" s="31" t="n">
        <v>85686</v>
      </c>
      <c r="H455" s="31" t="n">
        <v>1</v>
      </c>
      <c r="I455" s="31" t="n">
        <v>85686</v>
      </c>
      <c r="J455" s="29" t="n">
        <v>45772</v>
      </c>
      <c r="K455" s="31" t="n">
        <v>81518</v>
      </c>
      <c r="L455" s="30" t="s">
        <v>32</v>
      </c>
      <c r="M455" s="10" t="n">
        <v>2</v>
      </c>
      <c r="N455" s="12" t="n">
        <v>-4315</v>
      </c>
      <c r="O455" s="13" t="n">
        <v>-0.0503533639257938</v>
      </c>
      <c r="P455" s="15" t="n">
        <v>0.0340127162557071</v>
      </c>
      <c r="Q455" s="13" t="n">
        <v>-0.0605189203320043</v>
      </c>
      <c r="R455" s="15" t="n">
        <v>0.142857142857143</v>
      </c>
      <c r="S455" s="32" t="n">
        <v>388045087200</v>
      </c>
      <c r="T455" s="15" t="n">
        <v>0.00705882352941178</v>
      </c>
      <c r="U455" s="32" t="n">
        <v>82696536000</v>
      </c>
      <c r="V455" s="14" t="n">
        <v>3.78084741850554</v>
      </c>
      <c r="W455" s="13" t="n">
        <v>0.0974358974358975</v>
      </c>
      <c r="X455" s="15" t="n">
        <v>0.00350467289719636</v>
      </c>
      <c r="Y455" s="13" t="n">
        <v>0.015651642376862</v>
      </c>
      <c r="Z455" s="13" t="n">
        <v>0.0319232827905192</v>
      </c>
      <c r="AA455" s="30" t="s">
        <v>97</v>
      </c>
      <c r="AB455" s="28" t="s">
        <v>93</v>
      </c>
      <c r="AC455" s="28" t="s">
        <v>102</v>
      </c>
      <c r="AD455" s="28" t="s">
        <v>110</v>
      </c>
      <c r="AE455" s="28" t="s">
        <v>112</v>
      </c>
      <c r="AF455" s="28" t="s">
        <v>118</v>
      </c>
      <c r="AG455" s="30" t="s">
        <v>122</v>
      </c>
    </row>
    <row r="456" customFormat="false" ht="15" hidden="false" customHeight="false" outlineLevel="0" collapsed="false">
      <c r="A456" s="10" t="n">
        <v>2025</v>
      </c>
      <c r="B456" s="28" t="s">
        <v>66</v>
      </c>
      <c r="C456" s="29" t="n">
        <v>45770</v>
      </c>
      <c r="D456" s="30" t="s">
        <v>127</v>
      </c>
      <c r="E456" s="28" t="s">
        <v>1399</v>
      </c>
      <c r="F456" s="30" t="s">
        <v>1400</v>
      </c>
      <c r="G456" s="31" t="n">
        <v>21722</v>
      </c>
      <c r="H456" s="31" t="n">
        <v>4</v>
      </c>
      <c r="I456" s="31" t="n">
        <v>86887</v>
      </c>
      <c r="J456" s="29" t="n">
        <v>45775</v>
      </c>
      <c r="K456" s="31" t="n">
        <v>20679</v>
      </c>
      <c r="L456" s="30" t="s">
        <v>32</v>
      </c>
      <c r="M456" s="10" t="n">
        <v>3</v>
      </c>
      <c r="N456" s="12" t="n">
        <v>-4319</v>
      </c>
      <c r="O456" s="13" t="n">
        <v>-0.0497096958341196</v>
      </c>
      <c r="P456" s="15" t="n">
        <v>0.081867441314446</v>
      </c>
      <c r="Q456" s="13" t="n">
        <v>-0.0493377590151782</v>
      </c>
      <c r="R456" s="15" t="n">
        <v>0.244266055045872</v>
      </c>
      <c r="S456" s="32" t="n">
        <v>193603211900</v>
      </c>
      <c r="T456" s="15" t="n">
        <v>0.143911439114391</v>
      </c>
      <c r="U456" s="32" t="n">
        <v>20042023637.5</v>
      </c>
      <c r="V456" s="14" t="n">
        <v>7.90124645257622</v>
      </c>
      <c r="W456" s="13" t="n">
        <v>0.222535211267606</v>
      </c>
      <c r="X456" s="15" t="n">
        <v>0.0437788018433181</v>
      </c>
      <c r="Y456" s="13" t="n">
        <v>0.015651642376862</v>
      </c>
      <c r="Z456" s="13" t="n">
        <v>0.0319232827905192</v>
      </c>
      <c r="AA456" s="30" t="s">
        <v>97</v>
      </c>
      <c r="AB456" s="28" t="s">
        <v>93</v>
      </c>
      <c r="AC456" s="28" t="s">
        <v>104</v>
      </c>
      <c r="AD456" s="28" t="s">
        <v>109</v>
      </c>
      <c r="AE456" s="28" t="s">
        <v>114</v>
      </c>
      <c r="AF456" s="28" t="s">
        <v>119</v>
      </c>
      <c r="AG456" s="30" t="s">
        <v>122</v>
      </c>
    </row>
    <row r="457" customFormat="false" ht="15" hidden="false" customHeight="false" outlineLevel="0" collapsed="false">
      <c r="A457" s="10" t="n">
        <v>2025</v>
      </c>
      <c r="B457" s="28" t="s">
        <v>66</v>
      </c>
      <c r="C457" s="29" t="n">
        <v>45770</v>
      </c>
      <c r="D457" s="30" t="s">
        <v>127</v>
      </c>
      <c r="E457" s="28" t="s">
        <v>407</v>
      </c>
      <c r="F457" s="30" t="s">
        <v>408</v>
      </c>
      <c r="G457" s="31" t="n">
        <v>48949</v>
      </c>
      <c r="H457" s="31" t="n">
        <v>2</v>
      </c>
      <c r="I457" s="31" t="n">
        <v>97898</v>
      </c>
      <c r="J457" s="29" t="n">
        <v>45812</v>
      </c>
      <c r="K457" s="31" t="n">
        <v>58800</v>
      </c>
      <c r="L457" s="30" t="s">
        <v>31</v>
      </c>
      <c r="M457" s="10" t="n">
        <v>26</v>
      </c>
      <c r="N457" s="12" t="n">
        <v>19493</v>
      </c>
      <c r="O457" s="13" t="n">
        <v>0.199120667982325</v>
      </c>
      <c r="P457" s="15" t="n">
        <v>0.223725150105518</v>
      </c>
      <c r="Q457" s="13" t="n">
        <v>-0.00814931489778104</v>
      </c>
      <c r="R457" s="15" t="n">
        <v>0.00928792569659453</v>
      </c>
      <c r="S457" s="32" t="n">
        <v>55523505000</v>
      </c>
      <c r="T457" s="15" t="n">
        <v>0.0041067761806981</v>
      </c>
      <c r="U457" s="32" t="n">
        <v>56966208515</v>
      </c>
      <c r="V457" s="14" t="n">
        <v>0.931695277180063</v>
      </c>
      <c r="W457" s="13" t="n">
        <v>0.00307692307692298</v>
      </c>
      <c r="X457" s="15" t="n">
        <v>0.00613496932515334</v>
      </c>
      <c r="Y457" s="13" t="n">
        <v>0.015651642376862</v>
      </c>
      <c r="Z457" s="13" t="n">
        <v>0.0319232827905192</v>
      </c>
      <c r="AA457" s="30" t="s">
        <v>97</v>
      </c>
      <c r="AB457" s="28" t="s">
        <v>93</v>
      </c>
      <c r="AC457" s="28" t="s">
        <v>99</v>
      </c>
      <c r="AD457" s="28" t="s">
        <v>108</v>
      </c>
      <c r="AE457" s="28" t="s">
        <v>112</v>
      </c>
      <c r="AF457" s="28" t="s">
        <v>116</v>
      </c>
      <c r="AG457" s="30" t="s">
        <v>122</v>
      </c>
    </row>
    <row r="458" customFormat="false" ht="15" hidden="false" customHeight="false" outlineLevel="0" collapsed="false">
      <c r="A458" s="10" t="n">
        <v>2025</v>
      </c>
      <c r="B458" s="28" t="s">
        <v>66</v>
      </c>
      <c r="C458" s="29" t="n">
        <v>45770</v>
      </c>
      <c r="D458" s="30" t="s">
        <v>127</v>
      </c>
      <c r="E458" s="28" t="s">
        <v>1401</v>
      </c>
      <c r="F458" s="30" t="s">
        <v>1402</v>
      </c>
      <c r="G458" s="31" t="n">
        <v>49650</v>
      </c>
      <c r="H458" s="31" t="n">
        <v>2</v>
      </c>
      <c r="I458" s="31" t="n">
        <v>99299</v>
      </c>
      <c r="J458" s="29" t="n">
        <v>45775</v>
      </c>
      <c r="K458" s="31" t="n">
        <v>47253</v>
      </c>
      <c r="L458" s="30" t="s">
        <v>32</v>
      </c>
      <c r="M458" s="10" t="n">
        <v>3</v>
      </c>
      <c r="N458" s="12" t="n">
        <v>-4965</v>
      </c>
      <c r="O458" s="13" t="n">
        <v>-0.049996664524991</v>
      </c>
      <c r="P458" s="15" t="n">
        <v>0.0130998034223842</v>
      </c>
      <c r="Q458" s="13" t="n">
        <v>-0.0523589313911893</v>
      </c>
      <c r="R458" s="15" t="n">
        <v>0.0163934426229508</v>
      </c>
      <c r="S458" s="32" t="n">
        <v>30739252800</v>
      </c>
      <c r="T458" s="15" t="n">
        <v>0.0163934426229508</v>
      </c>
      <c r="U458" s="32" t="n">
        <v>9350267570</v>
      </c>
      <c r="V458" s="14" t="n">
        <v>2.93471991635421</v>
      </c>
      <c r="W458" s="13" t="n">
        <v>0.0132788559754853</v>
      </c>
      <c r="X458" s="15" t="n">
        <v>0.0504032258064515</v>
      </c>
      <c r="Y458" s="13" t="n">
        <v>0.015651642376862</v>
      </c>
      <c r="Z458" s="13" t="n">
        <v>0.0319232827905192</v>
      </c>
      <c r="AA458" s="30" t="s">
        <v>97</v>
      </c>
      <c r="AB458" s="28" t="s">
        <v>93</v>
      </c>
      <c r="AC458" s="28" t="s">
        <v>99</v>
      </c>
      <c r="AD458" s="28" t="s">
        <v>107</v>
      </c>
      <c r="AE458" s="28" t="s">
        <v>112</v>
      </c>
      <c r="AF458" s="28" t="s">
        <v>117</v>
      </c>
      <c r="AG458" s="30" t="s">
        <v>122</v>
      </c>
    </row>
    <row r="459" customFormat="false" ht="15" hidden="false" customHeight="false" outlineLevel="0" collapsed="false">
      <c r="A459" s="10" t="n">
        <v>2025</v>
      </c>
      <c r="B459" s="28" t="s">
        <v>66</v>
      </c>
      <c r="C459" s="29" t="n">
        <v>45772</v>
      </c>
      <c r="D459" s="30" t="s">
        <v>129</v>
      </c>
      <c r="E459" s="28" t="s">
        <v>301</v>
      </c>
      <c r="F459" s="28" t="s">
        <v>302</v>
      </c>
      <c r="G459" s="31" t="n">
        <v>38498</v>
      </c>
      <c r="H459" s="31" t="n">
        <v>2</v>
      </c>
      <c r="I459" s="31" t="n">
        <v>76997</v>
      </c>
      <c r="J459" s="29" t="n">
        <v>45789</v>
      </c>
      <c r="K459" s="31" t="n">
        <v>46200</v>
      </c>
      <c r="L459" s="30" t="s">
        <v>31</v>
      </c>
      <c r="M459" s="10" t="n">
        <v>8</v>
      </c>
      <c r="N459" s="12" t="n">
        <v>15239</v>
      </c>
      <c r="O459" s="13" t="n">
        <v>0.197917922716909</v>
      </c>
      <c r="P459" s="15" t="n">
        <v>0.218230547403714</v>
      </c>
      <c r="Q459" s="13" t="n">
        <v>-0.0285325698742235</v>
      </c>
      <c r="R459" s="15" t="n">
        <v>0.0719063545150502</v>
      </c>
      <c r="S459" s="32" t="n">
        <v>87718414200</v>
      </c>
      <c r="T459" s="15" t="n">
        <v>0.0583379196477711</v>
      </c>
      <c r="U459" s="32" t="n">
        <v>48577133890</v>
      </c>
      <c r="V459" s="14" t="n">
        <v>1.61643902120098</v>
      </c>
      <c r="W459" s="13" t="n">
        <v>0.0473856209150327</v>
      </c>
      <c r="X459" s="15" t="n">
        <v>0.0166406656266251</v>
      </c>
      <c r="Y459" s="13" t="n">
        <v>0.00950311814869598</v>
      </c>
      <c r="Z459" s="13" t="n">
        <v>0.0253199217208528</v>
      </c>
      <c r="AA459" s="30" t="s">
        <v>97</v>
      </c>
      <c r="AB459" s="28" t="s">
        <v>93</v>
      </c>
      <c r="AC459" s="28" t="s">
        <v>101</v>
      </c>
      <c r="AD459" s="28" t="s">
        <v>108</v>
      </c>
      <c r="AE459" s="28" t="s">
        <v>101</v>
      </c>
      <c r="AF459" s="28" t="s">
        <v>116</v>
      </c>
      <c r="AG459" s="30" t="s">
        <v>122</v>
      </c>
    </row>
    <row r="460" customFormat="false" ht="15" hidden="false" customHeight="false" outlineLevel="0" collapsed="false">
      <c r="A460" s="10" t="n">
        <v>2025</v>
      </c>
      <c r="B460" s="28" t="s">
        <v>66</v>
      </c>
      <c r="C460" s="29" t="n">
        <v>45772</v>
      </c>
      <c r="D460" s="30" t="s">
        <v>129</v>
      </c>
      <c r="E460" s="28" t="s">
        <v>1233</v>
      </c>
      <c r="F460" s="30" t="s">
        <v>1234</v>
      </c>
      <c r="G460" s="31" t="n">
        <v>15505</v>
      </c>
      <c r="H460" s="31" t="n">
        <v>6</v>
      </c>
      <c r="I460" s="31" t="n">
        <v>93033</v>
      </c>
      <c r="J460" s="29" t="n">
        <v>45796</v>
      </c>
      <c r="K460" s="31" t="n">
        <v>14755</v>
      </c>
      <c r="L460" s="30" t="s">
        <v>32</v>
      </c>
      <c r="M460" s="10" t="n">
        <v>13</v>
      </c>
      <c r="N460" s="12" t="n">
        <v>-4662</v>
      </c>
      <c r="O460" s="13" t="n">
        <v>-0.0501068945902385</v>
      </c>
      <c r="P460" s="15" t="n">
        <v>0.08993653215732</v>
      </c>
      <c r="Q460" s="13" t="n">
        <v>-0.058398025473558</v>
      </c>
      <c r="R460" s="15" t="n">
        <v>0.106428571428572</v>
      </c>
      <c r="S460" s="32" t="n">
        <v>31995772240</v>
      </c>
      <c r="T460" s="15" t="n">
        <v>0.106428571428572</v>
      </c>
      <c r="U460" s="32" t="n">
        <v>3081950976.5</v>
      </c>
      <c r="V460" s="14" t="n">
        <v>8.80008980831166</v>
      </c>
      <c r="W460" s="13" t="n">
        <v>0.0558963871847307</v>
      </c>
      <c r="X460" s="15" t="n">
        <v>0.0200129115558425</v>
      </c>
      <c r="Y460" s="13" t="n">
        <v>0.00950311814869598</v>
      </c>
      <c r="Z460" s="13" t="n">
        <v>0.0253199217208528</v>
      </c>
      <c r="AA460" s="30" t="s">
        <v>97</v>
      </c>
      <c r="AB460" s="28" t="s">
        <v>93</v>
      </c>
      <c r="AC460" s="28" t="s">
        <v>102</v>
      </c>
      <c r="AD460" s="28" t="s">
        <v>107</v>
      </c>
      <c r="AE460" s="28" t="s">
        <v>114</v>
      </c>
      <c r="AF460" s="28" t="s">
        <v>119</v>
      </c>
      <c r="AG460" s="30" t="s">
        <v>122</v>
      </c>
    </row>
    <row r="461" customFormat="false" ht="15" hidden="false" customHeight="false" outlineLevel="0" collapsed="false">
      <c r="A461" s="10" t="n">
        <v>2025</v>
      </c>
      <c r="B461" s="28" t="s">
        <v>66</v>
      </c>
      <c r="C461" s="29" t="n">
        <v>45772</v>
      </c>
      <c r="D461" s="30" t="s">
        <v>129</v>
      </c>
      <c r="E461" s="28" t="s">
        <v>485</v>
      </c>
      <c r="F461" s="28" t="s">
        <v>486</v>
      </c>
      <c r="G461" s="31" t="n">
        <v>63463</v>
      </c>
      <c r="H461" s="31" t="n">
        <v>1</v>
      </c>
      <c r="I461" s="31" t="n">
        <v>63463</v>
      </c>
      <c r="J461" s="29" t="n">
        <v>45803</v>
      </c>
      <c r="K461" s="31" t="n">
        <v>76200</v>
      </c>
      <c r="L461" s="30" t="s">
        <v>31</v>
      </c>
      <c r="M461" s="10" t="n">
        <v>18</v>
      </c>
      <c r="N461" s="12" t="n">
        <v>12601</v>
      </c>
      <c r="O461" s="13" t="n">
        <v>0.198560910540564</v>
      </c>
      <c r="P461" s="15" t="n">
        <v>0.203843475136851</v>
      </c>
      <c r="Q461" s="13" t="n">
        <v>-0.0136046918381302</v>
      </c>
      <c r="R461" s="15" t="n">
        <v>0.0111642743221692</v>
      </c>
      <c r="S461" s="32" t="n">
        <v>22230195600</v>
      </c>
      <c r="T461" s="15" t="n">
        <v>0.00157977883096372</v>
      </c>
      <c r="U461" s="32" t="n">
        <v>20400027690</v>
      </c>
      <c r="V461" s="14" t="n">
        <v>1.04610298043312</v>
      </c>
      <c r="W461" s="13" t="n">
        <v>0.0111642743221692</v>
      </c>
      <c r="X461" s="15" t="n">
        <v>0.0126182965299684</v>
      </c>
      <c r="Y461" s="13" t="n">
        <v>0.00950311814869598</v>
      </c>
      <c r="Z461" s="13" t="n">
        <v>0.0253199217208528</v>
      </c>
      <c r="AA461" s="30" t="s">
        <v>97</v>
      </c>
      <c r="AB461" s="28" t="s">
        <v>93</v>
      </c>
      <c r="AC461" s="28" t="s">
        <v>99</v>
      </c>
      <c r="AD461" s="28" t="s">
        <v>106</v>
      </c>
      <c r="AE461" s="28" t="s">
        <v>112</v>
      </c>
      <c r="AF461" s="28" t="s">
        <v>116</v>
      </c>
      <c r="AG461" s="30" t="s">
        <v>122</v>
      </c>
    </row>
    <row r="462" customFormat="false" ht="15" hidden="false" customHeight="false" outlineLevel="0" collapsed="false">
      <c r="A462" s="10" t="n">
        <v>2025</v>
      </c>
      <c r="B462" s="28" t="s">
        <v>66</v>
      </c>
      <c r="C462" s="29" t="n">
        <v>45772</v>
      </c>
      <c r="D462" s="30" t="s">
        <v>129</v>
      </c>
      <c r="E462" s="28" t="s">
        <v>671</v>
      </c>
      <c r="F462" s="28" t="s">
        <v>672</v>
      </c>
      <c r="G462" s="31" t="n">
        <v>76476</v>
      </c>
      <c r="H462" s="31" t="n">
        <v>1</v>
      </c>
      <c r="I462" s="31" t="n">
        <v>76476</v>
      </c>
      <c r="J462" s="29" t="n">
        <v>45805</v>
      </c>
      <c r="K462" s="31" t="n">
        <v>91800</v>
      </c>
      <c r="L462" s="30" t="s">
        <v>31</v>
      </c>
      <c r="M462" s="10" t="n">
        <v>20</v>
      </c>
      <c r="N462" s="12" t="n">
        <v>15161</v>
      </c>
      <c r="O462" s="13" t="n">
        <v>0.19823969930593</v>
      </c>
      <c r="P462" s="15" t="n">
        <v>0.303670151837691</v>
      </c>
      <c r="Q462" s="13" t="n">
        <v>0.00161618486225823</v>
      </c>
      <c r="R462" s="15" t="n">
        <v>0.0437158469945356</v>
      </c>
      <c r="S462" s="32" t="n">
        <v>20259293600</v>
      </c>
      <c r="T462" s="15" t="n">
        <v>0.0296495956873315</v>
      </c>
      <c r="U462" s="32" t="n">
        <v>8881642220</v>
      </c>
      <c r="V462" s="14" t="n">
        <v>2.13206083240536</v>
      </c>
      <c r="W462" s="13" t="n">
        <v>0.0394557823129251</v>
      </c>
      <c r="X462" s="15" t="n">
        <v>0</v>
      </c>
      <c r="Y462" s="13" t="n">
        <v>0.00950311814869598</v>
      </c>
      <c r="Z462" s="13" t="n">
        <v>0.0253199217208528</v>
      </c>
      <c r="AA462" s="30" t="s">
        <v>97</v>
      </c>
      <c r="AB462" s="28" t="s">
        <v>93</v>
      </c>
      <c r="AC462" s="28" t="s">
        <v>100</v>
      </c>
      <c r="AD462" s="28" t="s">
        <v>106</v>
      </c>
      <c r="AE462" s="28" t="s">
        <v>113</v>
      </c>
      <c r="AF462" s="28" t="s">
        <v>117</v>
      </c>
      <c r="AG462" s="30" t="s">
        <v>122</v>
      </c>
    </row>
    <row r="463" customFormat="false" ht="15" hidden="false" customHeight="false" outlineLevel="0" collapsed="false">
      <c r="A463" s="10" t="n">
        <v>2025</v>
      </c>
      <c r="B463" s="28" t="s">
        <v>66</v>
      </c>
      <c r="C463" s="29" t="n">
        <v>45772</v>
      </c>
      <c r="D463" s="30" t="s">
        <v>129</v>
      </c>
      <c r="E463" s="28" t="s">
        <v>655</v>
      </c>
      <c r="F463" s="30" t="s">
        <v>656</v>
      </c>
      <c r="G463" s="31" t="n">
        <v>34835</v>
      </c>
      <c r="H463" s="31" t="n">
        <v>2</v>
      </c>
      <c r="I463" s="31" t="n">
        <v>69670</v>
      </c>
      <c r="J463" s="29" t="n">
        <v>45786</v>
      </c>
      <c r="K463" s="31" t="n">
        <v>33117</v>
      </c>
      <c r="L463" s="30" t="s">
        <v>32</v>
      </c>
      <c r="M463" s="10" t="n">
        <v>7</v>
      </c>
      <c r="N463" s="12" t="n">
        <v>-3556</v>
      </c>
      <c r="O463" s="13" t="n">
        <v>-0.0510356890953873</v>
      </c>
      <c r="P463" s="15" t="n">
        <v>0.0305786167855136</v>
      </c>
      <c r="Q463" s="13" t="n">
        <v>-0.0526714664645698</v>
      </c>
      <c r="R463" s="15" t="n">
        <v>0.0388059701492538</v>
      </c>
      <c r="S463" s="32" t="n">
        <v>20027365200</v>
      </c>
      <c r="T463" s="15" t="n">
        <v>0.0205278592375366</v>
      </c>
      <c r="U463" s="32" t="n">
        <v>15944164185</v>
      </c>
      <c r="V463" s="14" t="n">
        <v>1.11415587348472</v>
      </c>
      <c r="W463" s="13" t="n">
        <v>0.0116279069767442</v>
      </c>
      <c r="X463" s="15" t="n">
        <v>0.0229885057471264</v>
      </c>
      <c r="Y463" s="13" t="n">
        <v>0.00950311814869598</v>
      </c>
      <c r="Z463" s="13" t="n">
        <v>0.0253199217208528</v>
      </c>
      <c r="AA463" s="30" t="s">
        <v>97</v>
      </c>
      <c r="AB463" s="28" t="s">
        <v>93</v>
      </c>
      <c r="AC463" s="28" t="s">
        <v>100</v>
      </c>
      <c r="AD463" s="28" t="s">
        <v>106</v>
      </c>
      <c r="AE463" s="28" t="s">
        <v>113</v>
      </c>
      <c r="AF463" s="28" t="s">
        <v>116</v>
      </c>
      <c r="AG463" s="30" t="s">
        <v>122</v>
      </c>
    </row>
    <row r="464" customFormat="false" ht="15" hidden="false" customHeight="false" outlineLevel="0" collapsed="false">
      <c r="A464" s="10" t="n">
        <v>2025</v>
      </c>
      <c r="B464" s="28" t="s">
        <v>66</v>
      </c>
      <c r="C464" s="29" t="n">
        <v>45775</v>
      </c>
      <c r="D464" s="30" t="s">
        <v>125</v>
      </c>
      <c r="E464" s="28" t="s">
        <v>1403</v>
      </c>
      <c r="F464" s="30" t="s">
        <v>1404</v>
      </c>
      <c r="G464" s="31" t="n">
        <v>3794</v>
      </c>
      <c r="H464" s="31" t="n">
        <v>26</v>
      </c>
      <c r="I464" s="31" t="n">
        <v>98639</v>
      </c>
      <c r="J464" s="29" t="n">
        <v>45789</v>
      </c>
      <c r="K464" s="31" t="n">
        <v>3611</v>
      </c>
      <c r="L464" s="30" t="s">
        <v>32</v>
      </c>
      <c r="M464" s="10" t="n">
        <v>7</v>
      </c>
      <c r="N464" s="12" t="n">
        <v>-4912</v>
      </c>
      <c r="O464" s="13" t="n">
        <v>-0.0498005566333402</v>
      </c>
      <c r="P464" s="15" t="n">
        <v>0.0793955384984411</v>
      </c>
      <c r="Q464" s="13" t="n">
        <v>-0.0695320510623939</v>
      </c>
      <c r="R464" s="15" t="n">
        <v>0.0326975476839237</v>
      </c>
      <c r="S464" s="32" t="n">
        <v>36760487230</v>
      </c>
      <c r="T464" s="15" t="n">
        <v>0.0257104194857916</v>
      </c>
      <c r="U464" s="32" t="n">
        <v>11600732369.25</v>
      </c>
      <c r="V464" s="14" t="n">
        <v>2.93695840545081</v>
      </c>
      <c r="W464" s="13" t="n">
        <v>0.0326975476839237</v>
      </c>
      <c r="X464" s="15" t="n">
        <v>0.0343007915567282</v>
      </c>
      <c r="Y464" s="13" t="n">
        <v>0.00100538035581033</v>
      </c>
      <c r="Z464" s="13" t="n">
        <v>0.0242885043521592</v>
      </c>
      <c r="AA464" s="30" t="s">
        <v>97</v>
      </c>
      <c r="AB464" s="28" t="s">
        <v>93</v>
      </c>
      <c r="AC464" s="28" t="s">
        <v>100</v>
      </c>
      <c r="AD464" s="28" t="s">
        <v>107</v>
      </c>
      <c r="AE464" s="28" t="s">
        <v>113</v>
      </c>
      <c r="AF464" s="28" t="s">
        <v>117</v>
      </c>
      <c r="AG464" s="30" t="s">
        <v>122</v>
      </c>
    </row>
    <row r="465" customFormat="false" ht="15" hidden="false" customHeight="false" outlineLevel="0" collapsed="false">
      <c r="A465" s="10" t="n">
        <v>2025</v>
      </c>
      <c r="B465" s="28" t="s">
        <v>66</v>
      </c>
      <c r="C465" s="29" t="n">
        <v>45775</v>
      </c>
      <c r="D465" s="30" t="s">
        <v>125</v>
      </c>
      <c r="E465" s="28" t="s">
        <v>343</v>
      </c>
      <c r="F465" s="30" t="s">
        <v>344</v>
      </c>
      <c r="G465" s="31" t="n">
        <v>7578</v>
      </c>
      <c r="H465" s="31" t="n">
        <v>13</v>
      </c>
      <c r="I465" s="31" t="n">
        <v>98508</v>
      </c>
      <c r="J465" s="29" t="n">
        <v>45777</v>
      </c>
      <c r="K465" s="31" t="n">
        <v>7213</v>
      </c>
      <c r="L465" s="30" t="s">
        <v>32</v>
      </c>
      <c r="M465" s="10" t="n">
        <v>2</v>
      </c>
      <c r="N465" s="12" t="n">
        <v>-4912</v>
      </c>
      <c r="O465" s="13" t="n">
        <v>-0.0498613305452804</v>
      </c>
      <c r="P465" s="15" t="n">
        <v>0.132289111153048</v>
      </c>
      <c r="Q465" s="13" t="n">
        <v>-0.053786372148327</v>
      </c>
      <c r="R465" s="15" t="n">
        <v>0.0327421555252387</v>
      </c>
      <c r="S465" s="32" t="n">
        <v>20874509670</v>
      </c>
      <c r="T465" s="15" t="n">
        <v>0.0188425302826381</v>
      </c>
      <c r="U465" s="32" t="n">
        <v>3216084350.5</v>
      </c>
      <c r="V465" s="14" t="n">
        <v>6.08346709824419</v>
      </c>
      <c r="W465" s="13" t="n">
        <v>-0.0561097256857855</v>
      </c>
      <c r="X465" s="15" t="n">
        <v>0.084544253632761</v>
      </c>
      <c r="Y465" s="13" t="n">
        <v>0.00100538035581033</v>
      </c>
      <c r="Z465" s="13" t="n">
        <v>0.0242885043521592</v>
      </c>
      <c r="AA465" s="30" t="s">
        <v>97</v>
      </c>
      <c r="AB465" s="28" t="s">
        <v>93</v>
      </c>
      <c r="AC465" s="28" t="s">
        <v>100</v>
      </c>
      <c r="AD465" s="28" t="s">
        <v>106</v>
      </c>
      <c r="AE465" s="28" t="s">
        <v>112</v>
      </c>
      <c r="AF465" s="28" t="s">
        <v>119</v>
      </c>
      <c r="AG465" s="30" t="s">
        <v>123</v>
      </c>
    </row>
    <row r="466" customFormat="false" ht="15" hidden="false" customHeight="false" outlineLevel="0" collapsed="false">
      <c r="A466" s="10" t="n">
        <v>2025</v>
      </c>
      <c r="B466" s="28" t="s">
        <v>66</v>
      </c>
      <c r="C466" s="29" t="n">
        <v>45776</v>
      </c>
      <c r="D466" s="30" t="s">
        <v>126</v>
      </c>
      <c r="E466" s="28" t="s">
        <v>585</v>
      </c>
      <c r="F466" s="30" t="s">
        <v>586</v>
      </c>
      <c r="G466" s="31" t="n">
        <v>55956</v>
      </c>
      <c r="H466" s="31" t="n">
        <v>1</v>
      </c>
      <c r="I466" s="31" t="n">
        <v>55956</v>
      </c>
      <c r="J466" s="29" t="n">
        <v>45797</v>
      </c>
      <c r="K466" s="31" t="n">
        <v>67200</v>
      </c>
      <c r="L466" s="30" t="s">
        <v>31</v>
      </c>
      <c r="M466" s="10" t="n">
        <v>12</v>
      </c>
      <c r="N466" s="12" t="n">
        <v>11125</v>
      </c>
      <c r="O466" s="13" t="n">
        <v>0.198814184295133</v>
      </c>
      <c r="P466" s="15" t="n">
        <v>0.206307109706037</v>
      </c>
      <c r="Q466" s="13" t="n">
        <v>-0.0438899204552156</v>
      </c>
      <c r="R466" s="15" t="n">
        <v>0.131578947368421</v>
      </c>
      <c r="S466" s="32" t="n">
        <v>48112347400</v>
      </c>
      <c r="T466" s="15" t="n">
        <v>0.0587121212121211</v>
      </c>
      <c r="U466" s="32" t="n">
        <v>12132332062.5</v>
      </c>
      <c r="V466" s="14" t="n">
        <v>3.5021338868805</v>
      </c>
      <c r="W466" s="13" t="n">
        <v>0.123618090452261</v>
      </c>
      <c r="X466" s="15" t="n">
        <v>0.00536672629695878</v>
      </c>
      <c r="Y466" s="13" t="n">
        <v>0.00649702219815906</v>
      </c>
      <c r="Z466" s="13" t="n">
        <v>0.0316813048933502</v>
      </c>
      <c r="AA466" s="30" t="s">
        <v>97</v>
      </c>
      <c r="AB466" s="28" t="s">
        <v>93</v>
      </c>
      <c r="AC466" s="28" t="s">
        <v>102</v>
      </c>
      <c r="AD466" s="28" t="s">
        <v>107</v>
      </c>
      <c r="AE466" s="28" t="s">
        <v>101</v>
      </c>
      <c r="AF466" s="28" t="s">
        <v>118</v>
      </c>
      <c r="AG466" s="30" t="s">
        <v>122</v>
      </c>
    </row>
    <row r="467" customFormat="false" ht="15" hidden="false" customHeight="false" outlineLevel="0" collapsed="false">
      <c r="A467" s="10" t="n">
        <v>2025</v>
      </c>
      <c r="B467" s="28" t="s">
        <v>66</v>
      </c>
      <c r="C467" s="29" t="n">
        <v>45776</v>
      </c>
      <c r="D467" s="30" t="s">
        <v>126</v>
      </c>
      <c r="E467" s="28" t="s">
        <v>209</v>
      </c>
      <c r="F467" s="30" t="s">
        <v>210</v>
      </c>
      <c r="G467" s="31" t="n">
        <v>26026</v>
      </c>
      <c r="H467" s="31" t="n">
        <v>3</v>
      </c>
      <c r="I467" s="31" t="n">
        <v>78078</v>
      </c>
      <c r="J467" s="29" t="n">
        <v>45797</v>
      </c>
      <c r="K467" s="31" t="n">
        <v>31250</v>
      </c>
      <c r="L467" s="30" t="s">
        <v>31</v>
      </c>
      <c r="M467" s="10" t="n">
        <v>12</v>
      </c>
      <c r="N467" s="12" t="n">
        <v>15506</v>
      </c>
      <c r="O467" s="13" t="n">
        <v>0.19859116268347</v>
      </c>
      <c r="P467" s="15" t="n">
        <v>0.200722354568509</v>
      </c>
      <c r="Q467" s="13" t="n">
        <v>-0.0394221163451931</v>
      </c>
      <c r="R467" s="15" t="n">
        <v>0.0947368421052632</v>
      </c>
      <c r="S467" s="32" t="n">
        <v>30928170000</v>
      </c>
      <c r="T467" s="15" t="n">
        <v>0.0236220472440945</v>
      </c>
      <c r="U467" s="32" t="n">
        <v>10922598230</v>
      </c>
      <c r="V467" s="14" t="n">
        <v>2.49851318359555</v>
      </c>
      <c r="W467" s="13" t="n">
        <v>0.0743801652892562</v>
      </c>
      <c r="X467" s="15" t="n">
        <v>0.0134615384615384</v>
      </c>
      <c r="Y467" s="13" t="n">
        <v>0.00649702219815906</v>
      </c>
      <c r="Z467" s="13" t="n">
        <v>0.0316813048933502</v>
      </c>
      <c r="AA467" s="30" t="s">
        <v>97</v>
      </c>
      <c r="AB467" s="28" t="s">
        <v>93</v>
      </c>
      <c r="AC467" s="28" t="s">
        <v>101</v>
      </c>
      <c r="AD467" s="28" t="s">
        <v>107</v>
      </c>
      <c r="AE467" s="28" t="s">
        <v>113</v>
      </c>
      <c r="AF467" s="28" t="s">
        <v>117</v>
      </c>
      <c r="AG467" s="30" t="s">
        <v>122</v>
      </c>
    </row>
    <row r="468" customFormat="false" ht="15" hidden="false" customHeight="false" outlineLevel="0" collapsed="false">
      <c r="A468" s="10" t="n">
        <v>2025</v>
      </c>
      <c r="B468" s="28" t="s">
        <v>67</v>
      </c>
      <c r="C468" s="29" t="n">
        <v>45786</v>
      </c>
      <c r="D468" s="30" t="s">
        <v>129</v>
      </c>
      <c r="E468" s="28" t="s">
        <v>1405</v>
      </c>
      <c r="F468" s="30" t="s">
        <v>1406</v>
      </c>
      <c r="G468" s="31" t="n">
        <v>11882</v>
      </c>
      <c r="H468" s="31" t="n">
        <v>8</v>
      </c>
      <c r="I468" s="31" t="n">
        <v>95055</v>
      </c>
      <c r="J468" s="29" t="n">
        <v>45790</v>
      </c>
      <c r="K468" s="31" t="n">
        <v>11309</v>
      </c>
      <c r="L468" s="30" t="s">
        <v>32</v>
      </c>
      <c r="M468" s="10" t="n">
        <v>2</v>
      </c>
      <c r="N468" s="12" t="n">
        <v>-4749</v>
      </c>
      <c r="O468" s="13" t="n">
        <v>-0.0499611258581351</v>
      </c>
      <c r="P468" s="15" t="n">
        <v>0.00320909082492915</v>
      </c>
      <c r="Q468" s="13" t="n">
        <v>-0.0691700885466681</v>
      </c>
      <c r="R468" s="15" t="n">
        <v>0.0860018298261664</v>
      </c>
      <c r="S468" s="32" t="n">
        <v>92423903280</v>
      </c>
      <c r="T468" s="15" t="n">
        <v>0.0394045534150613</v>
      </c>
      <c r="U468" s="32" t="n">
        <v>13206199183</v>
      </c>
      <c r="V468" s="14" t="n">
        <v>6.33012218075676</v>
      </c>
      <c r="W468" s="13" t="n">
        <v>0.0790909090909091</v>
      </c>
      <c r="X468" s="15" t="n">
        <v>0.0345408593091827</v>
      </c>
      <c r="Y468" s="13" t="n">
        <v>-0.000856761827965347</v>
      </c>
      <c r="Z468" s="13" t="n">
        <v>0.00461912669270514</v>
      </c>
      <c r="AA468" s="30" t="s">
        <v>97</v>
      </c>
      <c r="AB468" s="28" t="s">
        <v>93</v>
      </c>
      <c r="AC468" s="28" t="s">
        <v>101</v>
      </c>
      <c r="AD468" s="28" t="s">
        <v>108</v>
      </c>
      <c r="AE468" s="28" t="s">
        <v>113</v>
      </c>
      <c r="AF468" s="28" t="s">
        <v>119</v>
      </c>
      <c r="AG468" s="30" t="s">
        <v>122</v>
      </c>
    </row>
    <row r="469" customFormat="false" ht="15" hidden="false" customHeight="false" outlineLevel="0" collapsed="false">
      <c r="A469" s="10" t="n">
        <v>2025</v>
      </c>
      <c r="B469" s="28" t="s">
        <v>67</v>
      </c>
      <c r="C469" s="29" t="n">
        <v>45786</v>
      </c>
      <c r="D469" s="30" t="s">
        <v>129</v>
      </c>
      <c r="E469" s="28" t="s">
        <v>1407</v>
      </c>
      <c r="F469" s="30" t="s">
        <v>1408</v>
      </c>
      <c r="G469" s="31" t="n">
        <v>17818</v>
      </c>
      <c r="H469" s="31" t="n">
        <v>5</v>
      </c>
      <c r="I469" s="31" t="n">
        <v>89089</v>
      </c>
      <c r="J469" s="29" t="n">
        <v>45790</v>
      </c>
      <c r="K469" s="31" t="n">
        <v>16963</v>
      </c>
      <c r="L469" s="30" t="s">
        <v>32</v>
      </c>
      <c r="M469" s="10" t="n">
        <v>2</v>
      </c>
      <c r="N469" s="12" t="n">
        <v>-4427</v>
      </c>
      <c r="O469" s="13" t="n">
        <v>-0.0496942188710167</v>
      </c>
      <c r="P469" s="15" t="n">
        <v>0.0798190573471473</v>
      </c>
      <c r="Q469" s="13" t="n">
        <v>-0.0924805531547104</v>
      </c>
      <c r="R469" s="15" t="n">
        <v>0.0102156640181612</v>
      </c>
      <c r="S469" s="32" t="n">
        <v>59357250600</v>
      </c>
      <c r="T469" s="15" t="n">
        <v>0.0102156640181612</v>
      </c>
      <c r="U469" s="32" t="n">
        <v>28928270414</v>
      </c>
      <c r="V469" s="14" t="n">
        <v>1.80801362143554</v>
      </c>
      <c r="W469" s="13" t="n">
        <v>0.0113636363636365</v>
      </c>
      <c r="X469" s="15" t="n">
        <v>0.0258426966292136</v>
      </c>
      <c r="Y469" s="13" t="n">
        <v>-0.000856761827965347</v>
      </c>
      <c r="Z469" s="13" t="n">
        <v>0.00461912669270514</v>
      </c>
      <c r="AA469" s="30" t="s">
        <v>97</v>
      </c>
      <c r="AB469" s="28" t="s">
        <v>93</v>
      </c>
      <c r="AC469" s="28" t="s">
        <v>99</v>
      </c>
      <c r="AD469" s="28" t="s">
        <v>108</v>
      </c>
      <c r="AE469" s="28" t="s">
        <v>112</v>
      </c>
      <c r="AF469" s="28" t="s">
        <v>116</v>
      </c>
      <c r="AG469" s="30" t="s">
        <v>122</v>
      </c>
    </row>
    <row r="470" customFormat="false" ht="15" hidden="false" customHeight="false" outlineLevel="0" collapsed="false">
      <c r="A470" s="10" t="n">
        <v>2025</v>
      </c>
      <c r="B470" s="28" t="s">
        <v>67</v>
      </c>
      <c r="C470" s="29" t="n">
        <v>45789</v>
      </c>
      <c r="D470" s="30" t="s">
        <v>125</v>
      </c>
      <c r="E470" s="28" t="s">
        <v>701</v>
      </c>
      <c r="F470" s="30" t="s">
        <v>702</v>
      </c>
      <c r="G470" s="31" t="n">
        <v>92492</v>
      </c>
      <c r="H470" s="31" t="n">
        <v>1</v>
      </c>
      <c r="I470" s="31" t="n">
        <v>92492</v>
      </c>
      <c r="J470" s="29" t="n">
        <v>45800</v>
      </c>
      <c r="K470" s="31" t="n">
        <v>88012</v>
      </c>
      <c r="L470" s="30" t="s">
        <v>32</v>
      </c>
      <c r="M470" s="10" t="n">
        <v>9</v>
      </c>
      <c r="N470" s="12" t="n">
        <v>-4640</v>
      </c>
      <c r="O470" s="13" t="n">
        <v>-0.0501618889227655</v>
      </c>
      <c r="P470" s="15" t="n">
        <v>0.024949076897129</v>
      </c>
      <c r="Q470" s="13" t="n">
        <v>-0.0604633461776318</v>
      </c>
      <c r="R470" s="15" t="n">
        <v>0.0347144456886899</v>
      </c>
      <c r="S470" s="32" t="n">
        <v>75142452000</v>
      </c>
      <c r="T470" s="15" t="n">
        <v>0.0198675496688743</v>
      </c>
      <c r="U470" s="32" t="n">
        <v>82582762435</v>
      </c>
      <c r="V470" s="14" t="n">
        <v>0.857493786378151</v>
      </c>
      <c r="W470" s="13" t="n">
        <v>0.0243902439024391</v>
      </c>
      <c r="X470" s="15" t="n">
        <v>0</v>
      </c>
      <c r="Y470" s="13" t="n">
        <v>0.0116635044058246</v>
      </c>
      <c r="Z470" s="13" t="n">
        <v>0.019838770872366</v>
      </c>
      <c r="AA470" s="30" t="s">
        <v>97</v>
      </c>
      <c r="AB470" s="28" t="s">
        <v>93</v>
      </c>
      <c r="AC470" s="28" t="s">
        <v>100</v>
      </c>
      <c r="AD470" s="28" t="s">
        <v>108</v>
      </c>
      <c r="AE470" s="28" t="s">
        <v>112</v>
      </c>
      <c r="AF470" s="28" t="s">
        <v>116</v>
      </c>
      <c r="AG470" s="30" t="s">
        <v>122</v>
      </c>
    </row>
    <row r="471" customFormat="false" ht="15" hidden="false" customHeight="false" outlineLevel="0" collapsed="false">
      <c r="A471" s="10" t="n">
        <v>2025</v>
      </c>
      <c r="B471" s="28" t="s">
        <v>67</v>
      </c>
      <c r="C471" s="29" t="n">
        <v>45789</v>
      </c>
      <c r="D471" s="30" t="s">
        <v>125</v>
      </c>
      <c r="E471" s="28" t="s">
        <v>609</v>
      </c>
      <c r="F471" s="28" t="s">
        <v>610</v>
      </c>
      <c r="G471" s="31" t="n">
        <v>72873</v>
      </c>
      <c r="H471" s="31" t="n">
        <v>1</v>
      </c>
      <c r="I471" s="31" t="n">
        <v>72873</v>
      </c>
      <c r="J471" s="29" t="n">
        <v>45804</v>
      </c>
      <c r="K471" s="31" t="n">
        <v>69331</v>
      </c>
      <c r="L471" s="30" t="s">
        <v>32</v>
      </c>
      <c r="M471" s="10" t="n">
        <v>11</v>
      </c>
      <c r="N471" s="12" t="n">
        <v>-3668</v>
      </c>
      <c r="O471" s="13" t="n">
        <v>-0.0503277822452272</v>
      </c>
      <c r="P471" s="15" t="n">
        <v>0.00997903195705407</v>
      </c>
      <c r="Q471" s="13" t="n">
        <v>-0.0627504363768099</v>
      </c>
      <c r="R471" s="15" t="n">
        <v>0.0239099859353025</v>
      </c>
      <c r="S471" s="32" t="n">
        <v>24908374400</v>
      </c>
      <c r="T471" s="15" t="n">
        <v>0.0139275766016713</v>
      </c>
      <c r="U471" s="32" t="n">
        <v>26564063670</v>
      </c>
      <c r="V471" s="14" t="n">
        <v>0.896882780025204</v>
      </c>
      <c r="W471" s="13" t="n">
        <v>0.0181818181818181</v>
      </c>
      <c r="X471" s="15" t="n">
        <v>0</v>
      </c>
      <c r="Y471" s="13" t="n">
        <v>0.0116635044058246</v>
      </c>
      <c r="Z471" s="13" t="n">
        <v>0.019838770872366</v>
      </c>
      <c r="AA471" s="30" t="s">
        <v>97</v>
      </c>
      <c r="AB471" s="28" t="s">
        <v>93</v>
      </c>
      <c r="AC471" s="28" t="s">
        <v>99</v>
      </c>
      <c r="AD471" s="28" t="s">
        <v>106</v>
      </c>
      <c r="AE471" s="28" t="s">
        <v>112</v>
      </c>
      <c r="AF471" s="28" t="s">
        <v>116</v>
      </c>
      <c r="AG471" s="30" t="s">
        <v>122</v>
      </c>
    </row>
    <row r="472" customFormat="false" ht="15" hidden="false" customHeight="false" outlineLevel="0" collapsed="false">
      <c r="A472" s="10" t="n">
        <v>2025</v>
      </c>
      <c r="B472" s="28" t="s">
        <v>67</v>
      </c>
      <c r="C472" s="29" t="n">
        <v>45790</v>
      </c>
      <c r="D472" s="30" t="s">
        <v>126</v>
      </c>
      <c r="E472" s="28" t="s">
        <v>1409</v>
      </c>
      <c r="F472" s="30" t="s">
        <v>1410</v>
      </c>
      <c r="G472" s="31" t="n">
        <v>13083</v>
      </c>
      <c r="H472" s="31" t="n">
        <v>7</v>
      </c>
      <c r="I472" s="31" t="n">
        <v>91581</v>
      </c>
      <c r="J472" s="29" t="n">
        <v>45791</v>
      </c>
      <c r="K472" s="31" t="n">
        <v>12448</v>
      </c>
      <c r="L472" s="30" t="s">
        <v>32</v>
      </c>
      <c r="M472" s="10" t="n">
        <v>1</v>
      </c>
      <c r="N472" s="12" t="n">
        <v>-4606</v>
      </c>
      <c r="O472" s="13" t="n">
        <v>-0.0502963678632002</v>
      </c>
      <c r="P472" s="15" t="n">
        <v>0.00588011835142677</v>
      </c>
      <c r="Q472" s="13" t="n">
        <v>-0.160747439247822</v>
      </c>
      <c r="R472" s="15" t="n">
        <v>0.129645635263613</v>
      </c>
      <c r="S472" s="32" t="n">
        <v>171616432270</v>
      </c>
      <c r="T472" s="15" t="n">
        <v>0.0226917057902973</v>
      </c>
      <c r="U472" s="32" t="n">
        <v>33069868336</v>
      </c>
      <c r="V472" s="14" t="n">
        <v>3.24672176709068</v>
      </c>
      <c r="W472" s="13" t="n">
        <v>-0.0217065868263473</v>
      </c>
      <c r="X472" s="15" t="n">
        <v>0.132364192807957</v>
      </c>
      <c r="Y472" s="13" t="n">
        <v>0.00041805218365143</v>
      </c>
      <c r="Z472" s="13" t="n">
        <v>0.018997652151153</v>
      </c>
      <c r="AA472" s="30" t="s">
        <v>97</v>
      </c>
      <c r="AB472" s="28" t="s">
        <v>93</v>
      </c>
      <c r="AC472" s="28" t="s">
        <v>102</v>
      </c>
      <c r="AD472" s="28" t="s">
        <v>109</v>
      </c>
      <c r="AE472" s="28" t="s">
        <v>113</v>
      </c>
      <c r="AF472" s="28" t="s">
        <v>118</v>
      </c>
      <c r="AG472" s="30" t="s">
        <v>123</v>
      </c>
    </row>
    <row r="473" customFormat="false" ht="15" hidden="false" customHeight="false" outlineLevel="0" collapsed="false">
      <c r="A473" s="10" t="n">
        <v>2025</v>
      </c>
      <c r="B473" s="28" t="s">
        <v>67</v>
      </c>
      <c r="C473" s="29" t="n">
        <v>45790</v>
      </c>
      <c r="D473" s="30" t="s">
        <v>126</v>
      </c>
      <c r="E473" s="28" t="s">
        <v>385</v>
      </c>
      <c r="F473" s="28" t="s">
        <v>386</v>
      </c>
      <c r="G473" s="31" t="n">
        <v>20420</v>
      </c>
      <c r="H473" s="31" t="n">
        <v>4</v>
      </c>
      <c r="I473" s="31" t="n">
        <v>81682</v>
      </c>
      <c r="J473" s="29" t="n">
        <v>45821</v>
      </c>
      <c r="K473" s="31" t="n">
        <v>24550</v>
      </c>
      <c r="L473" s="30" t="s">
        <v>31</v>
      </c>
      <c r="M473" s="10" t="n">
        <v>21</v>
      </c>
      <c r="N473" s="12" t="n">
        <v>16344</v>
      </c>
      <c r="O473" s="13" t="n">
        <v>0.200095465318995</v>
      </c>
      <c r="P473" s="15" t="n">
        <v>0.224265930148283</v>
      </c>
      <c r="Q473" s="13" t="n">
        <v>-0.0156901921607803</v>
      </c>
      <c r="R473" s="15" t="n">
        <v>0.058091286307054</v>
      </c>
      <c r="S473" s="32" t="n">
        <v>120880628400</v>
      </c>
      <c r="T473" s="15" t="n">
        <v>0.0493827160493827</v>
      </c>
      <c r="U473" s="32" t="n">
        <v>32335590978.5</v>
      </c>
      <c r="V473" s="14" t="n">
        <v>3.46676443350415</v>
      </c>
      <c r="W473" s="13" t="n">
        <v>0.0456176319835981</v>
      </c>
      <c r="X473" s="15" t="n">
        <v>0.0196078431372548</v>
      </c>
      <c r="Y473" s="13" t="n">
        <v>0.00041805218365143</v>
      </c>
      <c r="Z473" s="13" t="n">
        <v>0.018997652151153</v>
      </c>
      <c r="AA473" s="30" t="s">
        <v>97</v>
      </c>
      <c r="AB473" s="28" t="s">
        <v>93</v>
      </c>
      <c r="AC473" s="28" t="s">
        <v>101</v>
      </c>
      <c r="AD473" s="28" t="s">
        <v>109</v>
      </c>
      <c r="AE473" s="28" t="s">
        <v>113</v>
      </c>
      <c r="AF473" s="28" t="s">
        <v>118</v>
      </c>
      <c r="AG473" s="30" t="s">
        <v>122</v>
      </c>
    </row>
    <row r="474" customFormat="false" ht="15" hidden="false" customHeight="false" outlineLevel="0" collapsed="false">
      <c r="A474" s="10" t="n">
        <v>2025</v>
      </c>
      <c r="B474" s="28" t="s">
        <v>67</v>
      </c>
      <c r="C474" s="29" t="n">
        <v>45790</v>
      </c>
      <c r="D474" s="30" t="s">
        <v>126</v>
      </c>
      <c r="E474" s="28" t="s">
        <v>1411</v>
      </c>
      <c r="F474" s="28" t="s">
        <v>1412</v>
      </c>
      <c r="G474" s="31" t="n">
        <v>4630</v>
      </c>
      <c r="H474" s="31" t="n">
        <v>21</v>
      </c>
      <c r="I474" s="31" t="n">
        <v>97222</v>
      </c>
      <c r="J474" s="29" t="n">
        <v>45791</v>
      </c>
      <c r="K474" s="31" t="n">
        <v>4406</v>
      </c>
      <c r="L474" s="30" t="s">
        <v>32</v>
      </c>
      <c r="M474" s="10" t="n">
        <v>1</v>
      </c>
      <c r="N474" s="12" t="n">
        <v>-4872</v>
      </c>
      <c r="O474" s="13" t="n">
        <v>-0.0501117622377621</v>
      </c>
      <c r="P474" s="15" t="n">
        <v>-0.00855900855900837</v>
      </c>
      <c r="Q474" s="13" t="n">
        <v>-0.0636390636390635</v>
      </c>
      <c r="R474" s="15" t="n">
        <v>0.0475651189127972</v>
      </c>
      <c r="S474" s="32" t="n">
        <v>87674987250</v>
      </c>
      <c r="T474" s="15" t="n">
        <v>0.0176017601760177</v>
      </c>
      <c r="U474" s="32" t="n">
        <v>3658892104.25</v>
      </c>
      <c r="V474" s="14" t="n">
        <v>22.7018253129535</v>
      </c>
      <c r="W474" s="13" t="n">
        <v>0.0463800904977376</v>
      </c>
      <c r="X474" s="15" t="n">
        <v>0.139459459459459</v>
      </c>
      <c r="Y474" s="13" t="n">
        <v>0.00041805218365143</v>
      </c>
      <c r="Z474" s="13" t="n">
        <v>0.018997652151153</v>
      </c>
      <c r="AA474" s="30" t="s">
        <v>97</v>
      </c>
      <c r="AB474" s="28" t="s">
        <v>93</v>
      </c>
      <c r="AC474" s="28" t="s">
        <v>100</v>
      </c>
      <c r="AD474" s="28" t="s">
        <v>108</v>
      </c>
      <c r="AE474" s="28" t="s">
        <v>112</v>
      </c>
      <c r="AF474" s="28" t="s">
        <v>120</v>
      </c>
      <c r="AG474" s="30" t="s">
        <v>122</v>
      </c>
    </row>
    <row r="475" customFormat="false" ht="15" hidden="false" customHeight="false" outlineLevel="0" collapsed="false">
      <c r="A475" s="10" t="n">
        <v>2025</v>
      </c>
      <c r="B475" s="28" t="s">
        <v>67</v>
      </c>
      <c r="C475" s="29" t="n">
        <v>45790</v>
      </c>
      <c r="D475" s="30" t="s">
        <v>126</v>
      </c>
      <c r="E475" s="28" t="s">
        <v>1413</v>
      </c>
      <c r="F475" s="28" t="s">
        <v>1414</v>
      </c>
      <c r="G475" s="31" t="n">
        <v>73974</v>
      </c>
      <c r="H475" s="31" t="n">
        <v>1</v>
      </c>
      <c r="I475" s="31" t="n">
        <v>73974</v>
      </c>
      <c r="J475" s="29" t="n">
        <v>45799</v>
      </c>
      <c r="K475" s="31" t="n">
        <v>70330</v>
      </c>
      <c r="L475" s="30" t="s">
        <v>32</v>
      </c>
      <c r="M475" s="10" t="n">
        <v>7</v>
      </c>
      <c r="N475" s="12" t="n">
        <v>-3771</v>
      </c>
      <c r="O475" s="13" t="n">
        <v>-0.0509833863700575</v>
      </c>
      <c r="P475" s="15" t="n">
        <v>0.122017360177036</v>
      </c>
      <c r="Q475" s="13" t="n">
        <v>-0.0969787992792052</v>
      </c>
      <c r="R475" s="15" t="n">
        <v>0.0788321167883213</v>
      </c>
      <c r="S475" s="32" t="n">
        <v>20268331300</v>
      </c>
      <c r="T475" s="15" t="n">
        <v>0.0335664335664336</v>
      </c>
      <c r="U475" s="32" t="n">
        <v>9826600145</v>
      </c>
      <c r="V475" s="14" t="n">
        <v>1.86544655546324</v>
      </c>
      <c r="W475" s="13" t="n">
        <v>0.0931952662721893</v>
      </c>
      <c r="X475" s="15" t="n">
        <v>0.00676589986468201</v>
      </c>
      <c r="Y475" s="13" t="n">
        <v>0.00041805218365143</v>
      </c>
      <c r="Z475" s="13" t="n">
        <v>0.018997652151153</v>
      </c>
      <c r="AA475" s="30" t="s">
        <v>97</v>
      </c>
      <c r="AB475" s="28" t="s">
        <v>93</v>
      </c>
      <c r="AC475" s="28" t="s">
        <v>101</v>
      </c>
      <c r="AD475" s="28" t="s">
        <v>106</v>
      </c>
      <c r="AE475" s="28" t="s">
        <v>113</v>
      </c>
      <c r="AF475" s="28" t="s">
        <v>116</v>
      </c>
      <c r="AG475" s="30" t="s">
        <v>122</v>
      </c>
    </row>
    <row r="476" customFormat="false" ht="15" hidden="false" customHeight="false" outlineLevel="0" collapsed="false">
      <c r="A476" s="10" t="n">
        <v>2025</v>
      </c>
      <c r="B476" s="28" t="s">
        <v>67</v>
      </c>
      <c r="C476" s="29" t="n">
        <v>45791</v>
      </c>
      <c r="D476" s="30" t="s">
        <v>127</v>
      </c>
      <c r="E476" s="28" t="s">
        <v>769</v>
      </c>
      <c r="F476" s="28" t="s">
        <v>770</v>
      </c>
      <c r="G476" s="31" t="n">
        <v>99545</v>
      </c>
      <c r="H476" s="31" t="n">
        <v>1</v>
      </c>
      <c r="I476" s="31" t="n">
        <v>99545</v>
      </c>
      <c r="J476" s="29" t="n">
        <v>45792</v>
      </c>
      <c r="K476" s="31" t="n">
        <v>94705</v>
      </c>
      <c r="L476" s="30" t="s">
        <v>32</v>
      </c>
      <c r="M476" s="10" t="n">
        <v>1</v>
      </c>
      <c r="N476" s="12" t="n">
        <v>-5011</v>
      </c>
      <c r="O476" s="13" t="n">
        <v>-0.0503366691614945</v>
      </c>
      <c r="P476" s="15" t="n">
        <v>0.0103318231862657</v>
      </c>
      <c r="Q476" s="13" t="n">
        <v>-0.0538761805302448</v>
      </c>
      <c r="R476" s="15" t="n">
        <v>0.0580000000000001</v>
      </c>
      <c r="S476" s="32" t="n">
        <v>48142385600</v>
      </c>
      <c r="T476" s="15" t="n">
        <v>0.0134099616858239</v>
      </c>
      <c r="U476" s="32" t="n">
        <v>16945082230</v>
      </c>
      <c r="V476" s="14" t="n">
        <v>2.69082284010865</v>
      </c>
      <c r="W476" s="13" t="n">
        <v>0.0413385826771655</v>
      </c>
      <c r="X476" s="15" t="n">
        <v>0.0255198487712667</v>
      </c>
      <c r="Y476" s="13" t="n">
        <v>0.0123254690578971</v>
      </c>
      <c r="Z476" s="13" t="n">
        <v>0.0259421866500893</v>
      </c>
      <c r="AA476" s="30" t="s">
        <v>97</v>
      </c>
      <c r="AB476" s="28" t="s">
        <v>93</v>
      </c>
      <c r="AC476" s="28" t="s">
        <v>101</v>
      </c>
      <c r="AD476" s="28" t="s">
        <v>107</v>
      </c>
      <c r="AE476" s="28" t="s">
        <v>112</v>
      </c>
      <c r="AF476" s="28" t="s">
        <v>117</v>
      </c>
      <c r="AG476" s="30" t="s">
        <v>122</v>
      </c>
    </row>
    <row r="477" customFormat="false" ht="15" hidden="false" customHeight="false" outlineLevel="0" collapsed="false">
      <c r="A477" s="10" t="n">
        <v>2025</v>
      </c>
      <c r="B477" s="28" t="s">
        <v>67</v>
      </c>
      <c r="C477" s="29" t="n">
        <v>45791</v>
      </c>
      <c r="D477" s="30" t="s">
        <v>127</v>
      </c>
      <c r="E477" s="28" t="s">
        <v>719</v>
      </c>
      <c r="F477" s="30" t="s">
        <v>720</v>
      </c>
      <c r="G477" s="31" t="n">
        <v>81181</v>
      </c>
      <c r="H477" s="31" t="n">
        <v>1</v>
      </c>
      <c r="I477" s="31" t="n">
        <v>81181</v>
      </c>
      <c r="J477" s="29" t="n">
        <v>45792</v>
      </c>
      <c r="K477" s="31" t="n">
        <v>77223</v>
      </c>
      <c r="L477" s="30" t="s">
        <v>32</v>
      </c>
      <c r="M477" s="10" t="n">
        <v>1</v>
      </c>
      <c r="N477" s="12" t="n">
        <v>-4098</v>
      </c>
      <c r="O477" s="13" t="n">
        <v>-0.0504796636162849</v>
      </c>
      <c r="P477" s="15" t="n">
        <v>-0.000999000999000854</v>
      </c>
      <c r="Q477" s="13" t="n">
        <v>-0.0675169466784755</v>
      </c>
      <c r="R477" s="15" t="n">
        <v>0.115543328748281</v>
      </c>
      <c r="S477" s="32" t="n">
        <v>35055799400</v>
      </c>
      <c r="T477" s="15" t="n">
        <v>0.0162907268170427</v>
      </c>
      <c r="U477" s="32" t="n">
        <v>8626999275</v>
      </c>
      <c r="V477" s="14" t="n">
        <v>3.75975864703869</v>
      </c>
      <c r="W477" s="13" t="n">
        <v>0.0842245989304813</v>
      </c>
      <c r="X477" s="15" t="n">
        <v>0.0209617755856966</v>
      </c>
      <c r="Y477" s="13" t="n">
        <v>0.0123254690578971</v>
      </c>
      <c r="Z477" s="13" t="n">
        <v>0.0259421866500893</v>
      </c>
      <c r="AA477" s="30" t="s">
        <v>97</v>
      </c>
      <c r="AB477" s="28" t="s">
        <v>93</v>
      </c>
      <c r="AC477" s="28" t="s">
        <v>102</v>
      </c>
      <c r="AD477" s="28" t="s">
        <v>107</v>
      </c>
      <c r="AE477" s="28" t="s">
        <v>112</v>
      </c>
      <c r="AF477" s="28" t="s">
        <v>118</v>
      </c>
      <c r="AG477" s="30" t="s">
        <v>122</v>
      </c>
    </row>
    <row r="478" customFormat="false" ht="15" hidden="false" customHeight="false" outlineLevel="0" collapsed="false">
      <c r="A478" s="10" t="n">
        <v>2025</v>
      </c>
      <c r="B478" s="28" t="s">
        <v>67</v>
      </c>
      <c r="C478" s="29" t="n">
        <v>45791</v>
      </c>
      <c r="D478" s="30" t="s">
        <v>127</v>
      </c>
      <c r="E478" s="28" t="s">
        <v>539</v>
      </c>
      <c r="F478" s="30" t="s">
        <v>540</v>
      </c>
      <c r="G478" s="31" t="n">
        <v>33984</v>
      </c>
      <c r="H478" s="31" t="n">
        <v>2</v>
      </c>
      <c r="I478" s="31" t="n">
        <v>67968</v>
      </c>
      <c r="J478" s="29" t="n">
        <v>45793</v>
      </c>
      <c r="K478" s="31" t="n">
        <v>32168</v>
      </c>
      <c r="L478" s="30" t="s">
        <v>32</v>
      </c>
      <c r="M478" s="10" t="n">
        <v>2</v>
      </c>
      <c r="N478" s="12" t="n">
        <v>-3749</v>
      </c>
      <c r="O478" s="13" t="n">
        <v>-0.055153225640339</v>
      </c>
      <c r="P478" s="15" t="n">
        <v>0.0225415232779005</v>
      </c>
      <c r="Q478" s="13" t="n">
        <v>-0.0981036636412188</v>
      </c>
      <c r="R478" s="15" t="n">
        <v>0.0559875583203733</v>
      </c>
      <c r="S478" s="32" t="n">
        <v>25923541000</v>
      </c>
      <c r="T478" s="15" t="n">
        <v>0.0241327300150829</v>
      </c>
      <c r="U478" s="32" t="n">
        <v>10461980762.5</v>
      </c>
      <c r="V478" s="14" t="n">
        <v>2.34404414998162</v>
      </c>
      <c r="W478" s="13" t="n">
        <v>0.0319148936170213</v>
      </c>
      <c r="X478" s="15" t="n">
        <v>0.0088365243004418</v>
      </c>
      <c r="Y478" s="13" t="n">
        <v>0.0123254690578971</v>
      </c>
      <c r="Z478" s="13" t="n">
        <v>0.0259421866500893</v>
      </c>
      <c r="AA478" s="30" t="s">
        <v>97</v>
      </c>
      <c r="AB478" s="28" t="s">
        <v>93</v>
      </c>
      <c r="AC478" s="28" t="s">
        <v>101</v>
      </c>
      <c r="AD478" s="28" t="s">
        <v>106</v>
      </c>
      <c r="AE478" s="28" t="s">
        <v>113</v>
      </c>
      <c r="AF478" s="28" t="s">
        <v>117</v>
      </c>
      <c r="AG478" s="30" t="s">
        <v>122</v>
      </c>
    </row>
    <row r="479" customFormat="false" ht="15" hidden="false" customHeight="false" outlineLevel="0" collapsed="false">
      <c r="A479" s="10" t="n">
        <v>2025</v>
      </c>
      <c r="B479" s="28" t="s">
        <v>67</v>
      </c>
      <c r="C479" s="29" t="n">
        <v>45791</v>
      </c>
      <c r="D479" s="30" t="s">
        <v>127</v>
      </c>
      <c r="E479" s="28" t="s">
        <v>311</v>
      </c>
      <c r="F479" s="30" t="s">
        <v>312</v>
      </c>
      <c r="G479" s="31" t="n">
        <v>52352</v>
      </c>
      <c r="H479" s="31" t="n">
        <v>1</v>
      </c>
      <c r="I479" s="31" t="n">
        <v>52352</v>
      </c>
      <c r="J479" s="29" t="n">
        <v>45796</v>
      </c>
      <c r="K479" s="31" t="n">
        <v>49800</v>
      </c>
      <c r="L479" s="30" t="s">
        <v>32</v>
      </c>
      <c r="M479" s="10" t="n">
        <v>3</v>
      </c>
      <c r="N479" s="12" t="n">
        <v>-2642</v>
      </c>
      <c r="O479" s="13" t="n">
        <v>-0.0504690929051828</v>
      </c>
      <c r="P479" s="15" t="n">
        <v>0.010461813521087</v>
      </c>
      <c r="Q479" s="13" t="n">
        <v>-0.0726290917495506</v>
      </c>
      <c r="R479" s="15" t="n">
        <v>0.0356435643564357</v>
      </c>
      <c r="S479" s="32" t="n">
        <v>20498880400</v>
      </c>
      <c r="T479" s="15" t="n">
        <v>0.00965250965250974</v>
      </c>
      <c r="U479" s="32" t="n">
        <v>12364410180</v>
      </c>
      <c r="V479" s="14" t="n">
        <v>1.59407446210134</v>
      </c>
      <c r="W479" s="13" t="n">
        <v>0.021484375</v>
      </c>
      <c r="X479" s="15" t="n">
        <v>0</v>
      </c>
      <c r="Y479" s="13" t="n">
        <v>0.0123254690578971</v>
      </c>
      <c r="Z479" s="13" t="n">
        <v>0.0259421866500893</v>
      </c>
      <c r="AA479" s="30" t="s">
        <v>97</v>
      </c>
      <c r="AB479" s="28" t="s">
        <v>93</v>
      </c>
      <c r="AC479" s="28" t="s">
        <v>100</v>
      </c>
      <c r="AD479" s="28" t="s">
        <v>106</v>
      </c>
      <c r="AE479" s="28" t="s">
        <v>112</v>
      </c>
      <c r="AF479" s="28" t="s">
        <v>116</v>
      </c>
      <c r="AG479" s="30" t="s">
        <v>122</v>
      </c>
    </row>
    <row r="480" customFormat="false" ht="15" hidden="false" customHeight="false" outlineLevel="0" collapsed="false">
      <c r="A480" s="10" t="n">
        <v>2025</v>
      </c>
      <c r="B480" s="28" t="s">
        <v>67</v>
      </c>
      <c r="C480" s="29" t="n">
        <v>45792</v>
      </c>
      <c r="D480" s="30" t="s">
        <v>128</v>
      </c>
      <c r="E480" s="28" t="s">
        <v>641</v>
      </c>
      <c r="F480" s="30" t="s">
        <v>642</v>
      </c>
      <c r="G480" s="31" t="n">
        <v>19105</v>
      </c>
      <c r="H480" s="31" t="n">
        <v>5</v>
      </c>
      <c r="I480" s="31" t="n">
        <v>95525</v>
      </c>
      <c r="J480" s="29" t="n">
        <v>45799</v>
      </c>
      <c r="K480" s="31" t="n">
        <v>17960</v>
      </c>
      <c r="L480" s="30" t="s">
        <v>32</v>
      </c>
      <c r="M480" s="10" t="n">
        <v>5</v>
      </c>
      <c r="N480" s="12" t="n">
        <v>-5889</v>
      </c>
      <c r="O480" s="13" t="n">
        <v>-0.0616475933743673</v>
      </c>
      <c r="P480" s="15" t="n">
        <v>0.0659315870233985</v>
      </c>
      <c r="Q480" s="13" t="n">
        <v>-0.0857777458273733</v>
      </c>
      <c r="R480" s="15" t="n">
        <v>0.00901352028042046</v>
      </c>
      <c r="S480" s="32" t="n">
        <v>50912863950</v>
      </c>
      <c r="T480" s="15" t="n">
        <v>0.00248756218905477</v>
      </c>
      <c r="U480" s="32" t="n">
        <v>18403834522</v>
      </c>
      <c r="V480" s="14" t="n">
        <v>2.63020922384983</v>
      </c>
      <c r="W480" s="13" t="n">
        <v>-0.0358851674641149</v>
      </c>
      <c r="X480" s="15" t="n">
        <v>0.0669975186104219</v>
      </c>
      <c r="Y480" s="13" t="n">
        <v>-0.00727494442487797</v>
      </c>
      <c r="Z480" s="13" t="n">
        <v>0.0162358304774606</v>
      </c>
      <c r="AA480" s="30" t="s">
        <v>97</v>
      </c>
      <c r="AB480" s="28" t="s">
        <v>93</v>
      </c>
      <c r="AC480" s="28" t="s">
        <v>99</v>
      </c>
      <c r="AD480" s="28" t="s">
        <v>108</v>
      </c>
      <c r="AE480" s="28" t="s">
        <v>112</v>
      </c>
      <c r="AF480" s="28" t="s">
        <v>117</v>
      </c>
      <c r="AG480" s="30" t="s">
        <v>123</v>
      </c>
    </row>
    <row r="481" customFormat="false" ht="15" hidden="false" customHeight="false" outlineLevel="0" collapsed="false">
      <c r="A481" s="10" t="n">
        <v>2025</v>
      </c>
      <c r="B481" s="28" t="s">
        <v>67</v>
      </c>
      <c r="C481" s="29" t="n">
        <v>45792</v>
      </c>
      <c r="D481" s="30" t="s">
        <v>128</v>
      </c>
      <c r="E481" s="28" t="s">
        <v>793</v>
      </c>
      <c r="F481" s="30" t="s">
        <v>794</v>
      </c>
      <c r="G481" s="31" t="n">
        <v>17387</v>
      </c>
      <c r="H481" s="31" t="n">
        <v>5</v>
      </c>
      <c r="I481" s="31" t="n">
        <v>86937</v>
      </c>
      <c r="J481" s="29" t="n">
        <v>45796</v>
      </c>
      <c r="K481" s="31" t="n">
        <v>16553</v>
      </c>
      <c r="L481" s="30" t="s">
        <v>32</v>
      </c>
      <c r="M481" s="10" t="n">
        <v>2</v>
      </c>
      <c r="N481" s="12" t="n">
        <v>-4319</v>
      </c>
      <c r="O481" s="13" t="n">
        <v>-0.0496832623335214</v>
      </c>
      <c r="P481" s="15" t="n">
        <v>0.000151259218616806</v>
      </c>
      <c r="Q481" s="13" t="n">
        <v>-0.0849679968850953</v>
      </c>
      <c r="R481" s="15" t="n">
        <v>0.108487555839183</v>
      </c>
      <c r="S481" s="32" t="n">
        <v>31420766700</v>
      </c>
      <c r="T481" s="15" t="n">
        <v>0.0552855407047388</v>
      </c>
      <c r="U481" s="32" t="n">
        <v>4189855610</v>
      </c>
      <c r="V481" s="14" t="n">
        <v>6.8692415262323</v>
      </c>
      <c r="W481" s="13" t="n">
        <v>0.0883458646616542</v>
      </c>
      <c r="X481" s="15" t="n">
        <v>0.02475532527346</v>
      </c>
      <c r="Y481" s="13" t="n">
        <v>-0.00727494442487797</v>
      </c>
      <c r="Z481" s="13" t="n">
        <v>0.0162358304774606</v>
      </c>
      <c r="AA481" s="30" t="s">
        <v>97</v>
      </c>
      <c r="AB481" s="28" t="s">
        <v>93</v>
      </c>
      <c r="AC481" s="28" t="s">
        <v>102</v>
      </c>
      <c r="AD481" s="28" t="s">
        <v>107</v>
      </c>
      <c r="AE481" s="28" t="s">
        <v>101</v>
      </c>
      <c r="AF481" s="28" t="s">
        <v>119</v>
      </c>
      <c r="AG481" s="30" t="s">
        <v>122</v>
      </c>
    </row>
    <row r="482" customFormat="false" ht="15" hidden="false" customHeight="false" outlineLevel="0" collapsed="false">
      <c r="A482" s="10" t="n">
        <v>2025</v>
      </c>
      <c r="B482" s="28" t="s">
        <v>67</v>
      </c>
      <c r="C482" s="29" t="n">
        <v>45804</v>
      </c>
      <c r="D482" s="30" t="s">
        <v>126</v>
      </c>
      <c r="E482" s="28" t="s">
        <v>799</v>
      </c>
      <c r="F482" s="30" t="s">
        <v>800</v>
      </c>
      <c r="G482" s="31" t="n">
        <v>44795</v>
      </c>
      <c r="H482" s="31" t="n">
        <v>2</v>
      </c>
      <c r="I482" s="31" t="n">
        <v>89589</v>
      </c>
      <c r="J482" s="29" t="n">
        <v>45805</v>
      </c>
      <c r="K482" s="31" t="n">
        <v>42607</v>
      </c>
      <c r="L482" s="30" t="s">
        <v>32</v>
      </c>
      <c r="M482" s="10" t="n">
        <v>1</v>
      </c>
      <c r="N482" s="12" t="n">
        <v>-4529</v>
      </c>
      <c r="O482" s="13" t="n">
        <v>-0.0505510431467974</v>
      </c>
      <c r="P482" s="15" t="n">
        <v>0.0168602347373299</v>
      </c>
      <c r="Q482" s="13" t="n">
        <v>-0.0746683484113651</v>
      </c>
      <c r="R482" s="15" t="n">
        <v>0.141581632653061</v>
      </c>
      <c r="S482" s="32" t="n">
        <v>300098288250</v>
      </c>
      <c r="T482" s="15" t="n">
        <v>0.141581632653061</v>
      </c>
      <c r="U482" s="32" t="n">
        <v>28894256817.5</v>
      </c>
      <c r="V482" s="14" t="n">
        <v>8.44724886840666</v>
      </c>
      <c r="W482" s="13" t="n">
        <v>0.153350515463917</v>
      </c>
      <c r="X482" s="15" t="n">
        <v>0.0821229050279331</v>
      </c>
      <c r="Y482" s="13" t="n">
        <v>-0.00271517168355784</v>
      </c>
      <c r="Z482" s="13" t="n">
        <v>0.0136136520870165</v>
      </c>
      <c r="AA482" s="30" t="s">
        <v>97</v>
      </c>
      <c r="AB482" s="28" t="s">
        <v>93</v>
      </c>
      <c r="AC482" s="28" t="s">
        <v>102</v>
      </c>
      <c r="AD482" s="28" t="s">
        <v>110</v>
      </c>
      <c r="AE482" s="28" t="s">
        <v>114</v>
      </c>
      <c r="AF482" s="28" t="s">
        <v>119</v>
      </c>
      <c r="AG482" s="30" t="s">
        <v>122</v>
      </c>
    </row>
    <row r="483" customFormat="false" ht="15" hidden="false" customHeight="false" outlineLevel="0" collapsed="false">
      <c r="A483" s="10" t="n">
        <v>2025</v>
      </c>
      <c r="B483" s="28" t="s">
        <v>67</v>
      </c>
      <c r="C483" s="29" t="n">
        <v>45804</v>
      </c>
      <c r="D483" s="30" t="s">
        <v>126</v>
      </c>
      <c r="E483" s="28" t="s">
        <v>613</v>
      </c>
      <c r="F483" s="30" t="s">
        <v>614</v>
      </c>
      <c r="G483" s="31" t="n">
        <v>40991</v>
      </c>
      <c r="H483" s="31" t="n">
        <v>2</v>
      </c>
      <c r="I483" s="31" t="n">
        <v>81982</v>
      </c>
      <c r="J483" s="29" t="n">
        <v>45817</v>
      </c>
      <c r="K483" s="31" t="n">
        <v>49200</v>
      </c>
      <c r="L483" s="30" t="s">
        <v>31</v>
      </c>
      <c r="M483" s="10" t="n">
        <v>7</v>
      </c>
      <c r="N483" s="12" t="n">
        <v>16243</v>
      </c>
      <c r="O483" s="13" t="n">
        <v>0.198134499383401</v>
      </c>
      <c r="P483" s="15" t="n">
        <v>0.256374882748509</v>
      </c>
      <c r="Q483" s="13" t="n">
        <v>-0.0180759411528642</v>
      </c>
      <c r="R483" s="15" t="n">
        <v>0.05</v>
      </c>
      <c r="S483" s="32" t="n">
        <v>141224265000</v>
      </c>
      <c r="T483" s="15" t="n">
        <v>0.038022813688213</v>
      </c>
      <c r="U483" s="32" t="n">
        <v>89543486970</v>
      </c>
      <c r="V483" s="14" t="n">
        <v>1.45602636358925</v>
      </c>
      <c r="W483" s="13" t="n">
        <v>0.058139534883721</v>
      </c>
      <c r="X483" s="15" t="n">
        <v>0.00122100122100122</v>
      </c>
      <c r="Y483" s="13" t="n">
        <v>-0.00271517168355784</v>
      </c>
      <c r="Z483" s="13" t="n">
        <v>0.0136136520870165</v>
      </c>
      <c r="AA483" s="30" t="s">
        <v>97</v>
      </c>
      <c r="AB483" s="28" t="s">
        <v>93</v>
      </c>
      <c r="AC483" s="28" t="s">
        <v>101</v>
      </c>
      <c r="AD483" s="28" t="s">
        <v>109</v>
      </c>
      <c r="AE483" s="28" t="s">
        <v>113</v>
      </c>
      <c r="AF483" s="28" t="s">
        <v>116</v>
      </c>
      <c r="AG483" s="30" t="s">
        <v>122</v>
      </c>
    </row>
    <row r="484" customFormat="false" ht="15" hidden="false" customHeight="false" outlineLevel="0" collapsed="false">
      <c r="A484" s="10" t="n">
        <v>2025</v>
      </c>
      <c r="B484" s="28" t="s">
        <v>68</v>
      </c>
      <c r="C484" s="29" t="n">
        <v>45813</v>
      </c>
      <c r="D484" s="30" t="s">
        <v>128</v>
      </c>
      <c r="E484" s="28" t="s">
        <v>1033</v>
      </c>
      <c r="F484" s="30" t="s">
        <v>1034</v>
      </c>
      <c r="G484" s="31" t="n">
        <v>34084</v>
      </c>
      <c r="H484" s="31" t="n">
        <v>2</v>
      </c>
      <c r="I484" s="31" t="n">
        <v>68168</v>
      </c>
      <c r="J484" s="29" t="n">
        <v>45821</v>
      </c>
      <c r="K484" s="31" t="n">
        <v>32418</v>
      </c>
      <c r="L484" s="30" t="s">
        <v>32</v>
      </c>
      <c r="M484" s="10" t="n">
        <v>5</v>
      </c>
      <c r="N484" s="12" t="n">
        <v>-3450</v>
      </c>
      <c r="O484" s="13" t="n">
        <v>-0.0506131626083168</v>
      </c>
      <c r="P484" s="15" t="n">
        <v>0.0826178227059287</v>
      </c>
      <c r="Q484" s="13" t="n">
        <v>-0.0479417792193121</v>
      </c>
      <c r="R484" s="15" t="n">
        <v>0.256457564575646</v>
      </c>
      <c r="S484" s="32" t="n">
        <v>150765704700</v>
      </c>
      <c r="T484" s="15" t="n">
        <v>0.190559440559441</v>
      </c>
      <c r="U484" s="32" t="n">
        <v>9756275995</v>
      </c>
      <c r="V484" s="14" t="n">
        <v>11.9938164223989</v>
      </c>
      <c r="W484" s="13" t="n">
        <v>0.224820143884892</v>
      </c>
      <c r="X484" s="15" t="n">
        <v>0.0190895741556534</v>
      </c>
      <c r="Y484" s="13" t="n">
        <v>0.0148727461708362</v>
      </c>
      <c r="Z484" s="13" t="n">
        <v>0.0531430818493344</v>
      </c>
      <c r="AA484" s="30" t="s">
        <v>97</v>
      </c>
      <c r="AB484" s="28" t="s">
        <v>93</v>
      </c>
      <c r="AC484" s="28" t="s">
        <v>104</v>
      </c>
      <c r="AD484" s="28" t="s">
        <v>109</v>
      </c>
      <c r="AE484" s="28" t="s">
        <v>114</v>
      </c>
      <c r="AF484" s="28" t="s">
        <v>120</v>
      </c>
      <c r="AG484" s="30" t="s">
        <v>122</v>
      </c>
    </row>
    <row r="485" customFormat="false" ht="15" hidden="false" customHeight="false" outlineLevel="0" collapsed="false">
      <c r="A485" s="10" t="n">
        <v>2025</v>
      </c>
      <c r="B485" s="28" t="s">
        <v>68</v>
      </c>
      <c r="C485" s="29" t="n">
        <v>45813</v>
      </c>
      <c r="D485" s="30" t="s">
        <v>128</v>
      </c>
      <c r="E485" s="28" t="s">
        <v>533</v>
      </c>
      <c r="F485" s="30" t="s">
        <v>534</v>
      </c>
      <c r="G485" s="31" t="n">
        <v>12763</v>
      </c>
      <c r="H485" s="31" t="n">
        <v>7</v>
      </c>
      <c r="I485" s="31" t="n">
        <v>89339</v>
      </c>
      <c r="J485" s="29" t="n">
        <v>45818</v>
      </c>
      <c r="K485" s="31" t="n">
        <v>12148</v>
      </c>
      <c r="L485" s="30" t="s">
        <v>32</v>
      </c>
      <c r="M485" s="10" t="n">
        <v>2</v>
      </c>
      <c r="N485" s="12" t="n">
        <v>-4458</v>
      </c>
      <c r="O485" s="13" t="n">
        <v>-0.0499005581477346</v>
      </c>
      <c r="P485" s="15" t="n">
        <v>0.0256410256410258</v>
      </c>
      <c r="Q485" s="13" t="n">
        <v>-0.0527119938884644</v>
      </c>
      <c r="R485" s="15" t="n">
        <v>0.118421052631579</v>
      </c>
      <c r="S485" s="32" t="n">
        <v>71806801500</v>
      </c>
      <c r="T485" s="15" t="n">
        <v>0.028225806451613</v>
      </c>
      <c r="U485" s="32" t="n">
        <v>5817632897.5</v>
      </c>
      <c r="V485" s="14" t="n">
        <v>11.4698646779805</v>
      </c>
      <c r="W485" s="13" t="n">
        <v>-0.059040590405904</v>
      </c>
      <c r="X485" s="15" t="n">
        <v>0.105882352941177</v>
      </c>
      <c r="Y485" s="13" t="n">
        <v>0.0148727461708362</v>
      </c>
      <c r="Z485" s="13" t="n">
        <v>0.0531430818493344</v>
      </c>
      <c r="AA485" s="30" t="s">
        <v>97</v>
      </c>
      <c r="AB485" s="28" t="s">
        <v>93</v>
      </c>
      <c r="AC485" s="28" t="s">
        <v>102</v>
      </c>
      <c r="AD485" s="28" t="s">
        <v>108</v>
      </c>
      <c r="AE485" s="28" t="s">
        <v>113</v>
      </c>
      <c r="AF485" s="28" t="s">
        <v>120</v>
      </c>
      <c r="AG485" s="30" t="s">
        <v>123</v>
      </c>
    </row>
    <row r="486" customFormat="false" ht="15" hidden="false" customHeight="false" outlineLevel="0" collapsed="false">
      <c r="A486" s="10" t="n">
        <v>2025</v>
      </c>
      <c r="B486" s="28" t="s">
        <v>68</v>
      </c>
      <c r="C486" s="29" t="n">
        <v>45813</v>
      </c>
      <c r="D486" s="30" t="s">
        <v>128</v>
      </c>
      <c r="E486" s="28" t="s">
        <v>729</v>
      </c>
      <c r="F486" s="28" t="s">
        <v>730</v>
      </c>
      <c r="G486" s="31" t="n">
        <v>7708</v>
      </c>
      <c r="H486" s="31" t="n">
        <v>12</v>
      </c>
      <c r="I486" s="31" t="n">
        <v>92492</v>
      </c>
      <c r="J486" s="29" t="n">
        <v>45818</v>
      </c>
      <c r="K486" s="31" t="n">
        <v>7333</v>
      </c>
      <c r="L486" s="30" t="s">
        <v>32</v>
      </c>
      <c r="M486" s="10" t="n">
        <v>2</v>
      </c>
      <c r="N486" s="12" t="n">
        <v>-4660</v>
      </c>
      <c r="O486" s="13" t="n">
        <v>-0.0503775502419658</v>
      </c>
      <c r="P486" s="15" t="n">
        <v>0.101495906690712</v>
      </c>
      <c r="Q486" s="13" t="n">
        <v>-0.0684640035289384</v>
      </c>
      <c r="R486" s="15" t="n">
        <v>0.056241426611797</v>
      </c>
      <c r="S486" s="32" t="n">
        <v>68377540000</v>
      </c>
      <c r="T486" s="15" t="n">
        <v>0.0307898259705488</v>
      </c>
      <c r="U486" s="32" t="n">
        <v>19291538667.5</v>
      </c>
      <c r="V486" s="14" t="n">
        <v>3.11975260778481</v>
      </c>
      <c r="W486" s="13" t="n">
        <v>0.056241426611797</v>
      </c>
      <c r="X486" s="15" t="n">
        <v>0.0480519480519481</v>
      </c>
      <c r="Y486" s="13" t="n">
        <v>0.0148727461708362</v>
      </c>
      <c r="Z486" s="13" t="n">
        <v>0.0531430818493344</v>
      </c>
      <c r="AA486" s="30" t="s">
        <v>97</v>
      </c>
      <c r="AB486" s="28" t="s">
        <v>93</v>
      </c>
      <c r="AC486" s="28" t="s">
        <v>101</v>
      </c>
      <c r="AD486" s="28" t="s">
        <v>108</v>
      </c>
      <c r="AE486" s="28" t="s">
        <v>113</v>
      </c>
      <c r="AF486" s="28" t="s">
        <v>118</v>
      </c>
      <c r="AG486" s="30" t="s">
        <v>122</v>
      </c>
    </row>
    <row r="487" customFormat="false" ht="15" hidden="false" customHeight="false" outlineLevel="0" collapsed="false">
      <c r="A487" s="10" t="n">
        <v>2025</v>
      </c>
      <c r="B487" s="28" t="s">
        <v>68</v>
      </c>
      <c r="C487" s="29" t="n">
        <v>45813</v>
      </c>
      <c r="D487" s="30" t="s">
        <v>128</v>
      </c>
      <c r="E487" s="28" t="s">
        <v>1311</v>
      </c>
      <c r="F487" s="30" t="s">
        <v>1312</v>
      </c>
      <c r="G487" s="31" t="n">
        <v>21672</v>
      </c>
      <c r="H487" s="31" t="n">
        <v>4</v>
      </c>
      <c r="I487" s="31" t="n">
        <v>86687</v>
      </c>
      <c r="J487" s="29" t="n">
        <v>45831</v>
      </c>
      <c r="K487" s="31" t="n">
        <v>20629</v>
      </c>
      <c r="L487" s="30" t="s">
        <v>32</v>
      </c>
      <c r="M487" s="10" t="n">
        <v>11</v>
      </c>
      <c r="N487" s="12" t="n">
        <v>-4318</v>
      </c>
      <c r="O487" s="13" t="n">
        <v>-0.0498157350732409</v>
      </c>
      <c r="P487" s="15" t="n">
        <v>0.0912874654214146</v>
      </c>
      <c r="Q487" s="13" t="n">
        <v>-0.0494493958697191</v>
      </c>
      <c r="R487" s="15" t="n">
        <v>0.136482939632546</v>
      </c>
      <c r="S487" s="32" t="n">
        <v>32428495800</v>
      </c>
      <c r="T487" s="15" t="n">
        <v>0.00464037122969829</v>
      </c>
      <c r="U487" s="32" t="n">
        <v>5430331771</v>
      </c>
      <c r="V487" s="14" t="n">
        <v>5.20085062101271</v>
      </c>
      <c r="W487" s="13" t="n">
        <v>0.117707795560145</v>
      </c>
      <c r="X487" s="15" t="n">
        <v>0.0115473441108545</v>
      </c>
      <c r="Y487" s="13" t="n">
        <v>0.0148727461708362</v>
      </c>
      <c r="Z487" s="13" t="n">
        <v>0.0531430818493344</v>
      </c>
      <c r="AA487" s="30" t="s">
        <v>97</v>
      </c>
      <c r="AB487" s="28" t="s">
        <v>93</v>
      </c>
      <c r="AC487" s="28" t="s">
        <v>102</v>
      </c>
      <c r="AD487" s="28" t="s">
        <v>107</v>
      </c>
      <c r="AE487" s="28" t="s">
        <v>112</v>
      </c>
      <c r="AF487" s="28" t="s">
        <v>119</v>
      </c>
      <c r="AG487" s="30" t="s">
        <v>122</v>
      </c>
    </row>
    <row r="488" customFormat="false" ht="15" hidden="false" customHeight="false" outlineLevel="0" collapsed="false">
      <c r="A488" s="10" t="n">
        <v>2025</v>
      </c>
      <c r="B488" s="28" t="s">
        <v>68</v>
      </c>
      <c r="C488" s="29" t="n">
        <v>45817</v>
      </c>
      <c r="D488" s="30" t="s">
        <v>125</v>
      </c>
      <c r="E488" s="28" t="s">
        <v>393</v>
      </c>
      <c r="F488" s="28" t="s">
        <v>394</v>
      </c>
      <c r="G488" s="31" t="n">
        <v>46997</v>
      </c>
      <c r="H488" s="31" t="n">
        <v>2</v>
      </c>
      <c r="I488" s="31" t="n">
        <v>93994</v>
      </c>
      <c r="J488" s="29" t="n">
        <v>45820</v>
      </c>
      <c r="K488" s="31" t="n">
        <v>44705</v>
      </c>
      <c r="L488" s="30" t="s">
        <v>32</v>
      </c>
      <c r="M488" s="10" t="n">
        <v>3</v>
      </c>
      <c r="N488" s="12" t="n">
        <v>-4745</v>
      </c>
      <c r="O488" s="13" t="n">
        <v>-0.0504822803394688</v>
      </c>
      <c r="P488" s="15" t="n">
        <v>0.00963998727576998</v>
      </c>
      <c r="Q488" s="13" t="n">
        <v>-0.0914304013345546</v>
      </c>
      <c r="R488" s="15" t="n">
        <v>0.145121951219512</v>
      </c>
      <c r="S488" s="32" t="n">
        <v>93867792300</v>
      </c>
      <c r="T488" s="15" t="n">
        <v>0.116527942925089</v>
      </c>
      <c r="U488" s="32" t="n">
        <v>6517353682.5</v>
      </c>
      <c r="V488" s="14" t="n">
        <v>12.6223700949212</v>
      </c>
      <c r="W488" s="13" t="n">
        <v>0.0538720538720539</v>
      </c>
      <c r="X488" s="15" t="n">
        <v>0.0181043663471778</v>
      </c>
      <c r="Y488" s="13" t="n">
        <v>0.0155473764691239</v>
      </c>
      <c r="Z488" s="13" t="n">
        <v>0.0496684603622677</v>
      </c>
      <c r="AA488" s="30" t="s">
        <v>97</v>
      </c>
      <c r="AB488" s="28" t="s">
        <v>93</v>
      </c>
      <c r="AC488" s="28" t="s">
        <v>102</v>
      </c>
      <c r="AD488" s="28" t="s">
        <v>108</v>
      </c>
      <c r="AE488" s="28" t="s">
        <v>114</v>
      </c>
      <c r="AF488" s="28" t="s">
        <v>120</v>
      </c>
      <c r="AG488" s="30" t="s">
        <v>122</v>
      </c>
    </row>
    <row r="489" customFormat="false" ht="15" hidden="false" customHeight="false" outlineLevel="0" collapsed="false">
      <c r="A489" s="10" t="n">
        <v>2025</v>
      </c>
      <c r="B489" s="28" t="s">
        <v>68</v>
      </c>
      <c r="C489" s="29" t="n">
        <v>45817</v>
      </c>
      <c r="D489" s="30" t="s">
        <v>125</v>
      </c>
      <c r="E489" s="28" t="s">
        <v>1041</v>
      </c>
      <c r="F489" s="28" t="s">
        <v>1042</v>
      </c>
      <c r="G489" s="31" t="n">
        <v>2811</v>
      </c>
      <c r="H489" s="31" t="n">
        <v>35</v>
      </c>
      <c r="I489" s="31" t="n">
        <v>98368</v>
      </c>
      <c r="J489" s="29" t="n">
        <v>45821</v>
      </c>
      <c r="K489" s="31" t="n">
        <v>2672</v>
      </c>
      <c r="L489" s="30" t="s">
        <v>32</v>
      </c>
      <c r="M489" s="10" t="n">
        <v>4</v>
      </c>
      <c r="N489" s="12" t="n">
        <v>-5006</v>
      </c>
      <c r="O489" s="13" t="n">
        <v>-0.0508896332082891</v>
      </c>
      <c r="P489" s="15" t="n">
        <v>0.0432981975007125</v>
      </c>
      <c r="Q489" s="13" t="n">
        <v>-0.0538911783120915</v>
      </c>
      <c r="R489" s="15" t="n">
        <v>0.0754448398576513</v>
      </c>
      <c r="S489" s="32" t="n">
        <v>75350111321</v>
      </c>
      <c r="T489" s="15" t="n">
        <v>0.029291553133515</v>
      </c>
      <c r="U489" s="32" t="n">
        <v>25369013612.85</v>
      </c>
      <c r="V489" s="14" t="n">
        <v>2.75611077619969</v>
      </c>
      <c r="W489" s="13" t="n">
        <v>0.0588647512263489</v>
      </c>
      <c r="X489" s="15" t="n">
        <v>0.0383851753805429</v>
      </c>
      <c r="Y489" s="13" t="n">
        <v>0.0155473764691239</v>
      </c>
      <c r="Z489" s="13" t="n">
        <v>0.0496684603622677</v>
      </c>
      <c r="AA489" s="30" t="s">
        <v>97</v>
      </c>
      <c r="AB489" s="28" t="s">
        <v>93</v>
      </c>
      <c r="AC489" s="28" t="s">
        <v>101</v>
      </c>
      <c r="AD489" s="28" t="s">
        <v>108</v>
      </c>
      <c r="AE489" s="28" t="s">
        <v>113</v>
      </c>
      <c r="AF489" s="28" t="s">
        <v>117</v>
      </c>
      <c r="AG489" s="30" t="s">
        <v>122</v>
      </c>
    </row>
    <row r="490" customFormat="false" ht="15" hidden="false" customHeight="false" outlineLevel="0" collapsed="false">
      <c r="A490" s="10" t="n">
        <v>2025</v>
      </c>
      <c r="B490" s="28" t="s">
        <v>68</v>
      </c>
      <c r="C490" s="29" t="n">
        <v>45817</v>
      </c>
      <c r="D490" s="30" t="s">
        <v>125</v>
      </c>
      <c r="E490" s="28" t="s">
        <v>1415</v>
      </c>
      <c r="F490" s="30" t="s">
        <v>1416</v>
      </c>
      <c r="G490" s="31" t="n">
        <v>7217</v>
      </c>
      <c r="H490" s="31" t="n">
        <v>13</v>
      </c>
      <c r="I490" s="31" t="n">
        <v>93824</v>
      </c>
      <c r="J490" s="29" t="n">
        <v>45821</v>
      </c>
      <c r="K490" s="31" t="n">
        <v>6863</v>
      </c>
      <c r="L490" s="30" t="s">
        <v>32</v>
      </c>
      <c r="M490" s="10" t="n">
        <v>4</v>
      </c>
      <c r="N490" s="12" t="n">
        <v>-4764</v>
      </c>
      <c r="O490" s="13" t="n">
        <v>-0.0507795596913488</v>
      </c>
      <c r="P490" s="15" t="n">
        <v>0.0571952319525135</v>
      </c>
      <c r="Q490" s="13" t="n">
        <v>-0.0702778497508039</v>
      </c>
      <c r="R490" s="15" t="n">
        <v>0.151757188498403</v>
      </c>
      <c r="S490" s="32" t="n">
        <v>52026076620</v>
      </c>
      <c r="T490" s="15" t="n">
        <v>0.03</v>
      </c>
      <c r="U490" s="32" t="n">
        <v>4558553797</v>
      </c>
      <c r="V490" s="14" t="n">
        <v>10.4144327739431</v>
      </c>
      <c r="W490" s="13" t="n">
        <v>0.142630744849445</v>
      </c>
      <c r="X490" s="15" t="n">
        <v>0.0651872399445215</v>
      </c>
      <c r="Y490" s="13" t="n">
        <v>0.0155473764691239</v>
      </c>
      <c r="Z490" s="13" t="n">
        <v>0.0496684603622677</v>
      </c>
      <c r="AA490" s="30" t="s">
        <v>97</v>
      </c>
      <c r="AB490" s="28" t="s">
        <v>93</v>
      </c>
      <c r="AC490" s="28" t="s">
        <v>103</v>
      </c>
      <c r="AD490" s="28" t="s">
        <v>108</v>
      </c>
      <c r="AE490" s="28" t="s">
        <v>113</v>
      </c>
      <c r="AF490" s="28" t="s">
        <v>120</v>
      </c>
      <c r="AG490" s="30" t="s">
        <v>122</v>
      </c>
    </row>
    <row r="491" customFormat="false" ht="15" hidden="false" customHeight="false" outlineLevel="0" collapsed="false">
      <c r="A491" s="10" t="n">
        <v>2025</v>
      </c>
      <c r="B491" s="28" t="s">
        <v>68</v>
      </c>
      <c r="C491" s="29" t="n">
        <v>45818</v>
      </c>
      <c r="D491" s="30" t="s">
        <v>126</v>
      </c>
      <c r="E491" s="28" t="s">
        <v>1417</v>
      </c>
      <c r="F491" s="30" t="s">
        <v>1418</v>
      </c>
      <c r="G491" s="31" t="n">
        <v>56056</v>
      </c>
      <c r="H491" s="31" t="n">
        <v>1</v>
      </c>
      <c r="I491" s="31" t="n">
        <v>56056</v>
      </c>
      <c r="J491" s="29" t="n">
        <v>45821</v>
      </c>
      <c r="K491" s="31" t="n">
        <v>53347</v>
      </c>
      <c r="L491" s="30" t="s">
        <v>32</v>
      </c>
      <c r="M491" s="10" t="n">
        <v>3</v>
      </c>
      <c r="N491" s="12" t="n">
        <v>-2806</v>
      </c>
      <c r="O491" s="13" t="n">
        <v>-0.0500540582631654</v>
      </c>
      <c r="P491" s="15" t="n">
        <v>-0.000999000999000854</v>
      </c>
      <c r="Q491" s="13" t="n">
        <v>-0.0777080062794348</v>
      </c>
      <c r="R491" s="15" t="n">
        <v>0.135902636916836</v>
      </c>
      <c r="S491" s="32" t="n">
        <v>38995880000</v>
      </c>
      <c r="T491" s="15" t="n">
        <v>0.126760563380282</v>
      </c>
      <c r="U491" s="32" t="n">
        <v>5910659965</v>
      </c>
      <c r="V491" s="14" t="n">
        <v>5.45340848308856</v>
      </c>
      <c r="W491" s="13" t="n">
        <v>0.12</v>
      </c>
      <c r="X491" s="15" t="n">
        <v>0.0178571428571428</v>
      </c>
      <c r="Y491" s="13" t="n">
        <v>0.00563070555401879</v>
      </c>
      <c r="Z491" s="13" t="n">
        <v>0.0645668298939455</v>
      </c>
      <c r="AA491" s="30" t="s">
        <v>97</v>
      </c>
      <c r="AB491" s="28" t="s">
        <v>93</v>
      </c>
      <c r="AC491" s="28" t="s">
        <v>102</v>
      </c>
      <c r="AD491" s="28" t="s">
        <v>107</v>
      </c>
      <c r="AE491" s="28" t="s">
        <v>114</v>
      </c>
      <c r="AF491" s="28" t="s">
        <v>119</v>
      </c>
      <c r="AG491" s="30" t="s">
        <v>122</v>
      </c>
    </row>
    <row r="492" customFormat="false" ht="15" hidden="false" customHeight="false" outlineLevel="0" collapsed="false">
      <c r="A492" s="10" t="n">
        <v>2025</v>
      </c>
      <c r="B492" s="28" t="s">
        <v>68</v>
      </c>
      <c r="C492" s="29" t="n">
        <v>45818</v>
      </c>
      <c r="D492" s="30" t="s">
        <v>126</v>
      </c>
      <c r="E492" s="28" t="s">
        <v>481</v>
      </c>
      <c r="F492" s="30" t="s">
        <v>482</v>
      </c>
      <c r="G492" s="31" t="n">
        <v>52753</v>
      </c>
      <c r="H492" s="31" t="n">
        <v>1</v>
      </c>
      <c r="I492" s="31" t="n">
        <v>52753</v>
      </c>
      <c r="J492" s="29" t="n">
        <v>45821</v>
      </c>
      <c r="K492" s="31" t="n">
        <v>50150</v>
      </c>
      <c r="L492" s="30" t="s">
        <v>32</v>
      </c>
      <c r="M492" s="10" t="n">
        <v>3</v>
      </c>
      <c r="N492" s="12" t="n">
        <v>-2694</v>
      </c>
      <c r="O492" s="13" t="n">
        <v>-0.0510601367323378</v>
      </c>
      <c r="P492" s="15" t="n">
        <v>-0.0104771888453102</v>
      </c>
      <c r="Q492" s="13" t="n">
        <v>-0.0531290341537021</v>
      </c>
      <c r="R492" s="15" t="n">
        <v>0.0979166666666667</v>
      </c>
      <c r="S492" s="32" t="n">
        <v>36009277600</v>
      </c>
      <c r="T492" s="15" t="n">
        <v>0.0888429752066116</v>
      </c>
      <c r="U492" s="32" t="n">
        <v>10011693510</v>
      </c>
      <c r="V492" s="14" t="n">
        <v>3.21814362177741</v>
      </c>
      <c r="W492" s="13" t="n">
        <v>0.0944963655244029</v>
      </c>
      <c r="X492" s="15" t="n">
        <v>0.0132827324478178</v>
      </c>
      <c r="Y492" s="13" t="n">
        <v>0.00563070555401879</v>
      </c>
      <c r="Z492" s="13" t="n">
        <v>0.0645668298939455</v>
      </c>
      <c r="AA492" s="30" t="s">
        <v>97</v>
      </c>
      <c r="AB492" s="28" t="s">
        <v>93</v>
      </c>
      <c r="AC492" s="28" t="s">
        <v>101</v>
      </c>
      <c r="AD492" s="28" t="s">
        <v>107</v>
      </c>
      <c r="AE492" s="28" t="s">
        <v>101</v>
      </c>
      <c r="AF492" s="28" t="s">
        <v>118</v>
      </c>
      <c r="AG492" s="30" t="s">
        <v>122</v>
      </c>
    </row>
    <row r="493" customFormat="false" ht="15" hidden="false" customHeight="false" outlineLevel="0" collapsed="false">
      <c r="A493" s="10" t="n">
        <v>2025</v>
      </c>
      <c r="B493" s="28" t="s">
        <v>68</v>
      </c>
      <c r="C493" s="29" t="n">
        <v>45818</v>
      </c>
      <c r="D493" s="30" t="s">
        <v>126</v>
      </c>
      <c r="E493" s="28" t="s">
        <v>1419</v>
      </c>
      <c r="F493" s="28" t="s">
        <v>1420</v>
      </c>
      <c r="G493" s="31" t="n">
        <v>94394</v>
      </c>
      <c r="H493" s="31" t="n">
        <v>1</v>
      </c>
      <c r="I493" s="31" t="n">
        <v>94394</v>
      </c>
      <c r="J493" s="29" t="n">
        <v>45838</v>
      </c>
      <c r="K493" s="31" t="n">
        <v>113300</v>
      </c>
      <c r="L493" s="30" t="s">
        <v>31</v>
      </c>
      <c r="M493" s="10" t="n">
        <v>14</v>
      </c>
      <c r="N493" s="12" t="n">
        <v>18705</v>
      </c>
      <c r="O493" s="13" t="n">
        <v>0.198153870043001</v>
      </c>
      <c r="P493" s="15" t="n">
        <v>0.303044781305651</v>
      </c>
      <c r="Q493" s="13" t="n">
        <v>-0.0370181250350921</v>
      </c>
      <c r="R493" s="15" t="n">
        <v>0.0107181136120043</v>
      </c>
      <c r="S493" s="32" t="n">
        <v>33065634900</v>
      </c>
      <c r="T493" s="15" t="n">
        <v>0.0107181136120043</v>
      </c>
      <c r="U493" s="32" t="n">
        <v>30050652065</v>
      </c>
      <c r="V493" s="14" t="n">
        <v>1.02847614424472</v>
      </c>
      <c r="W493" s="13" t="n">
        <v>0.0107181136120043</v>
      </c>
      <c r="X493" s="15" t="n">
        <v>0.0169671261930011</v>
      </c>
      <c r="Y493" s="13" t="n">
        <v>0.00563070555401879</v>
      </c>
      <c r="Z493" s="13" t="n">
        <v>0.0645668298939455</v>
      </c>
      <c r="AA493" s="30" t="s">
        <v>97</v>
      </c>
      <c r="AB493" s="28" t="s">
        <v>93</v>
      </c>
      <c r="AC493" s="28" t="s">
        <v>99</v>
      </c>
      <c r="AD493" s="28" t="s">
        <v>107</v>
      </c>
      <c r="AE493" s="28" t="s">
        <v>112</v>
      </c>
      <c r="AF493" s="28" t="s">
        <v>116</v>
      </c>
      <c r="AG493" s="30" t="s">
        <v>122</v>
      </c>
    </row>
    <row r="494" customFormat="false" ht="15" hidden="false" customHeight="false" outlineLevel="0" collapsed="false">
      <c r="A494" s="10" t="n">
        <v>2025</v>
      </c>
      <c r="B494" s="28" t="s">
        <v>68</v>
      </c>
      <c r="C494" s="29" t="n">
        <v>45818</v>
      </c>
      <c r="D494" s="30" t="s">
        <v>126</v>
      </c>
      <c r="E494" s="28" t="s">
        <v>1389</v>
      </c>
      <c r="F494" s="30" t="s">
        <v>1390</v>
      </c>
      <c r="G494" s="31" t="n">
        <v>27477</v>
      </c>
      <c r="H494" s="31" t="n">
        <v>3</v>
      </c>
      <c r="I494" s="31" t="n">
        <v>82432</v>
      </c>
      <c r="J494" s="29" t="n">
        <v>45868</v>
      </c>
      <c r="K494" s="31" t="n">
        <v>33000</v>
      </c>
      <c r="L494" s="30" t="s">
        <v>31</v>
      </c>
      <c r="M494" s="10" t="n">
        <v>36</v>
      </c>
      <c r="N494" s="12" t="n">
        <v>16392</v>
      </c>
      <c r="O494" s="13" t="n">
        <v>0.19885318260974</v>
      </c>
      <c r="P494" s="15" t="n">
        <v>0.382952202624334</v>
      </c>
      <c r="Q494" s="13" t="n">
        <v>-0.0428515018678952</v>
      </c>
      <c r="R494" s="15" t="n">
        <v>0.0378071833648392</v>
      </c>
      <c r="S494" s="32" t="n">
        <v>30924950400</v>
      </c>
      <c r="T494" s="15" t="n">
        <v>0.0223463687150838</v>
      </c>
      <c r="U494" s="32" t="n">
        <v>11643797032.5</v>
      </c>
      <c r="V494" s="14" t="n">
        <v>2.42811172453733</v>
      </c>
      <c r="W494" s="13" t="n">
        <v>-0.101472995090016</v>
      </c>
      <c r="X494" s="15" t="n">
        <v>0.114754098360656</v>
      </c>
      <c r="Y494" s="13" t="n">
        <v>0.00563070555401879</v>
      </c>
      <c r="Z494" s="13" t="n">
        <v>0.0645668298939455</v>
      </c>
      <c r="AA494" s="30" t="s">
        <v>97</v>
      </c>
      <c r="AB494" s="28" t="s">
        <v>93</v>
      </c>
      <c r="AC494" s="28" t="s">
        <v>100</v>
      </c>
      <c r="AD494" s="28" t="s">
        <v>107</v>
      </c>
      <c r="AE494" s="28" t="s">
        <v>113</v>
      </c>
      <c r="AF494" s="28" t="s">
        <v>117</v>
      </c>
      <c r="AG494" s="30" t="s">
        <v>123</v>
      </c>
    </row>
    <row r="495" customFormat="false" ht="15" hidden="false" customHeight="false" outlineLevel="0" collapsed="false">
      <c r="A495" s="10" t="n">
        <v>2025</v>
      </c>
      <c r="B495" s="28" t="s">
        <v>68</v>
      </c>
      <c r="C495" s="29" t="n">
        <v>45818</v>
      </c>
      <c r="D495" s="30" t="s">
        <v>126</v>
      </c>
      <c r="E495" s="28" t="s">
        <v>1035</v>
      </c>
      <c r="F495" s="30" t="s">
        <v>1036</v>
      </c>
      <c r="G495" s="31" t="n">
        <v>66967</v>
      </c>
      <c r="H495" s="31" t="n">
        <v>1</v>
      </c>
      <c r="I495" s="31" t="n">
        <v>66967</v>
      </c>
      <c r="J495" s="29" t="n">
        <v>45824</v>
      </c>
      <c r="K495" s="31" t="n">
        <v>63736</v>
      </c>
      <c r="L495" s="30" t="s">
        <v>32</v>
      </c>
      <c r="M495" s="10" t="n">
        <v>4</v>
      </c>
      <c r="N495" s="12" t="n">
        <v>-3346</v>
      </c>
      <c r="O495" s="13" t="n">
        <v>-0.04996363524368</v>
      </c>
      <c r="P495" s="15" t="n">
        <v>0.0393194249696494</v>
      </c>
      <c r="Q495" s="13" t="n">
        <v>-0.0577434523622864</v>
      </c>
      <c r="R495" s="15" t="n">
        <v>0.0860389610389611</v>
      </c>
      <c r="S495" s="32" t="n">
        <v>30434148000</v>
      </c>
      <c r="T495" s="15" t="n">
        <v>0.0276497695852536</v>
      </c>
      <c r="U495" s="32" t="n">
        <v>7053050550</v>
      </c>
      <c r="V495" s="14" t="n">
        <v>3.83308406883913</v>
      </c>
      <c r="W495" s="13" t="n">
        <v>0.0825242718446602</v>
      </c>
      <c r="X495" s="15" t="n">
        <v>0.0284005979073243</v>
      </c>
      <c r="Y495" s="13" t="n">
        <v>0.00563070555401879</v>
      </c>
      <c r="Z495" s="13" t="n">
        <v>0.0645668298939455</v>
      </c>
      <c r="AA495" s="30" t="s">
        <v>97</v>
      </c>
      <c r="AB495" s="28" t="s">
        <v>93</v>
      </c>
      <c r="AC495" s="28" t="s">
        <v>101</v>
      </c>
      <c r="AD495" s="28" t="s">
        <v>107</v>
      </c>
      <c r="AE495" s="28" t="s">
        <v>113</v>
      </c>
      <c r="AF495" s="28" t="s">
        <v>118</v>
      </c>
      <c r="AG495" s="30" t="s">
        <v>122</v>
      </c>
    </row>
    <row r="496" customFormat="false" ht="15" hidden="false" customHeight="false" outlineLevel="0" collapsed="false">
      <c r="A496" s="10" t="n">
        <v>2025</v>
      </c>
      <c r="B496" s="28" t="s">
        <v>68</v>
      </c>
      <c r="C496" s="29" t="n">
        <v>45819</v>
      </c>
      <c r="D496" s="30" t="s">
        <v>127</v>
      </c>
      <c r="E496" s="28" t="s">
        <v>893</v>
      </c>
      <c r="F496" s="30" t="s">
        <v>894</v>
      </c>
      <c r="G496" s="31" t="n">
        <v>5906</v>
      </c>
      <c r="H496" s="31" t="n">
        <v>16</v>
      </c>
      <c r="I496" s="31" t="n">
        <v>94494</v>
      </c>
      <c r="J496" s="29" t="n">
        <v>45831</v>
      </c>
      <c r="K496" s="31" t="n">
        <v>5614</v>
      </c>
      <c r="L496" s="30" t="s">
        <v>32</v>
      </c>
      <c r="M496" s="10" t="n">
        <v>8</v>
      </c>
      <c r="N496" s="12" t="n">
        <v>-4827</v>
      </c>
      <c r="O496" s="13" t="n">
        <v>-0.0510793633485158</v>
      </c>
      <c r="P496" s="15" t="n">
        <v>0.12599265141638</v>
      </c>
      <c r="Q496" s="13" t="n">
        <v>-0.0539121895054098</v>
      </c>
      <c r="R496" s="15" t="n">
        <v>0.0776255707762557</v>
      </c>
      <c r="S496" s="32" t="n">
        <v>29573301600</v>
      </c>
      <c r="T496" s="15" t="n">
        <v>0.0260869565217392</v>
      </c>
      <c r="U496" s="32" t="n">
        <v>5943191357.5</v>
      </c>
      <c r="V496" s="14" t="n">
        <v>4.65343218224166</v>
      </c>
      <c r="W496" s="13" t="n">
        <v>0.0559284116331096</v>
      </c>
      <c r="X496" s="15" t="n">
        <v>0.0360169491525424</v>
      </c>
      <c r="Y496" s="13" t="n">
        <v>0.0122534254922786</v>
      </c>
      <c r="Z496" s="13" t="n">
        <v>0.0770923722753496</v>
      </c>
      <c r="AA496" s="30" t="s">
        <v>97</v>
      </c>
      <c r="AB496" s="28" t="s">
        <v>93</v>
      </c>
      <c r="AC496" s="28" t="s">
        <v>101</v>
      </c>
      <c r="AD496" s="28" t="s">
        <v>106</v>
      </c>
      <c r="AE496" s="28" t="s">
        <v>113</v>
      </c>
      <c r="AF496" s="28" t="s">
        <v>118</v>
      </c>
      <c r="AG496" s="30" t="s">
        <v>122</v>
      </c>
    </row>
    <row r="497" customFormat="false" ht="15" hidden="false" customHeight="false" outlineLevel="0" collapsed="false">
      <c r="A497" s="10" t="n">
        <v>2025</v>
      </c>
      <c r="B497" s="28" t="s">
        <v>68</v>
      </c>
      <c r="C497" s="29" t="n">
        <v>45819</v>
      </c>
      <c r="D497" s="30" t="s">
        <v>127</v>
      </c>
      <c r="E497" s="28" t="s">
        <v>601</v>
      </c>
      <c r="F497" s="30" t="s">
        <v>602</v>
      </c>
      <c r="G497" s="31" t="n">
        <v>48198</v>
      </c>
      <c r="H497" s="31" t="n">
        <v>2</v>
      </c>
      <c r="I497" s="31" t="n">
        <v>96396</v>
      </c>
      <c r="J497" s="29" t="n">
        <v>45821</v>
      </c>
      <c r="K497" s="31" t="n">
        <v>45854</v>
      </c>
      <c r="L497" s="30" t="s">
        <v>32</v>
      </c>
      <c r="M497" s="10" t="n">
        <v>2</v>
      </c>
      <c r="N497" s="12" t="n">
        <v>-4854</v>
      </c>
      <c r="O497" s="13" t="n">
        <v>-0.0503533639257938</v>
      </c>
      <c r="P497" s="15" t="n">
        <v>0.0093748411505421</v>
      </c>
      <c r="Q497" s="13" t="n">
        <v>-0.0528682117467163</v>
      </c>
      <c r="R497" s="15" t="n">
        <v>0.0456026058631922</v>
      </c>
      <c r="S497" s="32" t="n">
        <v>22661604900</v>
      </c>
      <c r="T497" s="15" t="n">
        <v>0.0115546218487395</v>
      </c>
      <c r="U497" s="32" t="n">
        <v>15567277767.5</v>
      </c>
      <c r="V497" s="14" t="n">
        <v>1.38384328286347</v>
      </c>
      <c r="W497" s="13" t="n">
        <v>0.0299465240641712</v>
      </c>
      <c r="X497" s="15" t="n">
        <v>0.0134994807892004</v>
      </c>
      <c r="Y497" s="13" t="n">
        <v>0.0122534254922786</v>
      </c>
      <c r="Z497" s="13" t="n">
        <v>0.0770923722753496</v>
      </c>
      <c r="AA497" s="30" t="s">
        <v>97</v>
      </c>
      <c r="AB497" s="28" t="s">
        <v>93</v>
      </c>
      <c r="AC497" s="28" t="s">
        <v>100</v>
      </c>
      <c r="AD497" s="28" t="s">
        <v>106</v>
      </c>
      <c r="AE497" s="28" t="s">
        <v>112</v>
      </c>
      <c r="AF497" s="28" t="s">
        <v>116</v>
      </c>
      <c r="AG497" s="30" t="s">
        <v>122</v>
      </c>
    </row>
    <row r="498" customFormat="false" ht="15" hidden="false" customHeight="false" outlineLevel="0" collapsed="false">
      <c r="A498" s="10" t="n">
        <v>2025</v>
      </c>
      <c r="B498" s="28" t="s">
        <v>68</v>
      </c>
      <c r="C498" s="29" t="n">
        <v>45820</v>
      </c>
      <c r="D498" s="30" t="s">
        <v>128</v>
      </c>
      <c r="E498" s="28" t="s">
        <v>589</v>
      </c>
      <c r="F498" s="30" t="s">
        <v>590</v>
      </c>
      <c r="G498" s="31" t="n">
        <v>84084</v>
      </c>
      <c r="H498" s="31" t="n">
        <v>1</v>
      </c>
      <c r="I498" s="31" t="n">
        <v>84084</v>
      </c>
      <c r="J498" s="29" t="n">
        <v>45834</v>
      </c>
      <c r="K498" s="31" t="n">
        <v>80020</v>
      </c>
      <c r="L498" s="30" t="s">
        <v>32</v>
      </c>
      <c r="M498" s="10" t="n">
        <v>10</v>
      </c>
      <c r="N498" s="12" t="n">
        <v>-4209</v>
      </c>
      <c r="O498" s="13" t="n">
        <v>-0.0500540582631653</v>
      </c>
      <c r="P498" s="15" t="n">
        <v>0.139336853622568</v>
      </c>
      <c r="Q498" s="13" t="n">
        <v>-0.0652204937919222</v>
      </c>
      <c r="R498" s="15" t="n">
        <v>0.0579345088161209</v>
      </c>
      <c r="S498" s="32" t="n">
        <v>955660944000</v>
      </c>
      <c r="T498" s="15" t="n">
        <v>0.0344827586206897</v>
      </c>
      <c r="U498" s="32" t="n">
        <v>161218103720</v>
      </c>
      <c r="V498" s="14" t="n">
        <v>5.52423157223379</v>
      </c>
      <c r="W498" s="13" t="n">
        <v>0.0552763819095476</v>
      </c>
      <c r="X498" s="15" t="n">
        <v>0.0309523809523808</v>
      </c>
      <c r="Y498" s="13" t="n">
        <v>0.00446846276625035</v>
      </c>
      <c r="Z498" s="13" t="n">
        <v>0.053842877972023</v>
      </c>
      <c r="AA498" s="30" t="s">
        <v>97</v>
      </c>
      <c r="AB498" s="28" t="s">
        <v>93</v>
      </c>
      <c r="AC498" s="28" t="s">
        <v>101</v>
      </c>
      <c r="AD498" s="28" t="s">
        <v>110</v>
      </c>
      <c r="AE498" s="28" t="s">
        <v>113</v>
      </c>
      <c r="AF498" s="28" t="s">
        <v>119</v>
      </c>
      <c r="AG498" s="30" t="s">
        <v>122</v>
      </c>
    </row>
    <row r="499" customFormat="false" ht="15" hidden="false" customHeight="false" outlineLevel="0" collapsed="false">
      <c r="A499" s="10" t="n">
        <v>2025</v>
      </c>
      <c r="B499" s="28" t="s">
        <v>68</v>
      </c>
      <c r="C499" s="29" t="n">
        <v>45820</v>
      </c>
      <c r="D499" s="30" t="s">
        <v>128</v>
      </c>
      <c r="E499" s="28" t="s">
        <v>455</v>
      </c>
      <c r="F499" s="30" t="s">
        <v>456</v>
      </c>
      <c r="G499" s="31" t="n">
        <v>24374</v>
      </c>
      <c r="H499" s="31" t="n">
        <v>4</v>
      </c>
      <c r="I499" s="31" t="n">
        <v>97497</v>
      </c>
      <c r="J499" s="29" t="n">
        <v>45821</v>
      </c>
      <c r="K499" s="31" t="n">
        <v>23177</v>
      </c>
      <c r="L499" s="30" t="s">
        <v>32</v>
      </c>
      <c r="M499" s="10" t="n">
        <v>1</v>
      </c>
      <c r="N499" s="12" t="n">
        <v>-4958</v>
      </c>
      <c r="O499" s="13" t="n">
        <v>-0.0508504995004995</v>
      </c>
      <c r="P499" s="15" t="n">
        <v>-0.000999000999000965</v>
      </c>
      <c r="Q499" s="13" t="n">
        <v>-0.0563850933460789</v>
      </c>
      <c r="R499" s="15" t="n">
        <v>0.0798226164079823</v>
      </c>
      <c r="S499" s="32" t="n">
        <v>39559691800</v>
      </c>
      <c r="T499" s="15" t="n">
        <v>0.0274261603375527</v>
      </c>
      <c r="U499" s="32" t="n">
        <v>7656541617.5</v>
      </c>
      <c r="V499" s="14" t="n">
        <v>4.66353903579849</v>
      </c>
      <c r="W499" s="13" t="n">
        <v>0.0919282511210762</v>
      </c>
      <c r="X499" s="15" t="n">
        <v>0.00616016427104715</v>
      </c>
      <c r="Y499" s="13" t="n">
        <v>0.00446846276625035</v>
      </c>
      <c r="Z499" s="13" t="n">
        <v>0.053842877972023</v>
      </c>
      <c r="AA499" s="30" t="s">
        <v>97</v>
      </c>
      <c r="AB499" s="28" t="s">
        <v>93</v>
      </c>
      <c r="AC499" s="28" t="s">
        <v>101</v>
      </c>
      <c r="AD499" s="28" t="s">
        <v>107</v>
      </c>
      <c r="AE499" s="28" t="s">
        <v>113</v>
      </c>
      <c r="AF499" s="28" t="s">
        <v>118</v>
      </c>
      <c r="AG499" s="30" t="s">
        <v>122</v>
      </c>
    </row>
    <row r="500" customFormat="false" ht="15" hidden="false" customHeight="false" outlineLevel="0" collapsed="false">
      <c r="A500" s="10" t="n">
        <v>2025</v>
      </c>
      <c r="B500" s="28" t="s">
        <v>68</v>
      </c>
      <c r="C500" s="29" t="n">
        <v>45820</v>
      </c>
      <c r="D500" s="30" t="s">
        <v>128</v>
      </c>
      <c r="E500" s="28" t="s">
        <v>1395</v>
      </c>
      <c r="F500" s="30" t="s">
        <v>1396</v>
      </c>
      <c r="G500" s="31" t="n">
        <v>7327</v>
      </c>
      <c r="H500" s="31" t="n">
        <v>13</v>
      </c>
      <c r="I500" s="31" t="n">
        <v>95255</v>
      </c>
      <c r="J500" s="29" t="n">
        <v>45840</v>
      </c>
      <c r="K500" s="31" t="n">
        <v>6973</v>
      </c>
      <c r="L500" s="30" t="s">
        <v>32</v>
      </c>
      <c r="M500" s="10" t="n">
        <v>14</v>
      </c>
      <c r="N500" s="12" t="n">
        <v>-4770</v>
      </c>
      <c r="O500" s="13" t="n">
        <v>-0.0500735031362079</v>
      </c>
      <c r="P500" s="15" t="n">
        <v>0.0372141519682505</v>
      </c>
      <c r="Q500" s="13" t="n">
        <v>-0.059683485912994</v>
      </c>
      <c r="R500" s="15" t="n">
        <v>0.00136798905608759</v>
      </c>
      <c r="S500" s="32" t="n">
        <v>22807956120</v>
      </c>
      <c r="T500" s="15" t="n">
        <v>0.00136798905608759</v>
      </c>
      <c r="U500" s="32" t="n">
        <v>5126929806.5</v>
      </c>
      <c r="V500" s="14" t="n">
        <v>4.00729194585816</v>
      </c>
      <c r="W500" s="13" t="n">
        <v>-0.0317460317460317</v>
      </c>
      <c r="X500" s="15" t="n">
        <v>0.034153005464481</v>
      </c>
      <c r="Y500" s="13" t="n">
        <v>0.00446846276625035</v>
      </c>
      <c r="Z500" s="13" t="n">
        <v>0.053842877972023</v>
      </c>
      <c r="AA500" s="30" t="s">
        <v>97</v>
      </c>
      <c r="AB500" s="28" t="s">
        <v>93</v>
      </c>
      <c r="AC500" s="28" t="s">
        <v>99</v>
      </c>
      <c r="AD500" s="28" t="s">
        <v>106</v>
      </c>
      <c r="AE500" s="28" t="s">
        <v>112</v>
      </c>
      <c r="AF500" s="28" t="s">
        <v>118</v>
      </c>
      <c r="AG500" s="30" t="s">
        <v>123</v>
      </c>
    </row>
    <row r="501" customFormat="false" ht="15" hidden="false" customHeight="false" outlineLevel="0" collapsed="false">
      <c r="A501" s="10" t="n">
        <v>2025</v>
      </c>
      <c r="B501" s="28" t="s">
        <v>68</v>
      </c>
      <c r="C501" s="29" t="n">
        <v>45824</v>
      </c>
      <c r="D501" s="30" t="s">
        <v>125</v>
      </c>
      <c r="E501" s="28" t="s">
        <v>879</v>
      </c>
      <c r="F501" s="30" t="s">
        <v>880</v>
      </c>
      <c r="G501" s="31" t="n">
        <v>41391</v>
      </c>
      <c r="H501" s="31" t="n">
        <v>2</v>
      </c>
      <c r="I501" s="31" t="n">
        <v>82783</v>
      </c>
      <c r="J501" s="29" t="n">
        <v>45826</v>
      </c>
      <c r="K501" s="31" t="n">
        <v>39361</v>
      </c>
      <c r="L501" s="30" t="s">
        <v>32</v>
      </c>
      <c r="M501" s="10" t="n">
        <v>2</v>
      </c>
      <c r="N501" s="12" t="n">
        <v>-4204</v>
      </c>
      <c r="O501" s="13" t="n">
        <v>-0.0507812306798402</v>
      </c>
      <c r="P501" s="15" t="n">
        <v>0.027992563663664</v>
      </c>
      <c r="Q501" s="13" t="n">
        <v>-0.0795178219603854</v>
      </c>
      <c r="R501" s="15" t="n">
        <v>0.122116689280869</v>
      </c>
      <c r="S501" s="32" t="n">
        <v>26251295600</v>
      </c>
      <c r="T501" s="15" t="n">
        <v>0.00364077669902918</v>
      </c>
      <c r="U501" s="32" t="n">
        <v>13034940667.5</v>
      </c>
      <c r="V501" s="14" t="n">
        <v>1.85908374992844</v>
      </c>
      <c r="W501" s="13" t="n">
        <v>0.122116689280869</v>
      </c>
      <c r="X501" s="15" t="n">
        <v>0.0096735187424426</v>
      </c>
      <c r="Y501" s="13" t="n">
        <v>0.0179781802101831</v>
      </c>
      <c r="Z501" s="13" t="n">
        <v>0.0318267927739278</v>
      </c>
      <c r="AA501" s="30" t="s">
        <v>97</v>
      </c>
      <c r="AB501" s="28" t="s">
        <v>93</v>
      </c>
      <c r="AC501" s="28" t="s">
        <v>102</v>
      </c>
      <c r="AD501" s="28" t="s">
        <v>106</v>
      </c>
      <c r="AE501" s="28" t="s">
        <v>112</v>
      </c>
      <c r="AF501" s="28" t="s">
        <v>116</v>
      </c>
      <c r="AG501" s="30" t="s">
        <v>122</v>
      </c>
    </row>
    <row r="502" customFormat="false" ht="15" hidden="false" customHeight="false" outlineLevel="0" collapsed="false">
      <c r="A502" s="10" t="n">
        <v>2025</v>
      </c>
      <c r="B502" s="28" t="s">
        <v>68</v>
      </c>
      <c r="C502" s="29" t="n">
        <v>45824</v>
      </c>
      <c r="D502" s="30" t="s">
        <v>125</v>
      </c>
      <c r="E502" s="28" t="s">
        <v>239</v>
      </c>
      <c r="F502" s="28" t="s">
        <v>240</v>
      </c>
      <c r="G502" s="31" t="n">
        <v>53153</v>
      </c>
      <c r="H502" s="31" t="n">
        <v>1</v>
      </c>
      <c r="I502" s="31" t="n">
        <v>53153</v>
      </c>
      <c r="J502" s="29" t="n">
        <v>45910</v>
      </c>
      <c r="K502" s="31" t="n">
        <v>50549</v>
      </c>
      <c r="L502" s="30" t="s">
        <v>32</v>
      </c>
      <c r="M502" s="10" t="n">
        <v>61</v>
      </c>
      <c r="N502" s="12" t="n">
        <v>-2695</v>
      </c>
      <c r="O502" s="13" t="n">
        <v>-0.0507040882845966</v>
      </c>
      <c r="P502" s="15" t="n">
        <v>0.113763825628233</v>
      </c>
      <c r="Q502" s="13" t="n">
        <v>-0.0536770197787145</v>
      </c>
      <c r="R502" s="15" t="n">
        <v>0.0290697674418605</v>
      </c>
      <c r="S502" s="32" t="n">
        <v>25205985900</v>
      </c>
      <c r="T502" s="15" t="n">
        <v>0.0211538461538461</v>
      </c>
      <c r="U502" s="32" t="n">
        <v>19417209175</v>
      </c>
      <c r="V502" s="14" t="n">
        <v>1.24530883233523</v>
      </c>
      <c r="W502" s="13" t="n">
        <v>0.0172413793103448</v>
      </c>
      <c r="X502" s="15" t="n">
        <v>0</v>
      </c>
      <c r="Y502" s="13" t="n">
        <v>0.0179781802101831</v>
      </c>
      <c r="Z502" s="13" t="n">
        <v>0.0318267927739278</v>
      </c>
      <c r="AA502" s="30" t="s">
        <v>97</v>
      </c>
      <c r="AB502" s="28" t="s">
        <v>93</v>
      </c>
      <c r="AC502" s="28" t="s">
        <v>99</v>
      </c>
      <c r="AD502" s="28" t="s">
        <v>106</v>
      </c>
      <c r="AE502" s="28" t="s">
        <v>113</v>
      </c>
      <c r="AF502" s="28" t="s">
        <v>116</v>
      </c>
      <c r="AG502" s="30" t="s">
        <v>122</v>
      </c>
    </row>
    <row r="503" customFormat="false" ht="15" hidden="false" customHeight="false" outlineLevel="0" collapsed="false">
      <c r="A503" s="10" t="n">
        <v>2025</v>
      </c>
      <c r="B503" s="28" t="s">
        <v>68</v>
      </c>
      <c r="C503" s="29" t="n">
        <v>45825</v>
      </c>
      <c r="D503" s="30" t="s">
        <v>126</v>
      </c>
      <c r="E503" s="28" t="s">
        <v>507</v>
      </c>
      <c r="F503" s="30" t="s">
        <v>508</v>
      </c>
      <c r="G503" s="31" t="n">
        <v>5666</v>
      </c>
      <c r="H503" s="31" t="n">
        <v>17</v>
      </c>
      <c r="I503" s="31" t="n">
        <v>96316</v>
      </c>
      <c r="J503" s="29" t="n">
        <v>45831</v>
      </c>
      <c r="K503" s="31" t="n">
        <v>5335</v>
      </c>
      <c r="L503" s="30" t="s">
        <v>32</v>
      </c>
      <c r="M503" s="10" t="n">
        <v>4</v>
      </c>
      <c r="N503" s="12" t="n">
        <v>-5791</v>
      </c>
      <c r="O503" s="13" t="n">
        <v>-0.060125746691471</v>
      </c>
      <c r="P503" s="15" t="n">
        <v>0.0166511933296387</v>
      </c>
      <c r="Q503" s="13" t="n">
        <v>-0.0768948366121509</v>
      </c>
      <c r="R503" s="15" t="n">
        <v>0.0520446096654275</v>
      </c>
      <c r="S503" s="32" t="n">
        <v>42897072080</v>
      </c>
      <c r="T503" s="15" t="n">
        <v>0.0179856115107915</v>
      </c>
      <c r="U503" s="32" t="n">
        <v>9516484107</v>
      </c>
      <c r="V503" s="14" t="n">
        <v>4.33389020012609</v>
      </c>
      <c r="W503" s="13" t="n">
        <v>0.054003724394786</v>
      </c>
      <c r="X503" s="15" t="n">
        <v>0.0530035335689045</v>
      </c>
      <c r="Y503" s="13" t="n">
        <v>0.00123529691243651</v>
      </c>
      <c r="Z503" s="13" t="n">
        <v>0.0273168863276285</v>
      </c>
      <c r="AA503" s="30" t="s">
        <v>97</v>
      </c>
      <c r="AB503" s="28" t="s">
        <v>93</v>
      </c>
      <c r="AC503" s="28" t="s">
        <v>101</v>
      </c>
      <c r="AD503" s="28" t="s">
        <v>107</v>
      </c>
      <c r="AE503" s="28" t="s">
        <v>112</v>
      </c>
      <c r="AF503" s="28" t="s">
        <v>118</v>
      </c>
      <c r="AG503" s="30" t="s">
        <v>122</v>
      </c>
    </row>
    <row r="504" customFormat="false" ht="15" hidden="false" customHeight="false" outlineLevel="0" collapsed="false">
      <c r="A504" s="10" t="n">
        <v>2025</v>
      </c>
      <c r="B504" s="28" t="s">
        <v>68</v>
      </c>
      <c r="C504" s="29" t="n">
        <v>45825</v>
      </c>
      <c r="D504" s="30" t="s">
        <v>126</v>
      </c>
      <c r="E504" s="28" t="s">
        <v>1159</v>
      </c>
      <c r="F504" s="28" t="s">
        <v>1160</v>
      </c>
      <c r="G504" s="31" t="n">
        <v>75976</v>
      </c>
      <c r="H504" s="31" t="n">
        <v>1</v>
      </c>
      <c r="I504" s="31" t="n">
        <v>75976</v>
      </c>
      <c r="J504" s="29" t="n">
        <v>45862</v>
      </c>
      <c r="K504" s="31" t="n">
        <v>91200</v>
      </c>
      <c r="L504" s="30" t="s">
        <v>31</v>
      </c>
      <c r="M504" s="10" t="n">
        <v>27</v>
      </c>
      <c r="N504" s="12" t="n">
        <v>15062</v>
      </c>
      <c r="O504" s="13" t="n">
        <v>0.198250018953379</v>
      </c>
      <c r="P504" s="15" t="n">
        <v>0.308309608704866</v>
      </c>
      <c r="Q504" s="13" t="n">
        <v>-0.0404852064931116</v>
      </c>
      <c r="R504" s="15" t="n">
        <v>0.0630252100840336</v>
      </c>
      <c r="S504" s="32" t="n">
        <v>32727093300</v>
      </c>
      <c r="T504" s="15" t="n">
        <v>0.0397260273972602</v>
      </c>
      <c r="U504" s="32" t="n">
        <v>6818232050</v>
      </c>
      <c r="V504" s="14" t="n">
        <v>4.48197204399991</v>
      </c>
      <c r="W504" s="13" t="n">
        <v>0.0541666666666667</v>
      </c>
      <c r="X504" s="15" t="n">
        <v>0.00658761528326757</v>
      </c>
      <c r="Y504" s="13" t="n">
        <v>0.00123529691243651</v>
      </c>
      <c r="Z504" s="13" t="n">
        <v>0.0273168863276285</v>
      </c>
      <c r="AA504" s="30" t="s">
        <v>97</v>
      </c>
      <c r="AB504" s="28" t="s">
        <v>93</v>
      </c>
      <c r="AC504" s="28" t="s">
        <v>101</v>
      </c>
      <c r="AD504" s="28" t="s">
        <v>107</v>
      </c>
      <c r="AE504" s="28" t="s">
        <v>113</v>
      </c>
      <c r="AF504" s="28" t="s">
        <v>118</v>
      </c>
      <c r="AG504" s="30" t="s">
        <v>122</v>
      </c>
    </row>
    <row r="505" customFormat="false" ht="15" hidden="false" customHeight="false" outlineLevel="0" collapsed="false">
      <c r="A505" s="10" t="n">
        <v>2025</v>
      </c>
      <c r="B505" s="28" t="s">
        <v>68</v>
      </c>
      <c r="C505" s="29" t="n">
        <v>45825</v>
      </c>
      <c r="D505" s="30" t="s">
        <v>126</v>
      </c>
      <c r="E505" s="28" t="s">
        <v>1421</v>
      </c>
      <c r="F505" s="30" t="s">
        <v>1422</v>
      </c>
      <c r="G505" s="31" t="n">
        <v>13203</v>
      </c>
      <c r="H505" s="31" t="n">
        <v>7</v>
      </c>
      <c r="I505" s="31" t="n">
        <v>92422</v>
      </c>
      <c r="J505" s="29" t="n">
        <v>45834</v>
      </c>
      <c r="K505" s="31" t="n">
        <v>12567</v>
      </c>
      <c r="L505" s="30" t="s">
        <v>32</v>
      </c>
      <c r="M505" s="10" t="n">
        <v>7</v>
      </c>
      <c r="N505" s="12" t="n">
        <v>-4609</v>
      </c>
      <c r="O505" s="13" t="n">
        <v>-0.0498733049740251</v>
      </c>
      <c r="P505" s="15" t="n">
        <v>0.0550480603551113</v>
      </c>
      <c r="Q505" s="13" t="n">
        <v>-0.108548767381216</v>
      </c>
      <c r="R505" s="15" t="n">
        <v>0.0811475409836067</v>
      </c>
      <c r="S505" s="32" t="n">
        <v>28094831900</v>
      </c>
      <c r="T505" s="15" t="n">
        <v>0.0645682001614205</v>
      </c>
      <c r="U505" s="32" t="n">
        <v>4958974242.5</v>
      </c>
      <c r="V505" s="14" t="n">
        <v>5.00857626479772</v>
      </c>
      <c r="W505" s="13" t="n">
        <v>0.0264591439688715</v>
      </c>
      <c r="X505" s="15" t="n">
        <v>0.0515542077331312</v>
      </c>
      <c r="Y505" s="13" t="n">
        <v>0.00123529691243651</v>
      </c>
      <c r="Z505" s="13" t="n">
        <v>0.0273168863276285</v>
      </c>
      <c r="AA505" s="30" t="s">
        <v>97</v>
      </c>
      <c r="AB505" s="28" t="s">
        <v>93</v>
      </c>
      <c r="AC505" s="28" t="s">
        <v>101</v>
      </c>
      <c r="AD505" s="28" t="s">
        <v>106</v>
      </c>
      <c r="AE505" s="28" t="s">
        <v>101</v>
      </c>
      <c r="AF505" s="28" t="s">
        <v>119</v>
      </c>
      <c r="AG505" s="30" t="s">
        <v>122</v>
      </c>
    </row>
    <row r="506" customFormat="false" ht="15" hidden="false" customHeight="false" outlineLevel="0" collapsed="false">
      <c r="A506" s="10" t="n">
        <v>2025</v>
      </c>
      <c r="B506" s="28" t="s">
        <v>68</v>
      </c>
      <c r="C506" s="29" t="n">
        <v>45825</v>
      </c>
      <c r="D506" s="30" t="s">
        <v>126</v>
      </c>
      <c r="E506" s="28" t="s">
        <v>305</v>
      </c>
      <c r="F506" s="30" t="s">
        <v>306</v>
      </c>
      <c r="G506" s="31" t="n">
        <v>30931</v>
      </c>
      <c r="H506" s="31" t="n">
        <v>3</v>
      </c>
      <c r="I506" s="31" t="n">
        <v>92793</v>
      </c>
      <c r="J506" s="29" t="n">
        <v>45831</v>
      </c>
      <c r="K506" s="31" t="n">
        <v>29421</v>
      </c>
      <c r="L506" s="30" t="s">
        <v>32</v>
      </c>
      <c r="M506" s="10" t="n">
        <v>4</v>
      </c>
      <c r="N506" s="12" t="n">
        <v>-4691</v>
      </c>
      <c r="O506" s="13" t="n">
        <v>-0.05054924177764</v>
      </c>
      <c r="P506" s="15" t="n">
        <v>0.0183990766515039</v>
      </c>
      <c r="Q506" s="13" t="n">
        <v>-0.0478776886543876</v>
      </c>
      <c r="R506" s="15" t="n">
        <v>0.035175879396985</v>
      </c>
      <c r="S506" s="32" t="n">
        <v>24462355800</v>
      </c>
      <c r="T506" s="15" t="n">
        <v>0.00324675324675328</v>
      </c>
      <c r="U506" s="32" t="n">
        <v>10167079837.5</v>
      </c>
      <c r="V506" s="14" t="n">
        <v>2.27968009804506</v>
      </c>
      <c r="W506" s="13" t="n">
        <v>0.0231788079470199</v>
      </c>
      <c r="X506" s="15" t="n">
        <v>0.0210355987055015</v>
      </c>
      <c r="Y506" s="13" t="n">
        <v>0.00123529691243651</v>
      </c>
      <c r="Z506" s="13" t="n">
        <v>0.0273168863276285</v>
      </c>
      <c r="AA506" s="30" t="s">
        <v>97</v>
      </c>
      <c r="AB506" s="28" t="s">
        <v>93</v>
      </c>
      <c r="AC506" s="28" t="s">
        <v>100</v>
      </c>
      <c r="AD506" s="28" t="s">
        <v>106</v>
      </c>
      <c r="AE506" s="28" t="s">
        <v>112</v>
      </c>
      <c r="AF506" s="28" t="s">
        <v>117</v>
      </c>
      <c r="AG506" s="30" t="s">
        <v>122</v>
      </c>
    </row>
    <row r="507" customFormat="false" ht="15" hidden="false" customHeight="false" outlineLevel="0" collapsed="false">
      <c r="A507" s="10" t="n">
        <v>2025</v>
      </c>
      <c r="B507" s="28" t="s">
        <v>68</v>
      </c>
      <c r="C507" s="29" t="n">
        <v>45827</v>
      </c>
      <c r="D507" s="30" t="s">
        <v>128</v>
      </c>
      <c r="E507" s="28" t="s">
        <v>263</v>
      </c>
      <c r="F507" s="30" t="s">
        <v>264</v>
      </c>
      <c r="G507" s="31" t="n">
        <v>92592</v>
      </c>
      <c r="H507" s="31" t="n">
        <v>1</v>
      </c>
      <c r="I507" s="31" t="n">
        <v>92592</v>
      </c>
      <c r="J507" s="29" t="n">
        <v>45855</v>
      </c>
      <c r="K507" s="31" t="n">
        <v>88112</v>
      </c>
      <c r="L507" s="30" t="s">
        <v>32</v>
      </c>
      <c r="M507" s="10" t="n">
        <v>20</v>
      </c>
      <c r="N507" s="12" t="n">
        <v>-4640</v>
      </c>
      <c r="O507" s="13" t="n">
        <v>-0.050111762237762</v>
      </c>
      <c r="P507" s="15" t="n">
        <v>0.177201177201178</v>
      </c>
      <c r="Q507" s="13" t="n">
        <v>-0.0603990603990603</v>
      </c>
      <c r="R507" s="15" t="n">
        <v>0.0571428571428572</v>
      </c>
      <c r="S507" s="32" t="n">
        <v>475606232500</v>
      </c>
      <c r="T507" s="15" t="n">
        <v>0.0511363636363635</v>
      </c>
      <c r="U507" s="32" t="n">
        <v>77758521870</v>
      </c>
      <c r="V507" s="14" t="n">
        <v>5.58589743924019</v>
      </c>
      <c r="W507" s="13" t="n">
        <v>0.0463800904977376</v>
      </c>
      <c r="X507" s="15" t="n">
        <v>0.0713513513513513</v>
      </c>
      <c r="Y507" s="13" t="n">
        <v>0.00186730996336015</v>
      </c>
      <c r="Z507" s="13" t="n">
        <v>0.0197634955805248</v>
      </c>
      <c r="AA507" s="30" t="s">
        <v>97</v>
      </c>
      <c r="AB507" s="28" t="s">
        <v>93</v>
      </c>
      <c r="AC507" s="28" t="s">
        <v>101</v>
      </c>
      <c r="AD507" s="28" t="s">
        <v>110</v>
      </c>
      <c r="AE507" s="28" t="s">
        <v>101</v>
      </c>
      <c r="AF507" s="28" t="s">
        <v>119</v>
      </c>
      <c r="AG507" s="30" t="s">
        <v>122</v>
      </c>
    </row>
    <row r="508" customFormat="false" ht="15" hidden="false" customHeight="false" outlineLevel="0" collapsed="false">
      <c r="A508" s="10" t="n">
        <v>2025</v>
      </c>
      <c r="B508" s="28" t="s">
        <v>68</v>
      </c>
      <c r="C508" s="29" t="n">
        <v>45827</v>
      </c>
      <c r="D508" s="30" t="s">
        <v>128</v>
      </c>
      <c r="E508" s="28" t="s">
        <v>875</v>
      </c>
      <c r="F508" s="30" t="s">
        <v>876</v>
      </c>
      <c r="G508" s="31" t="n">
        <v>61962</v>
      </c>
      <c r="H508" s="31" t="n">
        <v>1</v>
      </c>
      <c r="I508" s="31" t="n">
        <v>61962</v>
      </c>
      <c r="J508" s="29" t="n">
        <v>45845</v>
      </c>
      <c r="K508" s="31" t="n">
        <v>58941</v>
      </c>
      <c r="L508" s="30" t="s">
        <v>32</v>
      </c>
      <c r="M508" s="10" t="n">
        <v>12</v>
      </c>
      <c r="N508" s="12" t="n">
        <v>-3127</v>
      </c>
      <c r="O508" s="13" t="n">
        <v>-0.0504737094085235</v>
      </c>
      <c r="P508" s="15" t="n">
        <v>0.0538734286714901</v>
      </c>
      <c r="Q508" s="13" t="n">
        <v>-0.0865354354853546</v>
      </c>
      <c r="R508" s="15" t="n">
        <v>0.018092105263158</v>
      </c>
      <c r="S508" s="32" t="n">
        <v>22228351900</v>
      </c>
      <c r="T508" s="15" t="n">
        <v>0.00814332247557004</v>
      </c>
      <c r="U508" s="32" t="n">
        <v>18256470955</v>
      </c>
      <c r="V508" s="14" t="n">
        <v>1.16562698612093</v>
      </c>
      <c r="W508" s="13" t="n">
        <v>-0.0174603174603175</v>
      </c>
      <c r="X508" s="15" t="n">
        <v>0.0177705977382876</v>
      </c>
      <c r="Y508" s="13" t="n">
        <v>0.00186730996336015</v>
      </c>
      <c r="Z508" s="13" t="n">
        <v>0.0197634955805248</v>
      </c>
      <c r="AA508" s="30" t="s">
        <v>97</v>
      </c>
      <c r="AB508" s="28" t="s">
        <v>93</v>
      </c>
      <c r="AC508" s="28" t="s">
        <v>99</v>
      </c>
      <c r="AD508" s="28" t="s">
        <v>106</v>
      </c>
      <c r="AE508" s="28" t="s">
        <v>112</v>
      </c>
      <c r="AF508" s="28" t="s">
        <v>116</v>
      </c>
      <c r="AG508" s="30" t="s">
        <v>123</v>
      </c>
    </row>
    <row r="509" customFormat="false" ht="15" hidden="false" customHeight="false" outlineLevel="0" collapsed="false">
      <c r="A509" s="10" t="n">
        <v>2025</v>
      </c>
      <c r="B509" s="28" t="s">
        <v>68</v>
      </c>
      <c r="C509" s="29" t="n">
        <v>45828</v>
      </c>
      <c r="D509" s="30" t="s">
        <v>129</v>
      </c>
      <c r="E509" s="28" t="s">
        <v>905</v>
      </c>
      <c r="F509" s="30" t="s">
        <v>906</v>
      </c>
      <c r="G509" s="31" t="n">
        <v>97898</v>
      </c>
      <c r="H509" s="31" t="n">
        <v>1</v>
      </c>
      <c r="I509" s="31" t="n">
        <v>97898</v>
      </c>
      <c r="J509" s="29" t="n">
        <v>45940</v>
      </c>
      <c r="K509" s="31" t="n">
        <v>93107</v>
      </c>
      <c r="L509" s="30" t="s">
        <v>32</v>
      </c>
      <c r="M509" s="10" t="n">
        <v>74</v>
      </c>
      <c r="N509" s="12" t="n">
        <v>-4959</v>
      </c>
      <c r="O509" s="13" t="n">
        <v>-0.0506580422644838</v>
      </c>
      <c r="P509" s="15" t="n">
        <v>0.171630005985834</v>
      </c>
      <c r="Q509" s="13" t="n">
        <v>-0.0520726717045734</v>
      </c>
      <c r="R509" s="15" t="n">
        <v>0.0294736842105263</v>
      </c>
      <c r="S509" s="32" t="n">
        <v>38140826400</v>
      </c>
      <c r="T509" s="15" t="n">
        <v>0.00513874614594045</v>
      </c>
      <c r="U509" s="32" t="n">
        <v>19989077145</v>
      </c>
      <c r="V509" s="14" t="n">
        <v>1.80648436671279</v>
      </c>
      <c r="W509" s="13" t="n">
        <v>0.01875</v>
      </c>
      <c r="X509" s="15" t="n">
        <v>0.00613496932515334</v>
      </c>
      <c r="Y509" s="13" t="n">
        <v>0.0148098893791937</v>
      </c>
      <c r="Z509" s="13" t="n">
        <v>0.0439505012747787</v>
      </c>
      <c r="AA509" s="30" t="s">
        <v>97</v>
      </c>
      <c r="AB509" s="28" t="s">
        <v>93</v>
      </c>
      <c r="AC509" s="28" t="s">
        <v>99</v>
      </c>
      <c r="AD509" s="28" t="s">
        <v>107</v>
      </c>
      <c r="AE509" s="28" t="s">
        <v>112</v>
      </c>
      <c r="AF509" s="28" t="s">
        <v>116</v>
      </c>
      <c r="AG509" s="30" t="s">
        <v>122</v>
      </c>
    </row>
    <row r="510" customFormat="false" ht="15" hidden="false" customHeight="false" outlineLevel="0" collapsed="false">
      <c r="A510" s="10" t="n">
        <v>2025</v>
      </c>
      <c r="B510" s="28" t="s">
        <v>68</v>
      </c>
      <c r="C510" s="29" t="n">
        <v>45828</v>
      </c>
      <c r="D510" s="30" t="s">
        <v>129</v>
      </c>
      <c r="E510" s="28" t="s">
        <v>1423</v>
      </c>
      <c r="F510" s="30" t="s">
        <v>1424</v>
      </c>
      <c r="G510" s="31" t="n">
        <v>18028</v>
      </c>
      <c r="H510" s="31" t="n">
        <v>5</v>
      </c>
      <c r="I510" s="31" t="n">
        <v>90140</v>
      </c>
      <c r="J510" s="29" t="n">
        <v>45832</v>
      </c>
      <c r="K510" s="31" t="n">
        <v>21650</v>
      </c>
      <c r="L510" s="30" t="s">
        <v>31</v>
      </c>
      <c r="M510" s="10" t="n">
        <v>2</v>
      </c>
      <c r="N510" s="12" t="n">
        <v>17918</v>
      </c>
      <c r="O510" s="13" t="n">
        <v>0.198777529993605</v>
      </c>
      <c r="P510" s="15" t="n">
        <v>0.331261742144585</v>
      </c>
      <c r="Q510" s="13" t="n">
        <v>-0.0292883130195734</v>
      </c>
      <c r="R510" s="15" t="n">
        <v>0.125625</v>
      </c>
      <c r="S510" s="32" t="n">
        <v>38097813700</v>
      </c>
      <c r="T510" s="15" t="n">
        <v>0.0981707317073171</v>
      </c>
      <c r="U510" s="32" t="n">
        <v>3138121927.5</v>
      </c>
      <c r="V510" s="14" t="n">
        <v>10.545224870613</v>
      </c>
      <c r="W510" s="13" t="n">
        <v>0.0915151515151516</v>
      </c>
      <c r="X510" s="15" t="n">
        <v>0.0927262631871182</v>
      </c>
      <c r="Y510" s="13" t="n">
        <v>0.0148098893791937</v>
      </c>
      <c r="Z510" s="13" t="n">
        <v>0.0439505012747787</v>
      </c>
      <c r="AA510" s="30" t="s">
        <v>97</v>
      </c>
      <c r="AB510" s="28" t="s">
        <v>93</v>
      </c>
      <c r="AC510" s="28" t="s">
        <v>102</v>
      </c>
      <c r="AD510" s="28" t="s">
        <v>107</v>
      </c>
      <c r="AE510" s="28" t="s">
        <v>101</v>
      </c>
      <c r="AF510" s="28" t="s">
        <v>120</v>
      </c>
      <c r="AG510" s="30" t="s">
        <v>122</v>
      </c>
    </row>
    <row r="511" customFormat="false" ht="15" hidden="false" customHeight="false" outlineLevel="0" collapsed="false">
      <c r="A511" s="10" t="n">
        <v>2025</v>
      </c>
      <c r="B511" s="28" t="s">
        <v>68</v>
      </c>
      <c r="C511" s="29" t="n">
        <v>45828</v>
      </c>
      <c r="D511" s="30" t="s">
        <v>129</v>
      </c>
      <c r="E511" s="28" t="s">
        <v>311</v>
      </c>
      <c r="F511" s="30" t="s">
        <v>312</v>
      </c>
      <c r="G511" s="31" t="n">
        <v>52552</v>
      </c>
      <c r="H511" s="31" t="n">
        <v>1</v>
      </c>
      <c r="I511" s="31" t="n">
        <v>52552</v>
      </c>
      <c r="J511" s="29" t="n">
        <v>45832</v>
      </c>
      <c r="K511" s="31" t="n">
        <v>63200</v>
      </c>
      <c r="L511" s="30" t="s">
        <v>31</v>
      </c>
      <c r="M511" s="10" t="n">
        <v>2</v>
      </c>
      <c r="N511" s="12" t="n">
        <v>10535</v>
      </c>
      <c r="O511" s="13" t="n">
        <v>0.200472615479759</v>
      </c>
      <c r="P511" s="15" t="n">
        <v>0.311069882498454</v>
      </c>
      <c r="Q511" s="13" t="n">
        <v>-0.0352504638218922</v>
      </c>
      <c r="R511" s="15" t="n">
        <v>0.025390625</v>
      </c>
      <c r="S511" s="32" t="n">
        <v>26948880000</v>
      </c>
      <c r="T511" s="15" t="n">
        <v>0.00574712643678166</v>
      </c>
      <c r="U511" s="32" t="n">
        <v>8550490567.5</v>
      </c>
      <c r="V511" s="14" t="n">
        <v>2.98681885335138</v>
      </c>
      <c r="W511" s="13" t="n">
        <v>0.0214007782101167</v>
      </c>
      <c r="X511" s="15" t="n">
        <v>0.0133333333333334</v>
      </c>
      <c r="Y511" s="13" t="n">
        <v>0.0148098893791937</v>
      </c>
      <c r="Z511" s="13" t="n">
        <v>0.0439505012747787</v>
      </c>
      <c r="AA511" s="30" t="s">
        <v>97</v>
      </c>
      <c r="AB511" s="28" t="s">
        <v>93</v>
      </c>
      <c r="AC511" s="28" t="s">
        <v>99</v>
      </c>
      <c r="AD511" s="28" t="s">
        <v>106</v>
      </c>
      <c r="AE511" s="28" t="s">
        <v>112</v>
      </c>
      <c r="AF511" s="28" t="s">
        <v>117</v>
      </c>
      <c r="AG511" s="30" t="s">
        <v>122</v>
      </c>
    </row>
    <row r="512" customFormat="false" ht="15" hidden="false" customHeight="false" outlineLevel="0" collapsed="false">
      <c r="A512" s="10" t="n">
        <v>2025</v>
      </c>
      <c r="B512" s="28" t="s">
        <v>68</v>
      </c>
      <c r="C512" s="29" t="n">
        <v>45831</v>
      </c>
      <c r="D512" s="30" t="s">
        <v>125</v>
      </c>
      <c r="E512" s="28" t="s">
        <v>603</v>
      </c>
      <c r="F512" s="30" t="s">
        <v>604</v>
      </c>
      <c r="G512" s="31" t="n">
        <v>24775</v>
      </c>
      <c r="H512" s="31" t="n">
        <v>4</v>
      </c>
      <c r="I512" s="31" t="n">
        <v>99098</v>
      </c>
      <c r="J512" s="29" t="n">
        <v>45842</v>
      </c>
      <c r="K512" s="31" t="n">
        <v>23576</v>
      </c>
      <c r="L512" s="30" t="s">
        <v>32</v>
      </c>
      <c r="M512" s="10" t="n">
        <v>9</v>
      </c>
      <c r="N512" s="12" t="n">
        <v>-4963</v>
      </c>
      <c r="O512" s="13" t="n">
        <v>-0.0500830561209757</v>
      </c>
      <c r="P512" s="15" t="n">
        <v>0.14847273938183</v>
      </c>
      <c r="Q512" s="13" t="n">
        <v>-0.0549223503768958</v>
      </c>
      <c r="R512" s="15" t="n">
        <v>0.123404255319149</v>
      </c>
      <c r="S512" s="32" t="n">
        <v>81821044800</v>
      </c>
      <c r="T512" s="15" t="n">
        <v>0.0476190476190477</v>
      </c>
      <c r="U512" s="32" t="n">
        <v>14314906467.5</v>
      </c>
      <c r="V512" s="14" t="n">
        <v>5.11195718024434</v>
      </c>
      <c r="W512" s="13" t="n">
        <v>0.154098360655738</v>
      </c>
      <c r="X512" s="15" t="n">
        <v>0.00189393939393945</v>
      </c>
      <c r="Y512" s="13" t="n">
        <v>-0.00243891139173491</v>
      </c>
      <c r="Z512" s="13" t="n">
        <v>0.0230124955033835</v>
      </c>
      <c r="AA512" s="30" t="s">
        <v>97</v>
      </c>
      <c r="AB512" s="28" t="s">
        <v>93</v>
      </c>
      <c r="AC512" s="28" t="s">
        <v>102</v>
      </c>
      <c r="AD512" s="28" t="s">
        <v>108</v>
      </c>
      <c r="AE512" s="28" t="s">
        <v>113</v>
      </c>
      <c r="AF512" s="28" t="s">
        <v>119</v>
      </c>
      <c r="AG512" s="30" t="s">
        <v>122</v>
      </c>
    </row>
    <row r="513" customFormat="false" ht="15" hidden="false" customHeight="false" outlineLevel="0" collapsed="false">
      <c r="A513" s="10" t="n">
        <v>2025</v>
      </c>
      <c r="B513" s="28" t="s">
        <v>68</v>
      </c>
      <c r="C513" s="29" t="n">
        <v>45831</v>
      </c>
      <c r="D513" s="30" t="s">
        <v>125</v>
      </c>
      <c r="E513" s="28" t="s">
        <v>749</v>
      </c>
      <c r="F513" s="30" t="s">
        <v>750</v>
      </c>
      <c r="G513" s="31" t="n">
        <v>16757</v>
      </c>
      <c r="H513" s="31" t="n">
        <v>5</v>
      </c>
      <c r="I513" s="31" t="n">
        <v>83784</v>
      </c>
      <c r="J513" s="29" t="n">
        <v>45839</v>
      </c>
      <c r="K513" s="31" t="n">
        <v>15944</v>
      </c>
      <c r="L513" s="30" t="s">
        <v>32</v>
      </c>
      <c r="M513" s="10" t="n">
        <v>6</v>
      </c>
      <c r="N513" s="12" t="n">
        <v>-4208</v>
      </c>
      <c r="O513" s="13" t="n">
        <v>-0.0502198623956685</v>
      </c>
      <c r="P513" s="15" t="n">
        <v>0.0413720091139447</v>
      </c>
      <c r="Q513" s="13" t="n">
        <v>-0.0714184262571358</v>
      </c>
      <c r="R513" s="15" t="n">
        <v>0.0269938650306749</v>
      </c>
      <c r="S513" s="32" t="n">
        <v>56191057560</v>
      </c>
      <c r="T513" s="15" t="n">
        <v>0.0269938650306749</v>
      </c>
      <c r="U513" s="32" t="n">
        <v>21309692608.5</v>
      </c>
      <c r="V513" s="14" t="n">
        <v>2.46807641455288</v>
      </c>
      <c r="W513" s="13" t="n">
        <v>0.0145454545454546</v>
      </c>
      <c r="X513" s="15" t="n">
        <v>0.0119474313022701</v>
      </c>
      <c r="Y513" s="13" t="n">
        <v>-0.00243891139173491</v>
      </c>
      <c r="Z513" s="13" t="n">
        <v>0.0230124955033835</v>
      </c>
      <c r="AA513" s="30" t="s">
        <v>97</v>
      </c>
      <c r="AB513" s="28" t="s">
        <v>93</v>
      </c>
      <c r="AC513" s="28" t="s">
        <v>99</v>
      </c>
      <c r="AD513" s="28" t="s">
        <v>108</v>
      </c>
      <c r="AE513" s="28" t="s">
        <v>113</v>
      </c>
      <c r="AF513" s="28" t="s">
        <v>117</v>
      </c>
      <c r="AG513" s="30" t="s">
        <v>122</v>
      </c>
    </row>
    <row r="514" customFormat="false" ht="15" hidden="false" customHeight="false" outlineLevel="0" collapsed="false">
      <c r="A514" s="10" t="n">
        <v>2025</v>
      </c>
      <c r="B514" s="28" t="s">
        <v>68</v>
      </c>
      <c r="C514" s="29" t="n">
        <v>45831</v>
      </c>
      <c r="D514" s="30" t="s">
        <v>125</v>
      </c>
      <c r="E514" s="28" t="s">
        <v>719</v>
      </c>
      <c r="F514" s="30" t="s">
        <v>720</v>
      </c>
      <c r="G514" s="31" t="n">
        <v>79780</v>
      </c>
      <c r="H514" s="31" t="n">
        <v>1</v>
      </c>
      <c r="I514" s="31" t="n">
        <v>79780</v>
      </c>
      <c r="J514" s="29" t="n">
        <v>45834</v>
      </c>
      <c r="K514" s="31" t="n">
        <v>75924</v>
      </c>
      <c r="L514" s="30" t="s">
        <v>32</v>
      </c>
      <c r="M514" s="10" t="n">
        <v>3</v>
      </c>
      <c r="N514" s="12" t="n">
        <v>-3993</v>
      </c>
      <c r="O514" s="13" t="n">
        <v>-0.0500495935056161</v>
      </c>
      <c r="P514" s="15" t="n">
        <v>0.0516459700901357</v>
      </c>
      <c r="Q514" s="13" t="n">
        <v>-0.0498836170103422</v>
      </c>
      <c r="R514" s="15" t="n">
        <v>0.0514511873350922</v>
      </c>
      <c r="S514" s="32" t="n">
        <v>23969376500</v>
      </c>
      <c r="T514" s="15" t="n">
        <v>0.00125628140703515</v>
      </c>
      <c r="U514" s="32" t="n">
        <v>6396179120</v>
      </c>
      <c r="V514" s="14" t="n">
        <v>3.54064242389994</v>
      </c>
      <c r="W514" s="13" t="n">
        <v>0.0784844384303112</v>
      </c>
      <c r="X514" s="15" t="n">
        <v>0.0175658720200753</v>
      </c>
      <c r="Y514" s="13" t="n">
        <v>-0.00243891139173491</v>
      </c>
      <c r="Z514" s="13" t="n">
        <v>0.0230124955033835</v>
      </c>
      <c r="AA514" s="30" t="s">
        <v>97</v>
      </c>
      <c r="AB514" s="28" t="s">
        <v>93</v>
      </c>
      <c r="AC514" s="28" t="s">
        <v>101</v>
      </c>
      <c r="AD514" s="28" t="s">
        <v>106</v>
      </c>
      <c r="AE514" s="28" t="s">
        <v>112</v>
      </c>
      <c r="AF514" s="28" t="s">
        <v>118</v>
      </c>
      <c r="AG514" s="30" t="s">
        <v>122</v>
      </c>
    </row>
    <row r="515" customFormat="false" ht="15" hidden="false" customHeight="false" outlineLevel="0" collapsed="false">
      <c r="A515" s="10" t="n">
        <v>2025</v>
      </c>
      <c r="B515" s="28" t="s">
        <v>68</v>
      </c>
      <c r="C515" s="29" t="n">
        <v>45831</v>
      </c>
      <c r="D515" s="30" t="s">
        <v>125</v>
      </c>
      <c r="E515" s="28" t="s">
        <v>189</v>
      </c>
      <c r="F515" s="30" t="s">
        <v>190</v>
      </c>
      <c r="G515" s="31" t="n">
        <v>12773</v>
      </c>
      <c r="H515" s="31" t="n">
        <v>7</v>
      </c>
      <c r="I515" s="31" t="n">
        <v>89409</v>
      </c>
      <c r="J515" s="29" t="n">
        <v>45834</v>
      </c>
      <c r="K515" s="31" t="n">
        <v>12158</v>
      </c>
      <c r="L515" s="30" t="s">
        <v>32</v>
      </c>
      <c r="M515" s="10" t="n">
        <v>3</v>
      </c>
      <c r="N515" s="12" t="n">
        <v>-4458</v>
      </c>
      <c r="O515" s="13" t="n">
        <v>-0.0498644250342134</v>
      </c>
      <c r="P515" s="15" t="n">
        <v>0.0491076321797326</v>
      </c>
      <c r="Q515" s="13" t="n">
        <v>-0.0753760346236834</v>
      </c>
      <c r="R515" s="15" t="n">
        <v>0.0722689075630252</v>
      </c>
      <c r="S515" s="32" t="n">
        <v>20837539360</v>
      </c>
      <c r="T515" s="15" t="n">
        <v>0.009493670886076</v>
      </c>
      <c r="U515" s="32" t="n">
        <v>3987863390</v>
      </c>
      <c r="V515" s="14" t="n">
        <v>4.90004047770291</v>
      </c>
      <c r="W515" s="13" t="n">
        <v>0.0767932489451477</v>
      </c>
      <c r="X515" s="15" t="n">
        <v>0.0172413793103448</v>
      </c>
      <c r="Y515" s="13" t="n">
        <v>-0.00243891139173491</v>
      </c>
      <c r="Z515" s="13" t="n">
        <v>0.0230124955033835</v>
      </c>
      <c r="AA515" s="30" t="s">
        <v>97</v>
      </c>
      <c r="AB515" s="28" t="s">
        <v>93</v>
      </c>
      <c r="AC515" s="28" t="s">
        <v>101</v>
      </c>
      <c r="AD515" s="28" t="s">
        <v>106</v>
      </c>
      <c r="AE515" s="28" t="s">
        <v>112</v>
      </c>
      <c r="AF515" s="28" t="s">
        <v>118</v>
      </c>
      <c r="AG515" s="30" t="s">
        <v>122</v>
      </c>
    </row>
    <row r="516" customFormat="false" ht="15" hidden="false" customHeight="false" outlineLevel="0" collapsed="false">
      <c r="A516" s="10" t="n">
        <v>2025</v>
      </c>
      <c r="B516" s="28" t="s">
        <v>68</v>
      </c>
      <c r="C516" s="29" t="n">
        <v>45832</v>
      </c>
      <c r="D516" s="30" t="s">
        <v>126</v>
      </c>
      <c r="E516" s="28" t="s">
        <v>449</v>
      </c>
      <c r="F516" s="30" t="s">
        <v>450</v>
      </c>
      <c r="G516" s="31" t="n">
        <v>43043</v>
      </c>
      <c r="H516" s="31" t="n">
        <v>2</v>
      </c>
      <c r="I516" s="31" t="n">
        <v>86086</v>
      </c>
      <c r="J516" s="29" t="n">
        <v>45853</v>
      </c>
      <c r="K516" s="31" t="n">
        <v>40959</v>
      </c>
      <c r="L516" s="30" t="s">
        <v>32</v>
      </c>
      <c r="M516" s="10" t="n">
        <v>15</v>
      </c>
      <c r="N516" s="12" t="n">
        <v>-4316</v>
      </c>
      <c r="O516" s="13" t="n">
        <v>-0.050136812025184</v>
      </c>
      <c r="P516" s="15" t="n">
        <v>0.154659294194178</v>
      </c>
      <c r="Q516" s="13" t="n">
        <v>-0.055595567223474</v>
      </c>
      <c r="R516" s="15" t="n">
        <v>0.0872313527180784</v>
      </c>
      <c r="S516" s="32" t="n">
        <v>27956536000</v>
      </c>
      <c r="T516" s="15" t="n">
        <v>0.0153482880755609</v>
      </c>
      <c r="U516" s="32" t="n">
        <v>10254802642.5</v>
      </c>
      <c r="V516" s="14" t="n">
        <v>2.57406424945957</v>
      </c>
      <c r="W516" s="13" t="n">
        <v>0.0683229813664597</v>
      </c>
      <c r="X516" s="15" t="n">
        <v>0.0116279069767442</v>
      </c>
      <c r="Y516" s="13" t="n">
        <v>0.0295806559693743</v>
      </c>
      <c r="Z516" s="13" t="n">
        <v>0.0519743754872384</v>
      </c>
      <c r="AA516" s="30" t="s">
        <v>97</v>
      </c>
      <c r="AB516" s="28" t="s">
        <v>93</v>
      </c>
      <c r="AC516" s="28" t="s">
        <v>101</v>
      </c>
      <c r="AD516" s="28" t="s">
        <v>106</v>
      </c>
      <c r="AE516" s="28" t="s">
        <v>112</v>
      </c>
      <c r="AF516" s="28" t="s">
        <v>117</v>
      </c>
      <c r="AG516" s="30" t="s">
        <v>122</v>
      </c>
    </row>
    <row r="517" customFormat="false" ht="15" hidden="false" customHeight="false" outlineLevel="0" collapsed="false">
      <c r="A517" s="10" t="n">
        <v>2025</v>
      </c>
      <c r="B517" s="28" t="s">
        <v>68</v>
      </c>
      <c r="C517" s="29" t="n">
        <v>45833</v>
      </c>
      <c r="D517" s="30" t="s">
        <v>127</v>
      </c>
      <c r="E517" s="28" t="s">
        <v>657</v>
      </c>
      <c r="F517" s="30" t="s">
        <v>658</v>
      </c>
      <c r="G517" s="31" t="n">
        <v>35185</v>
      </c>
      <c r="H517" s="31" t="n">
        <v>2</v>
      </c>
      <c r="I517" s="31" t="n">
        <v>70370</v>
      </c>
      <c r="J517" s="29" t="n">
        <v>45835</v>
      </c>
      <c r="K517" s="31" t="n">
        <v>33466</v>
      </c>
      <c r="L517" s="30" t="s">
        <v>32</v>
      </c>
      <c r="M517" s="10" t="n">
        <v>2</v>
      </c>
      <c r="N517" s="12" t="n">
        <v>-3558</v>
      </c>
      <c r="O517" s="13" t="n">
        <v>-0.0505652952310846</v>
      </c>
      <c r="P517" s="15" t="n">
        <v>0.00468521521153109</v>
      </c>
      <c r="Q517" s="13" t="n">
        <v>-0.0677885414727518</v>
      </c>
      <c r="R517" s="15" t="n">
        <v>0.0508221225710015</v>
      </c>
      <c r="S517" s="32" t="n">
        <v>29989312150</v>
      </c>
      <c r="T517" s="15" t="n">
        <v>0.0399408284023668</v>
      </c>
      <c r="U517" s="32" t="n">
        <v>12044723280</v>
      </c>
      <c r="V517" s="14" t="n">
        <v>2.33066865755877</v>
      </c>
      <c r="W517" s="13" t="n">
        <v>0.0555555555555556</v>
      </c>
      <c r="X517" s="15" t="n">
        <v>0.0156472261735419</v>
      </c>
      <c r="Y517" s="13" t="n">
        <v>0.00148535268265659</v>
      </c>
      <c r="Z517" s="13" t="n">
        <v>0.045777692543209</v>
      </c>
      <c r="AA517" s="30" t="s">
        <v>97</v>
      </c>
      <c r="AB517" s="28" t="s">
        <v>93</v>
      </c>
      <c r="AC517" s="28" t="s">
        <v>101</v>
      </c>
      <c r="AD517" s="28" t="s">
        <v>106</v>
      </c>
      <c r="AE517" s="28" t="s">
        <v>113</v>
      </c>
      <c r="AF517" s="28" t="s">
        <v>117</v>
      </c>
      <c r="AG517" s="30" t="s">
        <v>122</v>
      </c>
    </row>
    <row r="518" customFormat="false" ht="15" hidden="false" customHeight="false" outlineLevel="0" collapsed="false">
      <c r="A518" s="10" t="n">
        <v>2025</v>
      </c>
      <c r="B518" s="28" t="s">
        <v>68</v>
      </c>
      <c r="C518" s="29" t="n">
        <v>45833</v>
      </c>
      <c r="D518" s="30" t="s">
        <v>127</v>
      </c>
      <c r="E518" s="28" t="s">
        <v>211</v>
      </c>
      <c r="F518" s="30" t="s">
        <v>212</v>
      </c>
      <c r="G518" s="31" t="n">
        <v>40290</v>
      </c>
      <c r="H518" s="31" t="n">
        <v>2</v>
      </c>
      <c r="I518" s="31" t="n">
        <v>80580</v>
      </c>
      <c r="J518" s="29" t="n">
        <v>45862</v>
      </c>
      <c r="K518" s="31" t="n">
        <v>48350</v>
      </c>
      <c r="L518" s="30" t="s">
        <v>31</v>
      </c>
      <c r="M518" s="10" t="n">
        <v>21</v>
      </c>
      <c r="N518" s="12" t="n">
        <v>15948</v>
      </c>
      <c r="O518" s="13" t="n">
        <v>0.197912124211193</v>
      </c>
      <c r="P518" s="15" t="n">
        <v>0.203765178920459</v>
      </c>
      <c r="Q518" s="13" t="n">
        <v>-0.024577906565484</v>
      </c>
      <c r="R518" s="15" t="n">
        <v>0.0215736040609138</v>
      </c>
      <c r="S518" s="32" t="n">
        <v>20824504750</v>
      </c>
      <c r="T518" s="15" t="n">
        <v>0.00499375780274658</v>
      </c>
      <c r="U518" s="32" t="n">
        <v>16950542045</v>
      </c>
      <c r="V518" s="14" t="n">
        <v>1.18735809330181</v>
      </c>
      <c r="W518" s="13" t="n">
        <v>0.00877192982456143</v>
      </c>
      <c r="X518" s="15" t="n">
        <v>0.0186335403726707</v>
      </c>
      <c r="Y518" s="13" t="n">
        <v>0.00148535268265659</v>
      </c>
      <c r="Z518" s="13" t="n">
        <v>0.045777692543209</v>
      </c>
      <c r="AA518" s="30" t="s">
        <v>97</v>
      </c>
      <c r="AB518" s="28" t="s">
        <v>93</v>
      </c>
      <c r="AC518" s="28" t="s">
        <v>99</v>
      </c>
      <c r="AD518" s="28" t="s">
        <v>106</v>
      </c>
      <c r="AE518" s="28" t="s">
        <v>112</v>
      </c>
      <c r="AF518" s="28" t="s">
        <v>116</v>
      </c>
      <c r="AG518" s="30" t="s">
        <v>122</v>
      </c>
    </row>
    <row r="519" customFormat="false" ht="15" hidden="false" customHeight="false" outlineLevel="0" collapsed="false">
      <c r="A519" s="10" t="n">
        <v>2025</v>
      </c>
      <c r="B519" s="28" t="s">
        <v>68</v>
      </c>
      <c r="C519" s="29" t="n">
        <v>45834</v>
      </c>
      <c r="D519" s="30" t="s">
        <v>128</v>
      </c>
      <c r="E519" s="28" t="s">
        <v>235</v>
      </c>
      <c r="F519" s="30" t="s">
        <v>236</v>
      </c>
      <c r="G519" s="31" t="n">
        <v>32733</v>
      </c>
      <c r="H519" s="31" t="n">
        <v>3</v>
      </c>
      <c r="I519" s="31" t="n">
        <v>98198</v>
      </c>
      <c r="J519" s="29" t="n">
        <v>45838</v>
      </c>
      <c r="K519" s="31" t="n">
        <v>31119</v>
      </c>
      <c r="L519" s="30" t="s">
        <v>32</v>
      </c>
      <c r="M519" s="10" t="n">
        <v>2</v>
      </c>
      <c r="N519" s="12" t="n">
        <v>-5010</v>
      </c>
      <c r="O519" s="13" t="n">
        <v>-0.0510225556553539</v>
      </c>
      <c r="P519" s="15" t="n">
        <v>0.00358357239091189</v>
      </c>
      <c r="Q519" s="13" t="n">
        <v>-0.0559898816779549</v>
      </c>
      <c r="R519" s="15" t="n">
        <v>0.0186915887850467</v>
      </c>
      <c r="S519" s="32" t="n">
        <v>29621196900</v>
      </c>
      <c r="T519" s="15" t="n">
        <v>0.00306748466257667</v>
      </c>
      <c r="U519" s="32" t="n">
        <v>15684846365</v>
      </c>
      <c r="V519" s="14" t="n">
        <v>1.82889290891544</v>
      </c>
      <c r="W519" s="13" t="n">
        <v>0</v>
      </c>
      <c r="X519" s="15" t="n">
        <v>0.0229357798165137</v>
      </c>
      <c r="Y519" s="13" t="n">
        <v>-0.00923027427008771</v>
      </c>
      <c r="Z519" s="13" t="n">
        <v>0.0341937173829818</v>
      </c>
      <c r="AA519" s="30" t="s">
        <v>97</v>
      </c>
      <c r="AB519" s="28" t="s">
        <v>93</v>
      </c>
      <c r="AC519" s="28" t="s">
        <v>99</v>
      </c>
      <c r="AD519" s="28" t="s">
        <v>106</v>
      </c>
      <c r="AE519" s="28" t="s">
        <v>112</v>
      </c>
      <c r="AF519" s="28" t="s">
        <v>116</v>
      </c>
      <c r="AG519" s="30" t="s">
        <v>123</v>
      </c>
    </row>
    <row r="520" customFormat="false" ht="15" hidden="false" customHeight="false" outlineLevel="0" collapsed="false">
      <c r="A520" s="10" t="n">
        <v>2025</v>
      </c>
      <c r="B520" s="28" t="s">
        <v>68</v>
      </c>
      <c r="C520" s="29" t="n">
        <v>45834</v>
      </c>
      <c r="D520" s="30" t="s">
        <v>128</v>
      </c>
      <c r="E520" s="28" t="s">
        <v>1191</v>
      </c>
      <c r="F520" s="30" t="s">
        <v>1192</v>
      </c>
      <c r="G520" s="31" t="n">
        <v>13023</v>
      </c>
      <c r="H520" s="31" t="n">
        <v>7</v>
      </c>
      <c r="I520" s="31" t="n">
        <v>91161</v>
      </c>
      <c r="J520" s="29" t="n">
        <v>45838</v>
      </c>
      <c r="K520" s="31" t="n">
        <v>12398</v>
      </c>
      <c r="L520" s="30" t="s">
        <v>32</v>
      </c>
      <c r="M520" s="10" t="n">
        <v>2</v>
      </c>
      <c r="N520" s="12" t="n">
        <v>-4535</v>
      </c>
      <c r="O520" s="13" t="n">
        <v>-0.0497449879098611</v>
      </c>
      <c r="P520" s="15" t="n">
        <v>0.0412339390048846</v>
      </c>
      <c r="Q520" s="13" t="n">
        <v>-0.0777861646424289</v>
      </c>
      <c r="R520" s="15" t="n">
        <v>0.0769867549668875</v>
      </c>
      <c r="S520" s="32" t="n">
        <v>22084631120</v>
      </c>
      <c r="T520" s="15" t="n">
        <v>0.0366533864541834</v>
      </c>
      <c r="U520" s="32" t="n">
        <v>3120234122.5</v>
      </c>
      <c r="V520" s="14" t="n">
        <v>6.56453393975405</v>
      </c>
      <c r="W520" s="13" t="n">
        <v>0.0408</v>
      </c>
      <c r="X520" s="15" t="n">
        <v>0.0261337432744042</v>
      </c>
      <c r="Y520" s="13" t="n">
        <v>-0.00923027427008771</v>
      </c>
      <c r="Z520" s="13" t="n">
        <v>0.0341937173829818</v>
      </c>
      <c r="AA520" s="30" t="s">
        <v>97</v>
      </c>
      <c r="AB520" s="28" t="s">
        <v>93</v>
      </c>
      <c r="AC520" s="28" t="s">
        <v>101</v>
      </c>
      <c r="AD520" s="28" t="s">
        <v>106</v>
      </c>
      <c r="AE520" s="28" t="s">
        <v>113</v>
      </c>
      <c r="AF520" s="28" t="s">
        <v>119</v>
      </c>
      <c r="AG520" s="30" t="s">
        <v>122</v>
      </c>
    </row>
    <row r="521" customFormat="false" ht="15" hidden="false" customHeight="false" outlineLevel="0" collapsed="false">
      <c r="A521" s="10" t="n">
        <v>2025</v>
      </c>
      <c r="B521" s="28" t="s">
        <v>69</v>
      </c>
      <c r="C521" s="29" t="n">
        <v>45856</v>
      </c>
      <c r="D521" s="30" t="s">
        <v>129</v>
      </c>
      <c r="E521" s="28" t="s">
        <v>661</v>
      </c>
      <c r="F521" s="30" t="s">
        <v>662</v>
      </c>
      <c r="G521" s="31" t="n">
        <v>77377</v>
      </c>
      <c r="H521" s="31" t="n">
        <v>1</v>
      </c>
      <c r="I521" s="31" t="n">
        <v>77377</v>
      </c>
      <c r="J521" s="29" t="n">
        <v>45869</v>
      </c>
      <c r="K521" s="31" t="n">
        <v>73626</v>
      </c>
      <c r="L521" s="30" t="s">
        <v>32</v>
      </c>
      <c r="M521" s="10" t="n">
        <v>9</v>
      </c>
      <c r="N521" s="12" t="n">
        <v>-3884</v>
      </c>
      <c r="O521" s="13" t="n">
        <v>-0.0501967630041366</v>
      </c>
      <c r="P521" s="15" t="n">
        <v>0.0364796910721881</v>
      </c>
      <c r="Q521" s="13" t="n">
        <v>-0.0565708547597291</v>
      </c>
      <c r="R521" s="15" t="n">
        <v>0.104285714285714</v>
      </c>
      <c r="S521" s="32" t="n">
        <v>56708671400</v>
      </c>
      <c r="T521" s="15" t="n">
        <v>0.0445945945945947</v>
      </c>
      <c r="U521" s="32" t="n">
        <v>10774292245</v>
      </c>
      <c r="V521" s="14" t="n">
        <v>4.82292172739985</v>
      </c>
      <c r="W521" s="13" t="n">
        <v>0.0721220527045769</v>
      </c>
      <c r="X521" s="15" t="n">
        <v>0.00776196636481252</v>
      </c>
      <c r="Y521" s="13" t="n">
        <v>-0.00132193503723022</v>
      </c>
      <c r="Z521" s="13" t="n">
        <v>0.00387307645075063</v>
      </c>
      <c r="AA521" s="30" t="s">
        <v>97</v>
      </c>
      <c r="AB521" s="28" t="s">
        <v>93</v>
      </c>
      <c r="AC521" s="28" t="s">
        <v>102</v>
      </c>
      <c r="AD521" s="28" t="s">
        <v>108</v>
      </c>
      <c r="AE521" s="28" t="s">
        <v>113</v>
      </c>
      <c r="AF521" s="28" t="s">
        <v>118</v>
      </c>
      <c r="AG521" s="30" t="s">
        <v>122</v>
      </c>
    </row>
    <row r="522" customFormat="false" ht="15" hidden="false" customHeight="false" outlineLevel="0" collapsed="false">
      <c r="A522" s="10" t="n">
        <v>2025</v>
      </c>
      <c r="B522" s="28" t="s">
        <v>69</v>
      </c>
      <c r="C522" s="29" t="n">
        <v>45856</v>
      </c>
      <c r="D522" s="30" t="s">
        <v>129</v>
      </c>
      <c r="E522" s="28" t="s">
        <v>759</v>
      </c>
      <c r="F522" s="30" t="s">
        <v>760</v>
      </c>
      <c r="G522" s="31" t="n">
        <v>42042</v>
      </c>
      <c r="H522" s="31" t="n">
        <v>2</v>
      </c>
      <c r="I522" s="31" t="n">
        <v>84084</v>
      </c>
      <c r="J522" s="29" t="n">
        <v>45874</v>
      </c>
      <c r="K522" s="31" t="n">
        <v>50500</v>
      </c>
      <c r="L522" s="30" t="s">
        <v>31</v>
      </c>
      <c r="M522" s="10" t="n">
        <v>12</v>
      </c>
      <c r="N522" s="12" t="n">
        <v>16737</v>
      </c>
      <c r="O522" s="13" t="n">
        <v>0.199047825983541</v>
      </c>
      <c r="P522" s="15" t="n">
        <v>0.236858379715523</v>
      </c>
      <c r="Q522" s="13" t="n">
        <v>-0.0414347557204698</v>
      </c>
      <c r="R522" s="15" t="n">
        <v>0.0980392156862746</v>
      </c>
      <c r="S522" s="32" t="n">
        <v>54222252000</v>
      </c>
      <c r="T522" s="15" t="n">
        <v>0.0281517747858018</v>
      </c>
      <c r="U522" s="32" t="n">
        <v>13756505685</v>
      </c>
      <c r="V522" s="14" t="n">
        <v>3.60885453923863</v>
      </c>
      <c r="W522" s="13" t="n">
        <v>0.0579345088161209</v>
      </c>
      <c r="X522" s="15" t="n">
        <v>0.0119047619047619</v>
      </c>
      <c r="Y522" s="13" t="n">
        <v>-0.00132193503723022</v>
      </c>
      <c r="Z522" s="13" t="n">
        <v>0.00387307645075063</v>
      </c>
      <c r="AA522" s="30" t="s">
        <v>97</v>
      </c>
      <c r="AB522" s="28" t="s">
        <v>93</v>
      </c>
      <c r="AC522" s="28" t="s">
        <v>101</v>
      </c>
      <c r="AD522" s="28" t="s">
        <v>108</v>
      </c>
      <c r="AE522" s="28" t="s">
        <v>113</v>
      </c>
      <c r="AF522" s="28" t="s">
        <v>118</v>
      </c>
      <c r="AG522" s="30" t="s">
        <v>122</v>
      </c>
    </row>
    <row r="523" customFormat="false" ht="15" hidden="false" customHeight="false" outlineLevel="0" collapsed="false">
      <c r="A523" s="10" t="n">
        <v>2025</v>
      </c>
      <c r="B523" s="28" t="s">
        <v>69</v>
      </c>
      <c r="C523" s="29" t="n">
        <v>45859</v>
      </c>
      <c r="D523" s="30" t="s">
        <v>125</v>
      </c>
      <c r="E523" s="28" t="s">
        <v>681</v>
      </c>
      <c r="F523" s="30" t="s">
        <v>682</v>
      </c>
      <c r="G523" s="31" t="n">
        <v>53453</v>
      </c>
      <c r="H523" s="31" t="n">
        <v>1</v>
      </c>
      <c r="I523" s="31" t="n">
        <v>53453</v>
      </c>
      <c r="J523" s="29" t="n">
        <v>45869</v>
      </c>
      <c r="K523" s="31" t="n">
        <v>50849</v>
      </c>
      <c r="L523" s="30" t="s">
        <v>32</v>
      </c>
      <c r="M523" s="10" t="n">
        <v>8</v>
      </c>
      <c r="N523" s="12" t="n">
        <v>-2696</v>
      </c>
      <c r="O523" s="13" t="n">
        <v>-0.050440552425103</v>
      </c>
      <c r="P523" s="15" t="n">
        <v>0.0757033228943342</v>
      </c>
      <c r="Q523" s="13" t="n">
        <v>-0.100150785544044</v>
      </c>
      <c r="R523" s="15" t="n">
        <v>0.0328820116054158</v>
      </c>
      <c r="S523" s="32" t="n">
        <v>37305293400</v>
      </c>
      <c r="T523" s="15" t="n">
        <v>0.0190839694656488</v>
      </c>
      <c r="U523" s="32" t="n">
        <v>24904886197.5</v>
      </c>
      <c r="V523" s="14" t="n">
        <v>1.41711386694444</v>
      </c>
      <c r="W523" s="13" t="n">
        <v>0.0269230769230768</v>
      </c>
      <c r="X523" s="15" t="n">
        <v>0.00936329588014973</v>
      </c>
      <c r="Y523" s="13" t="n">
        <v>0.0071328421270549</v>
      </c>
      <c r="Z523" s="13" t="n">
        <v>0.00274201053706547</v>
      </c>
      <c r="AA523" s="30" t="s">
        <v>97</v>
      </c>
      <c r="AB523" s="28" t="s">
        <v>93</v>
      </c>
      <c r="AC523" s="28" t="s">
        <v>100</v>
      </c>
      <c r="AD523" s="28" t="s">
        <v>107</v>
      </c>
      <c r="AE523" s="28" t="s">
        <v>112</v>
      </c>
      <c r="AF523" s="28" t="s">
        <v>116</v>
      </c>
      <c r="AG523" s="30" t="s">
        <v>122</v>
      </c>
    </row>
    <row r="524" customFormat="false" ht="15" hidden="false" customHeight="false" outlineLevel="0" collapsed="false">
      <c r="A524" s="10" t="n">
        <v>2025</v>
      </c>
      <c r="B524" s="28" t="s">
        <v>69</v>
      </c>
      <c r="C524" s="29" t="n">
        <v>45859</v>
      </c>
      <c r="D524" s="30" t="s">
        <v>125</v>
      </c>
      <c r="E524" s="28" t="s">
        <v>485</v>
      </c>
      <c r="F524" s="28" t="s">
        <v>486</v>
      </c>
      <c r="G524" s="31" t="n">
        <v>76276</v>
      </c>
      <c r="H524" s="31" t="n">
        <v>1</v>
      </c>
      <c r="I524" s="31" t="n">
        <v>76276</v>
      </c>
      <c r="J524" s="29" t="n">
        <v>45862</v>
      </c>
      <c r="K524" s="31" t="n">
        <v>72527</v>
      </c>
      <c r="L524" s="30" t="s">
        <v>32</v>
      </c>
      <c r="M524" s="10" t="n">
        <v>3</v>
      </c>
      <c r="N524" s="12" t="n">
        <v>-3880</v>
      </c>
      <c r="O524" s="13" t="n">
        <v>-0.0508666089815697</v>
      </c>
      <c r="P524" s="15" t="n">
        <v>0.00293407380021549</v>
      </c>
      <c r="Q524" s="13" t="n">
        <v>-0.0717943473848985</v>
      </c>
      <c r="R524" s="15" t="n">
        <v>0.014647137150466</v>
      </c>
      <c r="S524" s="32" t="n">
        <v>36432972600</v>
      </c>
      <c r="T524" s="15" t="n">
        <v>0.00263157894736832</v>
      </c>
      <c r="U524" s="32" t="n">
        <v>27507001825</v>
      </c>
      <c r="V524" s="14" t="n">
        <v>1.28194743678481</v>
      </c>
      <c r="W524" s="13" t="n">
        <v>0.0119521912350598</v>
      </c>
      <c r="X524" s="15" t="n">
        <v>0.0131233595800524</v>
      </c>
      <c r="Y524" s="13" t="n">
        <v>0.0071328421270549</v>
      </c>
      <c r="Z524" s="13" t="n">
        <v>0.00274201053706547</v>
      </c>
      <c r="AA524" s="30" t="s">
        <v>97</v>
      </c>
      <c r="AB524" s="28" t="s">
        <v>93</v>
      </c>
      <c r="AC524" s="28" t="s">
        <v>99</v>
      </c>
      <c r="AD524" s="28" t="s">
        <v>107</v>
      </c>
      <c r="AE524" s="28" t="s">
        <v>112</v>
      </c>
      <c r="AF524" s="28" t="s">
        <v>116</v>
      </c>
      <c r="AG524" s="30" t="s">
        <v>122</v>
      </c>
    </row>
    <row r="525" customFormat="false" ht="15" hidden="false" customHeight="false" outlineLevel="0" collapsed="false">
      <c r="A525" s="10" t="n">
        <v>2025</v>
      </c>
      <c r="B525" s="28" t="s">
        <v>69</v>
      </c>
      <c r="C525" s="29" t="n">
        <v>45860</v>
      </c>
      <c r="D525" s="30" t="s">
        <v>126</v>
      </c>
      <c r="E525" s="28" t="s">
        <v>489</v>
      </c>
      <c r="F525" s="30" t="s">
        <v>490</v>
      </c>
      <c r="G525" s="31" t="n">
        <v>30881</v>
      </c>
      <c r="H525" s="31" t="n">
        <v>3</v>
      </c>
      <c r="I525" s="31" t="n">
        <v>92643</v>
      </c>
      <c r="J525" s="29" t="n">
        <v>45874</v>
      </c>
      <c r="K525" s="31" t="n">
        <v>37100</v>
      </c>
      <c r="L525" s="30" t="s">
        <v>31</v>
      </c>
      <c r="M525" s="10" t="n">
        <v>10</v>
      </c>
      <c r="N525" s="12" t="n">
        <v>18460</v>
      </c>
      <c r="O525" s="13" t="n">
        <v>0.199259504595891</v>
      </c>
      <c r="P525" s="15" t="n">
        <v>0.274252489811647</v>
      </c>
      <c r="Q525" s="13" t="n">
        <v>-0.0350006557461985</v>
      </c>
      <c r="R525" s="15" t="n">
        <v>0.0656303972366148</v>
      </c>
      <c r="S525" s="32" t="n">
        <v>94665446200</v>
      </c>
      <c r="T525" s="15" t="n">
        <v>0.033500837520938</v>
      </c>
      <c r="U525" s="32" t="n">
        <v>17888798892.5</v>
      </c>
      <c r="V525" s="14" t="n">
        <v>4.69049461507626</v>
      </c>
      <c r="W525" s="13" t="n">
        <v>0.0656303972366148</v>
      </c>
      <c r="X525" s="15" t="n">
        <v>0.0145867098865478</v>
      </c>
      <c r="Y525" s="13" t="n">
        <v>-0.0127288752682344</v>
      </c>
      <c r="Z525" s="13" t="n">
        <v>-0.0141014157398423</v>
      </c>
      <c r="AA525" s="30" t="s">
        <v>97</v>
      </c>
      <c r="AB525" s="28" t="s">
        <v>94</v>
      </c>
      <c r="AC525" s="28" t="s">
        <v>101</v>
      </c>
      <c r="AD525" s="28" t="s">
        <v>108</v>
      </c>
      <c r="AE525" s="28" t="s">
        <v>113</v>
      </c>
      <c r="AF525" s="28" t="s">
        <v>118</v>
      </c>
      <c r="AG525" s="30" t="s">
        <v>122</v>
      </c>
    </row>
    <row r="526" customFormat="false" ht="15" hidden="false" customHeight="false" outlineLevel="0" collapsed="false">
      <c r="A526" s="10" t="n">
        <v>2025</v>
      </c>
      <c r="B526" s="28" t="s">
        <v>69</v>
      </c>
      <c r="C526" s="29" t="n">
        <v>45860</v>
      </c>
      <c r="D526" s="30" t="s">
        <v>126</v>
      </c>
      <c r="E526" s="28" t="s">
        <v>843</v>
      </c>
      <c r="F526" s="28" t="s">
        <v>844</v>
      </c>
      <c r="G526" s="31" t="n">
        <v>47347</v>
      </c>
      <c r="H526" s="31" t="n">
        <v>2</v>
      </c>
      <c r="I526" s="31" t="n">
        <v>94695</v>
      </c>
      <c r="J526" s="29" t="n">
        <v>45868</v>
      </c>
      <c r="K526" s="31" t="n">
        <v>45055</v>
      </c>
      <c r="L526" s="30" t="s">
        <v>32</v>
      </c>
      <c r="M526" s="10" t="n">
        <v>6</v>
      </c>
      <c r="N526" s="12" t="n">
        <v>-4748</v>
      </c>
      <c r="O526" s="13" t="n">
        <v>-0.050136812025184</v>
      </c>
      <c r="P526" s="15" t="n">
        <v>0.142620592937718</v>
      </c>
      <c r="Q526" s="13" t="n">
        <v>-0.0548563487252705</v>
      </c>
      <c r="R526" s="15" t="n">
        <v>0.0182992465016147</v>
      </c>
      <c r="S526" s="32" t="n">
        <v>21343037100</v>
      </c>
      <c r="T526" s="15" t="n">
        <v>0.0161117078410311</v>
      </c>
      <c r="U526" s="32" t="n">
        <v>6662758715</v>
      </c>
      <c r="V526" s="14" t="n">
        <v>3.06431831146606</v>
      </c>
      <c r="W526" s="13" t="n">
        <v>0.0139335476956055</v>
      </c>
      <c r="X526" s="15" t="n">
        <v>0.0486257928118394</v>
      </c>
      <c r="Y526" s="13" t="n">
        <v>-0.0127288752682344</v>
      </c>
      <c r="Z526" s="13" t="n">
        <v>-0.0141014157398423</v>
      </c>
      <c r="AA526" s="30" t="s">
        <v>97</v>
      </c>
      <c r="AB526" s="28" t="s">
        <v>94</v>
      </c>
      <c r="AC526" s="28" t="s">
        <v>99</v>
      </c>
      <c r="AD526" s="28" t="s">
        <v>106</v>
      </c>
      <c r="AE526" s="28" t="s">
        <v>112</v>
      </c>
      <c r="AF526" s="28" t="s">
        <v>118</v>
      </c>
      <c r="AG526" s="30" t="s">
        <v>122</v>
      </c>
    </row>
    <row r="527" customFormat="false" ht="15" hidden="false" customHeight="false" outlineLevel="0" collapsed="false">
      <c r="A527" s="10" t="n">
        <v>2025</v>
      </c>
      <c r="B527" s="28" t="s">
        <v>69</v>
      </c>
      <c r="C527" s="29" t="n">
        <v>45860</v>
      </c>
      <c r="D527" s="30" t="s">
        <v>126</v>
      </c>
      <c r="E527" s="28" t="s">
        <v>369</v>
      </c>
      <c r="F527" s="28" t="s">
        <v>370</v>
      </c>
      <c r="G527" s="31" t="n">
        <v>36987</v>
      </c>
      <c r="H527" s="31" t="n">
        <v>2</v>
      </c>
      <c r="I527" s="31" t="n">
        <v>73974</v>
      </c>
      <c r="J527" s="29" t="n">
        <v>45863</v>
      </c>
      <c r="K527" s="31" t="n">
        <v>35165</v>
      </c>
      <c r="L527" s="30" t="s">
        <v>32</v>
      </c>
      <c r="M527" s="10" t="n">
        <v>3</v>
      </c>
      <c r="N527" s="12" t="n">
        <v>-3771</v>
      </c>
      <c r="O527" s="13" t="n">
        <v>-0.0509833863700575</v>
      </c>
      <c r="P527" s="15" t="n">
        <v>0.0719997188197459</v>
      </c>
      <c r="Q527" s="13" t="n">
        <v>-0.0483129860667072</v>
      </c>
      <c r="R527" s="15" t="n">
        <v>0.0408450704225352</v>
      </c>
      <c r="S527" s="32" t="n">
        <v>20826534950</v>
      </c>
      <c r="T527" s="15" t="n">
        <v>0.0379213483146068</v>
      </c>
      <c r="U527" s="32" t="n">
        <v>4475761075</v>
      </c>
      <c r="V527" s="14" t="n">
        <v>4.28699316230215</v>
      </c>
      <c r="W527" s="13" t="n">
        <v>0.0408450704225352</v>
      </c>
      <c r="X527" s="15" t="n">
        <v>0.0257104194857916</v>
      </c>
      <c r="Y527" s="13" t="n">
        <v>-0.0127288752682344</v>
      </c>
      <c r="Z527" s="13" t="n">
        <v>-0.0141014157398423</v>
      </c>
      <c r="AA527" s="30" t="s">
        <v>97</v>
      </c>
      <c r="AB527" s="28" t="s">
        <v>94</v>
      </c>
      <c r="AC527" s="28" t="s">
        <v>100</v>
      </c>
      <c r="AD527" s="28" t="s">
        <v>106</v>
      </c>
      <c r="AE527" s="28" t="s">
        <v>113</v>
      </c>
      <c r="AF527" s="28" t="s">
        <v>118</v>
      </c>
      <c r="AG527" s="30" t="s">
        <v>122</v>
      </c>
    </row>
    <row r="528" customFormat="false" ht="15" hidden="false" customHeight="false" outlineLevel="0" collapsed="false">
      <c r="A528" s="10" t="n">
        <v>2025</v>
      </c>
      <c r="B528" s="28" t="s">
        <v>69</v>
      </c>
      <c r="C528" s="29" t="n">
        <v>45862</v>
      </c>
      <c r="D528" s="30" t="s">
        <v>128</v>
      </c>
      <c r="E528" s="28" t="s">
        <v>1425</v>
      </c>
      <c r="F528" s="30" t="s">
        <v>1426</v>
      </c>
      <c r="G528" s="31" t="n">
        <v>33984</v>
      </c>
      <c r="H528" s="31" t="n">
        <v>2</v>
      </c>
      <c r="I528" s="31" t="n">
        <v>67968</v>
      </c>
      <c r="J528" s="29" t="n">
        <v>45863</v>
      </c>
      <c r="K528" s="31" t="n">
        <v>32318</v>
      </c>
      <c r="L528" s="30" t="s">
        <v>32</v>
      </c>
      <c r="M528" s="10" t="n">
        <v>1</v>
      </c>
      <c r="N528" s="12" t="n">
        <v>-3449</v>
      </c>
      <c r="O528" s="13" t="n">
        <v>-0.0507510667535703</v>
      </c>
      <c r="P528" s="15" t="n">
        <v>-0.0127692631374515</v>
      </c>
      <c r="Q528" s="13" t="n">
        <v>-0.0848621187354618</v>
      </c>
      <c r="R528" s="15" t="n">
        <v>0.0864</v>
      </c>
      <c r="S528" s="32" t="n">
        <v>23800036400</v>
      </c>
      <c r="T528" s="15" t="n">
        <v>0.0609375000000001</v>
      </c>
      <c r="U528" s="32" t="n">
        <v>5150249390</v>
      </c>
      <c r="V528" s="14" t="n">
        <v>4.08626343713096</v>
      </c>
      <c r="W528" s="13" t="n">
        <v>0.0916398713826367</v>
      </c>
      <c r="X528" s="15" t="n">
        <v>0.0338733431516938</v>
      </c>
      <c r="Y528" s="13" t="n">
        <v>0.00209814151147847</v>
      </c>
      <c r="Z528" s="13" t="n">
        <v>-0.000576388736612365</v>
      </c>
      <c r="AA528" s="30" t="s">
        <v>97</v>
      </c>
      <c r="AB528" s="28" t="s">
        <v>94</v>
      </c>
      <c r="AC528" s="28" t="s">
        <v>101</v>
      </c>
      <c r="AD528" s="28" t="s">
        <v>106</v>
      </c>
      <c r="AE528" s="28" t="s">
        <v>101</v>
      </c>
      <c r="AF528" s="28" t="s">
        <v>118</v>
      </c>
      <c r="AG528" s="30" t="s">
        <v>122</v>
      </c>
    </row>
    <row r="529" customFormat="false" ht="15" hidden="false" customHeight="false" outlineLevel="0" collapsed="false">
      <c r="A529" s="10" t="n">
        <v>2025</v>
      </c>
      <c r="B529" s="28" t="s">
        <v>69</v>
      </c>
      <c r="C529" s="29" t="n">
        <v>45863</v>
      </c>
      <c r="D529" s="30" t="s">
        <v>129</v>
      </c>
      <c r="E529" s="28" t="s">
        <v>397</v>
      </c>
      <c r="F529" s="30" t="s">
        <v>398</v>
      </c>
      <c r="G529" s="31" t="n">
        <v>92893</v>
      </c>
      <c r="H529" s="31" t="n">
        <v>1</v>
      </c>
      <c r="I529" s="31" t="n">
        <v>92893</v>
      </c>
      <c r="J529" s="29" t="n">
        <v>45881</v>
      </c>
      <c r="K529" s="31" t="n">
        <v>88412</v>
      </c>
      <c r="L529" s="30" t="s">
        <v>32</v>
      </c>
      <c r="M529" s="10" t="n">
        <v>12</v>
      </c>
      <c r="N529" s="12" t="n">
        <v>-4641</v>
      </c>
      <c r="O529" s="13" t="n">
        <v>-0.0499620303726446</v>
      </c>
      <c r="P529" s="15" t="n">
        <v>0.123876123876124</v>
      </c>
      <c r="Q529" s="13" t="n">
        <v>-0.0515949567673705</v>
      </c>
      <c r="R529" s="15" t="n">
        <v>0.0021598272138228</v>
      </c>
      <c r="S529" s="32" t="n">
        <v>26979187200</v>
      </c>
      <c r="T529" s="15" t="n">
        <v>0.0021598272138228</v>
      </c>
      <c r="U529" s="32" t="n">
        <v>46565838820</v>
      </c>
      <c r="V529" s="14" t="n">
        <v>0.553380012391491</v>
      </c>
      <c r="W529" s="13" t="n">
        <v>0.00432900432900429</v>
      </c>
      <c r="X529" s="15" t="n">
        <v>0.00215517241379315</v>
      </c>
      <c r="Y529" s="13" t="n">
        <v>0.0017552382892696</v>
      </c>
      <c r="Z529" s="13" t="n">
        <v>0.00250308180184256</v>
      </c>
      <c r="AA529" s="30" t="s">
        <v>97</v>
      </c>
      <c r="AB529" s="28" t="s">
        <v>93</v>
      </c>
      <c r="AC529" s="28" t="s">
        <v>99</v>
      </c>
      <c r="AD529" s="28" t="s">
        <v>106</v>
      </c>
      <c r="AE529" s="28" t="s">
        <v>112</v>
      </c>
      <c r="AF529" s="28" t="s">
        <v>116</v>
      </c>
      <c r="AG529" s="30" t="s">
        <v>122</v>
      </c>
    </row>
    <row r="530" customFormat="false" ht="15" hidden="false" customHeight="false" outlineLevel="0" collapsed="false">
      <c r="A530" s="10" t="n">
        <v>2025</v>
      </c>
      <c r="B530" s="28" t="s">
        <v>69</v>
      </c>
      <c r="C530" s="29" t="n">
        <v>45867</v>
      </c>
      <c r="D530" s="30" t="s">
        <v>126</v>
      </c>
      <c r="E530" s="28" t="s">
        <v>301</v>
      </c>
      <c r="F530" s="28" t="s">
        <v>302</v>
      </c>
      <c r="G530" s="31" t="n">
        <v>60861</v>
      </c>
      <c r="H530" s="31" t="n">
        <v>1</v>
      </c>
      <c r="I530" s="31" t="n">
        <v>60861</v>
      </c>
      <c r="J530" s="29" t="n">
        <v>45870</v>
      </c>
      <c r="K530" s="31" t="n">
        <v>57942</v>
      </c>
      <c r="L530" s="30" t="s">
        <v>32</v>
      </c>
      <c r="M530" s="10" t="n">
        <v>3</v>
      </c>
      <c r="N530" s="12" t="n">
        <v>-3024</v>
      </c>
      <c r="O530" s="13" t="n">
        <v>-0.0496794886035018</v>
      </c>
      <c r="P530" s="15" t="n">
        <v>0.0400783427099218</v>
      </c>
      <c r="Q530" s="13" t="n">
        <v>-0.053578000946422</v>
      </c>
      <c r="R530" s="15" t="n">
        <v>0.0410958904109589</v>
      </c>
      <c r="S530" s="32" t="n">
        <v>69841872000</v>
      </c>
      <c r="T530" s="15" t="n">
        <v>0.0287648054145515</v>
      </c>
      <c r="U530" s="32" t="n">
        <v>53753868825</v>
      </c>
      <c r="V530" s="14" t="n">
        <v>1.19371569424152</v>
      </c>
      <c r="W530" s="13" t="n">
        <v>0.0482758620689656</v>
      </c>
      <c r="X530" s="15" t="n">
        <v>0.00328947368421062</v>
      </c>
      <c r="Y530" s="13" t="n">
        <v>0.0065586131259503</v>
      </c>
      <c r="Z530" s="13" t="n">
        <v>0.019126544981924</v>
      </c>
      <c r="AA530" s="30" t="s">
        <v>97</v>
      </c>
      <c r="AB530" s="28" t="s">
        <v>93</v>
      </c>
      <c r="AC530" s="28" t="s">
        <v>100</v>
      </c>
      <c r="AD530" s="28" t="s">
        <v>108</v>
      </c>
      <c r="AE530" s="28" t="s">
        <v>113</v>
      </c>
      <c r="AF530" s="28" t="s">
        <v>116</v>
      </c>
      <c r="AG530" s="30" t="s">
        <v>122</v>
      </c>
    </row>
    <row r="531" customFormat="false" ht="15" hidden="false" customHeight="false" outlineLevel="0" collapsed="false">
      <c r="A531" s="10" t="n">
        <v>2025</v>
      </c>
      <c r="B531" s="28" t="s">
        <v>69</v>
      </c>
      <c r="C531" s="29" t="n">
        <v>45867</v>
      </c>
      <c r="D531" s="30" t="s">
        <v>126</v>
      </c>
      <c r="E531" s="28" t="s">
        <v>1083</v>
      </c>
      <c r="F531" s="28" t="s">
        <v>1084</v>
      </c>
      <c r="G531" s="31" t="n">
        <v>30831</v>
      </c>
      <c r="H531" s="31" t="n">
        <v>3</v>
      </c>
      <c r="I531" s="31" t="n">
        <v>92492</v>
      </c>
      <c r="J531" s="29" t="n">
        <v>45868</v>
      </c>
      <c r="K531" s="31" t="n">
        <v>29321</v>
      </c>
      <c r="L531" s="30" t="s">
        <v>32</v>
      </c>
      <c r="M531" s="10" t="n">
        <v>1</v>
      </c>
      <c r="N531" s="12" t="n">
        <v>-4689</v>
      </c>
      <c r="O531" s="13" t="n">
        <v>-0.0507010422207661</v>
      </c>
      <c r="P531" s="15" t="n">
        <v>-0.00910777534154139</v>
      </c>
      <c r="Q531" s="13" t="n">
        <v>-0.0707344603448499</v>
      </c>
      <c r="R531" s="15" t="n">
        <v>0.0476190476190477</v>
      </c>
      <c r="S531" s="32" t="n">
        <v>44006639600</v>
      </c>
      <c r="T531" s="15" t="n">
        <v>0.00325732899022801</v>
      </c>
      <c r="U531" s="32" t="n">
        <v>3916374780</v>
      </c>
      <c r="V531" s="14" t="n">
        <v>10.7205444957667</v>
      </c>
      <c r="W531" s="13" t="n">
        <v>-0.12375533428165</v>
      </c>
      <c r="X531" s="15" t="n">
        <v>0.175324675324675</v>
      </c>
      <c r="Y531" s="13" t="n">
        <v>0.0065586131259503</v>
      </c>
      <c r="Z531" s="13" t="n">
        <v>0.019126544981924</v>
      </c>
      <c r="AA531" s="30" t="s">
        <v>97</v>
      </c>
      <c r="AB531" s="28" t="s">
        <v>93</v>
      </c>
      <c r="AC531" s="28" t="s">
        <v>100</v>
      </c>
      <c r="AD531" s="28" t="s">
        <v>107</v>
      </c>
      <c r="AE531" s="28" t="s">
        <v>112</v>
      </c>
      <c r="AF531" s="28" t="s">
        <v>120</v>
      </c>
      <c r="AG531" s="30" t="s">
        <v>123</v>
      </c>
    </row>
    <row r="532" customFormat="false" ht="15" hidden="false" customHeight="false" outlineLevel="0" collapsed="false">
      <c r="A532" s="10" t="n">
        <v>2025</v>
      </c>
      <c r="B532" s="28" t="s">
        <v>69</v>
      </c>
      <c r="C532" s="29" t="n">
        <v>45867</v>
      </c>
      <c r="D532" s="30" t="s">
        <v>126</v>
      </c>
      <c r="E532" s="28" t="s">
        <v>1005</v>
      </c>
      <c r="F532" s="30" t="s">
        <v>1006</v>
      </c>
      <c r="G532" s="31" t="n">
        <v>15037</v>
      </c>
      <c r="H532" s="31" t="n">
        <v>6</v>
      </c>
      <c r="I532" s="31" t="n">
        <v>90221</v>
      </c>
      <c r="J532" s="29" t="n">
        <v>45869</v>
      </c>
      <c r="K532" s="31" t="n">
        <v>14316</v>
      </c>
      <c r="L532" s="30" t="s">
        <v>32</v>
      </c>
      <c r="M532" s="10" t="n">
        <v>2</v>
      </c>
      <c r="N532" s="12" t="n">
        <v>-4482</v>
      </c>
      <c r="O532" s="13" t="n">
        <v>-0.0496830088374926</v>
      </c>
      <c r="P532" s="15" t="n">
        <v>0.0247904269643402</v>
      </c>
      <c r="Q532" s="13" t="n">
        <v>-0.0512205186118229</v>
      </c>
      <c r="R532" s="15" t="n">
        <v>0.0380818053596614</v>
      </c>
      <c r="S532" s="32" t="n">
        <v>36269196800</v>
      </c>
      <c r="T532" s="15" t="n">
        <v>0.023643949930459</v>
      </c>
      <c r="U532" s="32" t="n">
        <v>9057135665</v>
      </c>
      <c r="V532" s="14" t="n">
        <v>3.66190055632074</v>
      </c>
      <c r="W532" s="13" t="n">
        <v>0.00821917808219186</v>
      </c>
      <c r="X532" s="15" t="n">
        <v>0.00543478260869557</v>
      </c>
      <c r="Y532" s="13" t="n">
        <v>0.0065586131259503</v>
      </c>
      <c r="Z532" s="13" t="n">
        <v>0.019126544981924</v>
      </c>
      <c r="AA532" s="30" t="s">
        <v>97</v>
      </c>
      <c r="AB532" s="28" t="s">
        <v>93</v>
      </c>
      <c r="AC532" s="28" t="s">
        <v>100</v>
      </c>
      <c r="AD532" s="28" t="s">
        <v>107</v>
      </c>
      <c r="AE532" s="28" t="s">
        <v>113</v>
      </c>
      <c r="AF532" s="28" t="s">
        <v>118</v>
      </c>
      <c r="AG532" s="30" t="s">
        <v>122</v>
      </c>
    </row>
    <row r="533" customFormat="false" ht="15" hidden="false" customHeight="false" outlineLevel="0" collapsed="false">
      <c r="A533" s="10" t="n">
        <v>2025</v>
      </c>
      <c r="B533" s="28" t="s">
        <v>69</v>
      </c>
      <c r="C533" s="29" t="n">
        <v>45867</v>
      </c>
      <c r="D533" s="30" t="s">
        <v>126</v>
      </c>
      <c r="E533" s="28" t="s">
        <v>1311</v>
      </c>
      <c r="F533" s="30" t="s">
        <v>1312</v>
      </c>
      <c r="G533" s="31" t="n">
        <v>21672</v>
      </c>
      <c r="H533" s="31" t="n">
        <v>4</v>
      </c>
      <c r="I533" s="31" t="n">
        <v>86687</v>
      </c>
      <c r="J533" s="29" t="n">
        <v>45881</v>
      </c>
      <c r="K533" s="31" t="n">
        <v>26050</v>
      </c>
      <c r="L533" s="30" t="s">
        <v>31</v>
      </c>
      <c r="M533" s="10" t="n">
        <v>10</v>
      </c>
      <c r="N533" s="12" t="n">
        <v>17328</v>
      </c>
      <c r="O533" s="13" t="n">
        <v>0.199897873604456</v>
      </c>
      <c r="P533" s="15" t="n">
        <v>0.220488518409997</v>
      </c>
      <c r="Q533" s="13" t="n">
        <v>-0.0102276476410425</v>
      </c>
      <c r="R533" s="15" t="n">
        <v>0.0771144278606966</v>
      </c>
      <c r="S533" s="32" t="n">
        <v>22867487750</v>
      </c>
      <c r="T533" s="15" t="n">
        <v>0.0260663507109005</v>
      </c>
      <c r="U533" s="32" t="n">
        <v>4032974938</v>
      </c>
      <c r="V533" s="14" t="n">
        <v>5.20529609746325</v>
      </c>
      <c r="W533" s="13" t="n">
        <v>0.0458937198067633</v>
      </c>
      <c r="X533" s="15" t="n">
        <v>0.0230946882217089</v>
      </c>
      <c r="Y533" s="13" t="n">
        <v>0.0065586131259503</v>
      </c>
      <c r="Z533" s="13" t="n">
        <v>0.019126544981924</v>
      </c>
      <c r="AA533" s="30" t="s">
        <v>97</v>
      </c>
      <c r="AB533" s="28" t="s">
        <v>93</v>
      </c>
      <c r="AC533" s="28" t="s">
        <v>101</v>
      </c>
      <c r="AD533" s="28" t="s">
        <v>106</v>
      </c>
      <c r="AE533" s="28" t="s">
        <v>113</v>
      </c>
      <c r="AF533" s="28" t="s">
        <v>119</v>
      </c>
      <c r="AG533" s="30" t="s">
        <v>122</v>
      </c>
    </row>
    <row r="534" customFormat="false" ht="15" hidden="false" customHeight="false" outlineLevel="0" collapsed="false">
      <c r="A534" s="10" t="n">
        <v>2025</v>
      </c>
      <c r="B534" s="28" t="s">
        <v>70</v>
      </c>
      <c r="C534" s="29" t="n">
        <v>45877</v>
      </c>
      <c r="D534" s="30" t="s">
        <v>129</v>
      </c>
      <c r="E534" s="28" t="s">
        <v>493</v>
      </c>
      <c r="F534" s="30" t="s">
        <v>494</v>
      </c>
      <c r="G534" s="31" t="n">
        <v>50250</v>
      </c>
      <c r="H534" s="31" t="n">
        <v>1</v>
      </c>
      <c r="I534" s="31" t="n">
        <v>50250</v>
      </c>
      <c r="J534" s="29" t="n">
        <v>45887</v>
      </c>
      <c r="K534" s="31" t="n">
        <v>43357</v>
      </c>
      <c r="L534" s="30" t="s">
        <v>32</v>
      </c>
      <c r="M534" s="10" t="n">
        <v>5</v>
      </c>
      <c r="N534" s="12" t="n">
        <v>-6973</v>
      </c>
      <c r="O534" s="13" t="n">
        <v>-0.138759167525701</v>
      </c>
      <c r="P534" s="15" t="n">
        <v>0.120393550672435</v>
      </c>
      <c r="Q534" s="13" t="n">
        <v>-0.203983267728288</v>
      </c>
      <c r="R534" s="15" t="n">
        <v>0.250311332503113</v>
      </c>
      <c r="S534" s="32" t="n">
        <v>40542624400</v>
      </c>
      <c r="T534" s="15" t="n">
        <v>0.150057273768614</v>
      </c>
      <c r="U534" s="32" t="n">
        <v>5240526110</v>
      </c>
      <c r="V534" s="14" t="n">
        <v>6.10934645541229</v>
      </c>
      <c r="W534" s="13" t="n">
        <v>0.203836930455636</v>
      </c>
      <c r="X534" s="15" t="n">
        <v>0.0199203187250996</v>
      </c>
      <c r="Y534" s="13" t="n">
        <v>-0.00547452039855245</v>
      </c>
      <c r="Z534" s="13" t="n">
        <v>0.0290439538246017</v>
      </c>
      <c r="AA534" s="30" t="s">
        <v>97</v>
      </c>
      <c r="AB534" s="28" t="s">
        <v>93</v>
      </c>
      <c r="AC534" s="28" t="s">
        <v>104</v>
      </c>
      <c r="AD534" s="28" t="s">
        <v>107</v>
      </c>
      <c r="AE534" s="28" t="s">
        <v>114</v>
      </c>
      <c r="AF534" s="28" t="s">
        <v>119</v>
      </c>
      <c r="AG534" s="30" t="s">
        <v>122</v>
      </c>
    </row>
    <row r="535" customFormat="false" ht="15" hidden="false" customHeight="false" outlineLevel="0" collapsed="false">
      <c r="A535" s="10" t="n">
        <v>2025</v>
      </c>
      <c r="B535" s="28" t="s">
        <v>70</v>
      </c>
      <c r="C535" s="29" t="n">
        <v>45877</v>
      </c>
      <c r="D535" s="30" t="s">
        <v>129</v>
      </c>
      <c r="E535" s="28" t="s">
        <v>1427</v>
      </c>
      <c r="F535" s="30" t="s">
        <v>1428</v>
      </c>
      <c r="G535" s="31" t="n">
        <v>5666</v>
      </c>
      <c r="H535" s="31" t="n">
        <v>17</v>
      </c>
      <c r="I535" s="31" t="n">
        <v>96316</v>
      </c>
      <c r="J535" s="29" t="n">
        <v>45883</v>
      </c>
      <c r="K535" s="31" t="n">
        <v>5385</v>
      </c>
      <c r="L535" s="30" t="s">
        <v>32</v>
      </c>
      <c r="M535" s="10" t="n">
        <v>4</v>
      </c>
      <c r="N535" s="12" t="n">
        <v>-4943</v>
      </c>
      <c r="O535" s="13" t="n">
        <v>-0.0513240214732264</v>
      </c>
      <c r="P535" s="15" t="n">
        <v>0.0343013876582783</v>
      </c>
      <c r="Q535" s="13" t="n">
        <v>-0.0504195451191916</v>
      </c>
      <c r="R535" s="15" t="n">
        <v>0.0822179732313575</v>
      </c>
      <c r="S535" s="32" t="n">
        <v>25344427240</v>
      </c>
      <c r="T535" s="15" t="n">
        <v>0.0822179732313575</v>
      </c>
      <c r="U535" s="32" t="n">
        <v>3351801570</v>
      </c>
      <c r="V535" s="14" t="n">
        <v>6.7101184112363</v>
      </c>
      <c r="W535" s="13" t="n">
        <v>0.0404411764705883</v>
      </c>
      <c r="X535" s="15" t="n">
        <v>0.0229681978798586</v>
      </c>
      <c r="Y535" s="13" t="n">
        <v>-0.00547452039855245</v>
      </c>
      <c r="Z535" s="13" t="n">
        <v>0.0290439538246017</v>
      </c>
      <c r="AA535" s="30" t="s">
        <v>97</v>
      </c>
      <c r="AB535" s="28" t="s">
        <v>93</v>
      </c>
      <c r="AC535" s="28" t="s">
        <v>101</v>
      </c>
      <c r="AD535" s="28" t="s">
        <v>106</v>
      </c>
      <c r="AE535" s="28" t="s">
        <v>101</v>
      </c>
      <c r="AF535" s="28" t="s">
        <v>119</v>
      </c>
      <c r="AG535" s="30" t="s">
        <v>122</v>
      </c>
    </row>
    <row r="536" customFormat="false" ht="15" hidden="false" customHeight="false" outlineLevel="0" collapsed="false">
      <c r="A536" s="10" t="n">
        <v>2025</v>
      </c>
      <c r="B536" s="28" t="s">
        <v>70</v>
      </c>
      <c r="C536" s="29" t="n">
        <v>45877</v>
      </c>
      <c r="D536" s="30" t="s">
        <v>129</v>
      </c>
      <c r="E536" s="28" t="s">
        <v>845</v>
      </c>
      <c r="F536" s="28" t="s">
        <v>846</v>
      </c>
      <c r="G536" s="31" t="n">
        <v>82582</v>
      </c>
      <c r="H536" s="31" t="n">
        <v>1</v>
      </c>
      <c r="I536" s="31" t="n">
        <v>82582</v>
      </c>
      <c r="J536" s="29" t="n">
        <v>45880</v>
      </c>
      <c r="K536" s="31" t="n">
        <v>78621</v>
      </c>
      <c r="L536" s="30" t="s">
        <v>32</v>
      </c>
      <c r="M536" s="10" t="n">
        <v>1</v>
      </c>
      <c r="N536" s="12" t="n">
        <v>-4103</v>
      </c>
      <c r="O536" s="13" t="n">
        <v>-0.0496874340205247</v>
      </c>
      <c r="P536" s="15" t="n">
        <v>-0.00947537311173652</v>
      </c>
      <c r="Q536" s="13" t="n">
        <v>-0.0797081706172613</v>
      </c>
      <c r="R536" s="15" t="n">
        <v>0.0576923076923077</v>
      </c>
      <c r="S536" s="32" t="n">
        <v>21034695000</v>
      </c>
      <c r="T536" s="15" t="n">
        <v>0.03125</v>
      </c>
      <c r="U536" s="32" t="n">
        <v>8648923925</v>
      </c>
      <c r="V536" s="14" t="n">
        <v>2.21296702543212</v>
      </c>
      <c r="W536" s="13" t="n">
        <v>0.0590500641848524</v>
      </c>
      <c r="X536" s="15" t="n">
        <v>0.0218181818181817</v>
      </c>
      <c r="Y536" s="13" t="n">
        <v>-0.00547452039855245</v>
      </c>
      <c r="Z536" s="13" t="n">
        <v>0.0290439538246017</v>
      </c>
      <c r="AA536" s="30" t="s">
        <v>97</v>
      </c>
      <c r="AB536" s="28" t="s">
        <v>93</v>
      </c>
      <c r="AC536" s="28" t="s">
        <v>101</v>
      </c>
      <c r="AD536" s="28" t="s">
        <v>106</v>
      </c>
      <c r="AE536" s="28" t="s">
        <v>113</v>
      </c>
      <c r="AF536" s="28" t="s">
        <v>117</v>
      </c>
      <c r="AG536" s="30" t="s">
        <v>122</v>
      </c>
    </row>
    <row r="537" customFormat="false" ht="15" hidden="false" customHeight="false" outlineLevel="0" collapsed="false">
      <c r="A537" s="10" t="n">
        <v>2025</v>
      </c>
      <c r="B537" s="28" t="s">
        <v>70</v>
      </c>
      <c r="C537" s="29" t="n">
        <v>45877</v>
      </c>
      <c r="D537" s="30" t="s">
        <v>129</v>
      </c>
      <c r="E537" s="28" t="s">
        <v>1401</v>
      </c>
      <c r="F537" s="30" t="s">
        <v>1402</v>
      </c>
      <c r="G537" s="31" t="n">
        <v>53954</v>
      </c>
      <c r="H537" s="31" t="n">
        <v>1</v>
      </c>
      <c r="I537" s="31" t="n">
        <v>53954</v>
      </c>
      <c r="J537" s="29" t="n">
        <v>45891</v>
      </c>
      <c r="K537" s="31" t="n">
        <v>50350</v>
      </c>
      <c r="L537" s="30" t="s">
        <v>32</v>
      </c>
      <c r="M537" s="10" t="n">
        <v>9</v>
      </c>
      <c r="N537" s="12" t="n">
        <v>-3695</v>
      </c>
      <c r="O537" s="13" t="n">
        <v>-0.0684931010547893</v>
      </c>
      <c r="P537" s="15" t="n">
        <v>0.150982598106902</v>
      </c>
      <c r="Q537" s="13" t="n">
        <v>-0.0732829322810769</v>
      </c>
      <c r="R537" s="15" t="n">
        <v>0.0568627450980392</v>
      </c>
      <c r="S537" s="32" t="n">
        <v>20889052800</v>
      </c>
      <c r="T537" s="15" t="n">
        <v>0.0286259541984733</v>
      </c>
      <c r="U537" s="32" t="n">
        <v>3238675690</v>
      </c>
      <c r="V537" s="14" t="n">
        <v>5.98097148809753</v>
      </c>
      <c r="W537" s="13" t="n">
        <v>0.0112570356472797</v>
      </c>
      <c r="X537" s="15" t="n">
        <v>0.0278293135435992</v>
      </c>
      <c r="Y537" s="13" t="n">
        <v>-0.00547452039855245</v>
      </c>
      <c r="Z537" s="13" t="n">
        <v>0.0290439538246017</v>
      </c>
      <c r="AA537" s="30" t="s">
        <v>97</v>
      </c>
      <c r="AB537" s="28" t="s">
        <v>93</v>
      </c>
      <c r="AC537" s="28" t="s">
        <v>101</v>
      </c>
      <c r="AD537" s="28" t="s">
        <v>106</v>
      </c>
      <c r="AE537" s="28" t="s">
        <v>113</v>
      </c>
      <c r="AF537" s="28" t="s">
        <v>119</v>
      </c>
      <c r="AG537" s="30" t="s">
        <v>122</v>
      </c>
    </row>
    <row r="538" customFormat="false" ht="15" hidden="false" customHeight="false" outlineLevel="0" collapsed="false">
      <c r="A538" s="10" t="n">
        <v>2025</v>
      </c>
      <c r="B538" s="28" t="s">
        <v>70</v>
      </c>
      <c r="C538" s="29" t="n">
        <v>45880</v>
      </c>
      <c r="D538" s="30" t="s">
        <v>125</v>
      </c>
      <c r="E538" s="28" t="s">
        <v>477</v>
      </c>
      <c r="F538" s="30" t="s">
        <v>478</v>
      </c>
      <c r="G538" s="31" t="n">
        <v>69469</v>
      </c>
      <c r="H538" s="31" t="n">
        <v>1</v>
      </c>
      <c r="I538" s="31" t="n">
        <v>69469</v>
      </c>
      <c r="J538" s="29" t="n">
        <v>45881</v>
      </c>
      <c r="K538" s="31" t="n">
        <v>66134</v>
      </c>
      <c r="L538" s="30" t="s">
        <v>32</v>
      </c>
      <c r="M538" s="10" t="n">
        <v>1</v>
      </c>
      <c r="N538" s="12" t="n">
        <v>-3455</v>
      </c>
      <c r="O538" s="13" t="n">
        <v>-0.0497361598056121</v>
      </c>
      <c r="P538" s="15" t="n">
        <v>0.0162747914909298</v>
      </c>
      <c r="Q538" s="13" t="n">
        <v>-0.062896757421253</v>
      </c>
      <c r="R538" s="15" t="n">
        <v>0.0451807228915662</v>
      </c>
      <c r="S538" s="32" t="n">
        <v>841085180200</v>
      </c>
      <c r="T538" s="15" t="n">
        <v>0.0146198830409356</v>
      </c>
      <c r="U538" s="32" t="n">
        <v>476936827125</v>
      </c>
      <c r="V538" s="14" t="n">
        <v>1.63936249684048</v>
      </c>
      <c r="W538" s="13" t="n">
        <v>0.0373692077727952</v>
      </c>
      <c r="X538" s="15" t="n">
        <v>0.0086455331412103</v>
      </c>
      <c r="Y538" s="13" t="n">
        <v>-0.00100934265002295</v>
      </c>
      <c r="Z538" s="13" t="n">
        <v>0.0187499007227385</v>
      </c>
      <c r="AA538" s="30" t="s">
        <v>97</v>
      </c>
      <c r="AB538" s="28" t="s">
        <v>93</v>
      </c>
      <c r="AC538" s="28" t="s">
        <v>100</v>
      </c>
      <c r="AD538" s="28" t="s">
        <v>110</v>
      </c>
      <c r="AE538" s="28" t="s">
        <v>112</v>
      </c>
      <c r="AF538" s="28" t="s">
        <v>116</v>
      </c>
      <c r="AG538" s="30" t="s">
        <v>122</v>
      </c>
    </row>
    <row r="539" customFormat="false" ht="15" hidden="false" customHeight="false" outlineLevel="0" collapsed="false">
      <c r="A539" s="10" t="n">
        <v>2025</v>
      </c>
      <c r="B539" s="28" t="s">
        <v>70</v>
      </c>
      <c r="C539" s="29" t="n">
        <v>45881</v>
      </c>
      <c r="D539" s="30" t="s">
        <v>126</v>
      </c>
      <c r="E539" s="28" t="s">
        <v>1429</v>
      </c>
      <c r="F539" s="30" t="s">
        <v>1430</v>
      </c>
      <c r="G539" s="31" t="n">
        <v>16627</v>
      </c>
      <c r="H539" s="31" t="n">
        <v>5</v>
      </c>
      <c r="I539" s="31" t="n">
        <v>83133</v>
      </c>
      <c r="J539" s="29" t="n">
        <v>45888</v>
      </c>
      <c r="K539" s="31" t="n">
        <v>15824</v>
      </c>
      <c r="L539" s="30" t="s">
        <v>32</v>
      </c>
      <c r="M539" s="10" t="n">
        <v>4</v>
      </c>
      <c r="N539" s="12" t="n">
        <v>-4155</v>
      </c>
      <c r="O539" s="13" t="n">
        <v>-0.049983361340646</v>
      </c>
      <c r="P539" s="15" t="n">
        <v>0.0134356913405682</v>
      </c>
      <c r="Q539" s="13" t="n">
        <v>-0.0581363248431278</v>
      </c>
      <c r="R539" s="15" t="n">
        <v>0.0771725032425421</v>
      </c>
      <c r="S539" s="32" t="n">
        <v>85038079137</v>
      </c>
      <c r="T539" s="15" t="n">
        <v>0.00301932367149749</v>
      </c>
      <c r="U539" s="32" t="n">
        <v>3646639548.25</v>
      </c>
      <c r="V539" s="14" t="n">
        <v>22.0085735004128</v>
      </c>
      <c r="W539" s="13" t="n">
        <v>0.0640614990390775</v>
      </c>
      <c r="X539" s="15" t="n">
        <v>0.0686333534015653</v>
      </c>
      <c r="Y539" s="13" t="n">
        <v>-0.00525762683323094</v>
      </c>
      <c r="Z539" s="13" t="n">
        <v>-0.00252970606629144</v>
      </c>
      <c r="AA539" s="30" t="s">
        <v>96</v>
      </c>
      <c r="AB539" s="28" t="s">
        <v>94</v>
      </c>
      <c r="AC539" s="28" t="s">
        <v>101</v>
      </c>
      <c r="AD539" s="28" t="s">
        <v>108</v>
      </c>
      <c r="AE539" s="28" t="s">
        <v>112</v>
      </c>
      <c r="AF539" s="28" t="s">
        <v>120</v>
      </c>
      <c r="AG539" s="30" t="s">
        <v>122</v>
      </c>
    </row>
    <row r="540" customFormat="false" ht="15" hidden="false" customHeight="false" outlineLevel="0" collapsed="false">
      <c r="A540" s="10" t="n">
        <v>2025</v>
      </c>
      <c r="B540" s="28" t="s">
        <v>70</v>
      </c>
      <c r="C540" s="29" t="n">
        <v>45881</v>
      </c>
      <c r="D540" s="30" t="s">
        <v>126</v>
      </c>
      <c r="E540" s="28" t="s">
        <v>1431</v>
      </c>
      <c r="F540" s="30" t="s">
        <v>1432</v>
      </c>
      <c r="G540" s="31" t="n">
        <v>12583</v>
      </c>
      <c r="H540" s="31" t="n">
        <v>7</v>
      </c>
      <c r="I540" s="31" t="n">
        <v>88078</v>
      </c>
      <c r="J540" s="29" t="n">
        <v>45887</v>
      </c>
      <c r="K540" s="31" t="n">
        <v>11978</v>
      </c>
      <c r="L540" s="30" t="s">
        <v>32</v>
      </c>
      <c r="M540" s="10" t="n">
        <v>3</v>
      </c>
      <c r="N540" s="12" t="n">
        <v>-4383</v>
      </c>
      <c r="O540" s="13" t="n">
        <v>-0.0497681397361586</v>
      </c>
      <c r="P540" s="15" t="n">
        <v>0.0323805073208416</v>
      </c>
      <c r="Q540" s="13" t="n">
        <v>-0.0733212690253261</v>
      </c>
      <c r="R540" s="15" t="n">
        <v>0.115350488021295</v>
      </c>
      <c r="S540" s="32" t="n">
        <v>24585625290</v>
      </c>
      <c r="T540" s="15" t="n">
        <v>0.0219512195121951</v>
      </c>
      <c r="U540" s="32" t="n">
        <v>5261340418.5</v>
      </c>
      <c r="V540" s="14" t="n">
        <v>4.14785902686654</v>
      </c>
      <c r="W540" s="13" t="n">
        <v>0.0466278101582014</v>
      </c>
      <c r="X540" s="15" t="n">
        <v>0.0739856801909309</v>
      </c>
      <c r="Y540" s="13" t="n">
        <v>-0.00525762683323094</v>
      </c>
      <c r="Z540" s="13" t="n">
        <v>-0.00252970606629144</v>
      </c>
      <c r="AA540" s="30" t="s">
        <v>96</v>
      </c>
      <c r="AB540" s="28" t="s">
        <v>94</v>
      </c>
      <c r="AC540" s="28" t="s">
        <v>102</v>
      </c>
      <c r="AD540" s="28" t="s">
        <v>106</v>
      </c>
      <c r="AE540" s="28" t="s">
        <v>113</v>
      </c>
      <c r="AF540" s="28" t="s">
        <v>118</v>
      </c>
      <c r="AG540" s="30" t="s">
        <v>122</v>
      </c>
    </row>
    <row r="541" customFormat="false" ht="15" hidden="false" customHeight="false" outlineLevel="0" collapsed="false">
      <c r="A541" s="10" t="n">
        <v>2025</v>
      </c>
      <c r="B541" s="28" t="s">
        <v>70</v>
      </c>
      <c r="C541" s="29" t="n">
        <v>45883</v>
      </c>
      <c r="D541" s="30" t="s">
        <v>128</v>
      </c>
      <c r="E541" s="28" t="s">
        <v>263</v>
      </c>
      <c r="F541" s="30" t="s">
        <v>264</v>
      </c>
      <c r="G541" s="31" t="n">
        <v>93093</v>
      </c>
      <c r="H541" s="31" t="n">
        <v>1</v>
      </c>
      <c r="I541" s="31" t="n">
        <v>93093</v>
      </c>
      <c r="J541" s="29" t="n">
        <v>45887</v>
      </c>
      <c r="K541" s="31" t="n">
        <v>88611</v>
      </c>
      <c r="L541" s="30" t="s">
        <v>32</v>
      </c>
      <c r="M541" s="10" t="n">
        <v>1</v>
      </c>
      <c r="N541" s="12" t="n">
        <v>-4642</v>
      </c>
      <c r="O541" s="13" t="n">
        <v>-0.0498627458025843</v>
      </c>
      <c r="P541" s="15" t="n">
        <v>-0.0171119203377267</v>
      </c>
      <c r="Q541" s="13" t="n">
        <v>-0.0493377590151782</v>
      </c>
      <c r="R541" s="15" t="n">
        <v>0.0163934426229508</v>
      </c>
      <c r="S541" s="32" t="n">
        <v>41865066000</v>
      </c>
      <c r="T541" s="15" t="n">
        <v>0.0119695321001088</v>
      </c>
      <c r="U541" s="32" t="n">
        <v>49757666765</v>
      </c>
      <c r="V541" s="14" t="n">
        <v>0.80005992958274</v>
      </c>
      <c r="W541" s="13" t="n">
        <v>0.0208562019758507</v>
      </c>
      <c r="X541" s="15" t="n">
        <v>0</v>
      </c>
      <c r="Y541" s="13" t="n">
        <v>0.000400078154802364</v>
      </c>
      <c r="Z541" s="13" t="n">
        <v>-0.0006258365141526</v>
      </c>
      <c r="AA541" s="30" t="s">
        <v>97</v>
      </c>
      <c r="AB541" s="28" t="s">
        <v>94</v>
      </c>
      <c r="AC541" s="28" t="s">
        <v>99</v>
      </c>
      <c r="AD541" s="28" t="s">
        <v>107</v>
      </c>
      <c r="AE541" s="28" t="s">
        <v>112</v>
      </c>
      <c r="AF541" s="28" t="s">
        <v>116</v>
      </c>
      <c r="AG541" s="30" t="s">
        <v>122</v>
      </c>
    </row>
    <row r="542" customFormat="false" ht="15" hidden="false" customHeight="false" outlineLevel="0" collapsed="false">
      <c r="A542" s="10" t="n">
        <v>2025</v>
      </c>
      <c r="B542" s="28" t="s">
        <v>70</v>
      </c>
      <c r="C542" s="29" t="n">
        <v>45883</v>
      </c>
      <c r="D542" s="30" t="s">
        <v>128</v>
      </c>
      <c r="E542" s="28" t="s">
        <v>1433</v>
      </c>
      <c r="F542" s="30" t="s">
        <v>1434</v>
      </c>
      <c r="G542" s="31" t="n">
        <v>7708</v>
      </c>
      <c r="H542" s="31" t="n">
        <v>12</v>
      </c>
      <c r="I542" s="31" t="n">
        <v>92492</v>
      </c>
      <c r="J542" s="29" t="n">
        <v>45887</v>
      </c>
      <c r="K542" s="31" t="n">
        <v>7333</v>
      </c>
      <c r="L542" s="30" t="s">
        <v>32</v>
      </c>
      <c r="M542" s="10" t="n">
        <v>1</v>
      </c>
      <c r="N542" s="12" t="n">
        <v>-4660</v>
      </c>
      <c r="O542" s="13" t="n">
        <v>-0.0503775502419658</v>
      </c>
      <c r="P542" s="15" t="n">
        <v>-0.0165678477366787</v>
      </c>
      <c r="Q542" s="13" t="n">
        <v>-0.0788432346873904</v>
      </c>
      <c r="R542" s="15" t="n">
        <v>0.0960854092526691</v>
      </c>
      <c r="S542" s="32" t="n">
        <v>31500008540</v>
      </c>
      <c r="T542" s="15" t="n">
        <v>0.0483321987746768</v>
      </c>
      <c r="U542" s="32" t="n">
        <v>5454203019.45</v>
      </c>
      <c r="V542" s="14" t="n">
        <v>5.23859399811957</v>
      </c>
      <c r="W542" s="13" t="n">
        <v>0.110310021629416</v>
      </c>
      <c r="X542" s="15" t="n">
        <v>0.0642857142857143</v>
      </c>
      <c r="Y542" s="13" t="n">
        <v>0.000400078154802364</v>
      </c>
      <c r="Z542" s="13" t="n">
        <v>-0.0006258365141526</v>
      </c>
      <c r="AA542" s="30" t="s">
        <v>97</v>
      </c>
      <c r="AB542" s="28" t="s">
        <v>94</v>
      </c>
      <c r="AC542" s="28" t="s">
        <v>101</v>
      </c>
      <c r="AD542" s="28" t="s">
        <v>107</v>
      </c>
      <c r="AE542" s="28" t="s">
        <v>113</v>
      </c>
      <c r="AF542" s="28" t="s">
        <v>119</v>
      </c>
      <c r="AG542" s="30" t="s">
        <v>122</v>
      </c>
    </row>
    <row r="543" customFormat="false" ht="15" hidden="false" customHeight="false" outlineLevel="0" collapsed="false">
      <c r="A543" s="10" t="n">
        <v>2025</v>
      </c>
      <c r="B543" s="28" t="s">
        <v>70</v>
      </c>
      <c r="C543" s="29" t="n">
        <v>45887</v>
      </c>
      <c r="D543" s="30" t="s">
        <v>125</v>
      </c>
      <c r="E543" s="28" t="s">
        <v>1435</v>
      </c>
      <c r="F543" s="30" t="s">
        <v>1436</v>
      </c>
      <c r="G543" s="31" t="n">
        <v>9745</v>
      </c>
      <c r="H543" s="31" t="n">
        <v>10</v>
      </c>
      <c r="I543" s="31" t="n">
        <v>97447</v>
      </c>
      <c r="J543" s="29" t="n">
        <v>45889</v>
      </c>
      <c r="K543" s="31" t="n">
        <v>9261</v>
      </c>
      <c r="L543" s="30" t="s">
        <v>32</v>
      </c>
      <c r="M543" s="10" t="n">
        <v>2</v>
      </c>
      <c r="N543" s="12" t="n">
        <v>-5007</v>
      </c>
      <c r="O543" s="13" t="n">
        <v>-0.0513864065826316</v>
      </c>
      <c r="P543" s="15" t="n">
        <v>0.0184987072506335</v>
      </c>
      <c r="Q543" s="13" t="n">
        <v>-0.0512825643796366</v>
      </c>
      <c r="R543" s="15" t="n">
        <v>0.0581521739130435</v>
      </c>
      <c r="S543" s="32" t="n">
        <v>23107159548</v>
      </c>
      <c r="T543" s="15" t="n">
        <v>0.0512958963282937</v>
      </c>
      <c r="U543" s="32" t="n">
        <v>3226774607.35</v>
      </c>
      <c r="V543" s="14" t="n">
        <v>6.72563131968556</v>
      </c>
      <c r="W543" s="13" t="n">
        <v>0.021511017838405</v>
      </c>
      <c r="X543" s="15" t="n">
        <v>0.0580380071905495</v>
      </c>
      <c r="Y543" s="13" t="n">
        <v>-0.0149984809310342</v>
      </c>
      <c r="Z543" s="13" t="n">
        <v>-0.0101962299182868</v>
      </c>
      <c r="AA543" s="30" t="s">
        <v>96</v>
      </c>
      <c r="AB543" s="28" t="s">
        <v>94</v>
      </c>
      <c r="AC543" s="28" t="s">
        <v>101</v>
      </c>
      <c r="AD543" s="28" t="s">
        <v>106</v>
      </c>
      <c r="AE543" s="28" t="s">
        <v>101</v>
      </c>
      <c r="AF543" s="28" t="s">
        <v>119</v>
      </c>
      <c r="AG543" s="30" t="s">
        <v>122</v>
      </c>
    </row>
    <row r="544" customFormat="false" ht="15" hidden="false" customHeight="false" outlineLevel="0" collapsed="false">
      <c r="A544" s="10" t="n">
        <v>2025</v>
      </c>
      <c r="B544" s="28" t="s">
        <v>70</v>
      </c>
      <c r="C544" s="29" t="n">
        <v>45887</v>
      </c>
      <c r="D544" s="30" t="s">
        <v>125</v>
      </c>
      <c r="E544" s="28" t="s">
        <v>1097</v>
      </c>
      <c r="F544" s="30" t="s">
        <v>1098</v>
      </c>
      <c r="G544" s="31" t="n">
        <v>38639</v>
      </c>
      <c r="H544" s="31" t="n">
        <v>2</v>
      </c>
      <c r="I544" s="31" t="n">
        <v>77277</v>
      </c>
      <c r="J544" s="29" t="n">
        <v>45960</v>
      </c>
      <c r="K544" s="31" t="n">
        <v>36713</v>
      </c>
      <c r="L544" s="30" t="s">
        <v>32</v>
      </c>
      <c r="M544" s="10" t="n">
        <v>48</v>
      </c>
      <c r="N544" s="12" t="n">
        <v>-3983</v>
      </c>
      <c r="O544" s="13" t="n">
        <v>-0.0515474849632233</v>
      </c>
      <c r="P544" s="15" t="n">
        <v>0.106406546821055</v>
      </c>
      <c r="Q544" s="13" t="n">
        <v>-0.0501726253021589</v>
      </c>
      <c r="R544" s="15" t="n">
        <v>0.0546448087431695</v>
      </c>
      <c r="S544" s="32" t="n">
        <v>21829226400</v>
      </c>
      <c r="T544" s="15" t="n">
        <v>0.0184696569920844</v>
      </c>
      <c r="U544" s="32" t="n">
        <v>4020445177.5</v>
      </c>
      <c r="V544" s="14" t="n">
        <v>5.15896321555341</v>
      </c>
      <c r="W544" s="13" t="n">
        <v>0.0362416107382551</v>
      </c>
      <c r="X544" s="15" t="n">
        <v>0.0259067357512954</v>
      </c>
      <c r="Y544" s="13" t="n">
        <v>-0.0149984809310342</v>
      </c>
      <c r="Z544" s="13" t="n">
        <v>-0.0101962299182868</v>
      </c>
      <c r="AA544" s="30" t="s">
        <v>96</v>
      </c>
      <c r="AB544" s="28" t="s">
        <v>94</v>
      </c>
      <c r="AC544" s="28" t="s">
        <v>101</v>
      </c>
      <c r="AD544" s="28" t="s">
        <v>106</v>
      </c>
      <c r="AE544" s="28" t="s">
        <v>112</v>
      </c>
      <c r="AF544" s="28" t="s">
        <v>119</v>
      </c>
      <c r="AG544" s="30" t="s">
        <v>122</v>
      </c>
    </row>
    <row r="545" customFormat="false" ht="15" hidden="false" customHeight="false" outlineLevel="0" collapsed="false">
      <c r="A545" s="10" t="n">
        <v>2025</v>
      </c>
      <c r="B545" s="28" t="s">
        <v>70</v>
      </c>
      <c r="C545" s="29" t="n">
        <v>45888</v>
      </c>
      <c r="D545" s="30" t="s">
        <v>126</v>
      </c>
      <c r="E545" s="28" t="s">
        <v>847</v>
      </c>
      <c r="F545" s="30" t="s">
        <v>848</v>
      </c>
      <c r="G545" s="31" t="n">
        <v>2081</v>
      </c>
      <c r="H545" s="31" t="n">
        <v>47</v>
      </c>
      <c r="I545" s="31" t="n">
        <v>97799</v>
      </c>
      <c r="J545" s="29" t="n">
        <v>45889</v>
      </c>
      <c r="K545" s="31" t="n">
        <v>1981</v>
      </c>
      <c r="L545" s="30" t="s">
        <v>32</v>
      </c>
      <c r="M545" s="10" t="n">
        <v>1</v>
      </c>
      <c r="N545" s="12" t="n">
        <v>-4859</v>
      </c>
      <c r="O545" s="13" t="n">
        <v>-0.0496837973615906</v>
      </c>
      <c r="P545" s="15" t="n">
        <v>0.0666903190267676</v>
      </c>
      <c r="Q545" s="13" t="n">
        <v>-0.0910958200677827</v>
      </c>
      <c r="R545" s="15" t="n">
        <v>0.166212534059946</v>
      </c>
      <c r="S545" s="32" t="n">
        <v>80819708660</v>
      </c>
      <c r="T545" s="15" t="n">
        <v>0.166212534059946</v>
      </c>
      <c r="U545" s="32" t="n">
        <v>8273438476.65</v>
      </c>
      <c r="V545" s="14" t="n">
        <v>7.64119409687896</v>
      </c>
      <c r="W545" s="13" t="n">
        <v>0.175824175824176</v>
      </c>
      <c r="X545" s="15" t="n">
        <v>0.0794392523364484</v>
      </c>
      <c r="Y545" s="13" t="n">
        <v>-0.00809497431765538</v>
      </c>
      <c r="Z545" s="13" t="n">
        <v>-0.0172167009171222</v>
      </c>
      <c r="AA545" s="30" t="s">
        <v>96</v>
      </c>
      <c r="AB545" s="28" t="s">
        <v>94</v>
      </c>
      <c r="AC545" s="28" t="s">
        <v>103</v>
      </c>
      <c r="AD545" s="28" t="s">
        <v>108</v>
      </c>
      <c r="AE545" s="28" t="s">
        <v>114</v>
      </c>
      <c r="AF545" s="28" t="s">
        <v>119</v>
      </c>
      <c r="AG545" s="30" t="s">
        <v>122</v>
      </c>
    </row>
    <row r="546" customFormat="false" ht="15" hidden="false" customHeight="false" outlineLevel="0" collapsed="false">
      <c r="A546" s="10" t="n">
        <v>2025</v>
      </c>
      <c r="B546" s="28" t="s">
        <v>70</v>
      </c>
      <c r="C546" s="29" t="n">
        <v>45888</v>
      </c>
      <c r="D546" s="30" t="s">
        <v>126</v>
      </c>
      <c r="E546" s="28" t="s">
        <v>1417</v>
      </c>
      <c r="F546" s="30" t="s">
        <v>1418</v>
      </c>
      <c r="G546" s="31" t="n">
        <v>49399</v>
      </c>
      <c r="H546" s="31" t="n">
        <v>2</v>
      </c>
      <c r="I546" s="31" t="n">
        <v>98799</v>
      </c>
      <c r="J546" s="29" t="n">
        <v>45896</v>
      </c>
      <c r="K546" s="31" t="n">
        <v>47003</v>
      </c>
      <c r="L546" s="30" t="s">
        <v>32</v>
      </c>
      <c r="M546" s="10" t="n">
        <v>6</v>
      </c>
      <c r="N546" s="12" t="n">
        <v>-4963</v>
      </c>
      <c r="O546" s="13" t="n">
        <v>-0.0502307170033612</v>
      </c>
      <c r="P546" s="15" t="n">
        <v>0.0303779300739788</v>
      </c>
      <c r="Q546" s="13" t="n">
        <v>-0.0566677496768681</v>
      </c>
      <c r="R546" s="15" t="n">
        <v>0.0894039735099337</v>
      </c>
      <c r="S546" s="32" t="n">
        <v>55772557050</v>
      </c>
      <c r="T546" s="15" t="n">
        <v>0.00304878048780477</v>
      </c>
      <c r="U546" s="32" t="n">
        <v>4096015132.5</v>
      </c>
      <c r="V546" s="14" t="n">
        <v>12.9813310728</v>
      </c>
      <c r="W546" s="13" t="n">
        <v>0.0433403805496828</v>
      </c>
      <c r="X546" s="15" t="n">
        <v>0.0455927051671732</v>
      </c>
      <c r="Y546" s="13" t="n">
        <v>-0.00809497431765538</v>
      </c>
      <c r="Z546" s="13" t="n">
        <v>-0.0172167009171222</v>
      </c>
      <c r="AA546" s="30" t="s">
        <v>96</v>
      </c>
      <c r="AB546" s="28" t="s">
        <v>94</v>
      </c>
      <c r="AC546" s="28" t="s">
        <v>101</v>
      </c>
      <c r="AD546" s="28" t="s">
        <v>108</v>
      </c>
      <c r="AE546" s="28" t="s">
        <v>112</v>
      </c>
      <c r="AF546" s="28" t="s">
        <v>120</v>
      </c>
      <c r="AG546" s="30" t="s">
        <v>122</v>
      </c>
    </row>
    <row r="547" customFormat="false" ht="15" hidden="false" customHeight="false" outlineLevel="0" collapsed="false">
      <c r="A547" s="10" t="n">
        <v>2025</v>
      </c>
      <c r="B547" s="28" t="s">
        <v>70</v>
      </c>
      <c r="C547" s="29" t="n">
        <v>45888</v>
      </c>
      <c r="D547" s="30" t="s">
        <v>126</v>
      </c>
      <c r="E547" s="28" t="s">
        <v>893</v>
      </c>
      <c r="F547" s="30" t="s">
        <v>894</v>
      </c>
      <c r="G547" s="31" t="n">
        <v>6957</v>
      </c>
      <c r="H547" s="31" t="n">
        <v>14</v>
      </c>
      <c r="I547" s="31" t="n">
        <v>97397</v>
      </c>
      <c r="J547" s="29" t="n">
        <v>45889</v>
      </c>
      <c r="K547" s="31" t="n">
        <v>6613</v>
      </c>
      <c r="L547" s="30" t="s">
        <v>32</v>
      </c>
      <c r="M547" s="10" t="n">
        <v>1</v>
      </c>
      <c r="N547" s="12" t="n">
        <v>-4977</v>
      </c>
      <c r="O547" s="13" t="n">
        <v>-0.0511036617339495</v>
      </c>
      <c r="P547" s="15" t="n">
        <v>-0.0189666448659253</v>
      </c>
      <c r="Q547" s="13" t="n">
        <v>-0.126772508067472</v>
      </c>
      <c r="R547" s="15" t="n">
        <v>0.0775193798449612</v>
      </c>
      <c r="S547" s="32" t="n">
        <v>40609767400</v>
      </c>
      <c r="T547" s="15" t="n">
        <v>0.0183150183150183</v>
      </c>
      <c r="U547" s="32" t="n">
        <v>4670065620</v>
      </c>
      <c r="V547" s="14" t="n">
        <v>7.97803720414821</v>
      </c>
      <c r="W547" s="13" t="n">
        <v>0.0880626223091976</v>
      </c>
      <c r="X547" s="15" t="n">
        <v>0.0449640287769784</v>
      </c>
      <c r="Y547" s="13" t="n">
        <v>-0.00809497431765538</v>
      </c>
      <c r="Z547" s="13" t="n">
        <v>-0.0172167009171222</v>
      </c>
      <c r="AA547" s="30" t="s">
        <v>96</v>
      </c>
      <c r="AB547" s="28" t="s">
        <v>94</v>
      </c>
      <c r="AC547" s="28" t="s">
        <v>101</v>
      </c>
      <c r="AD547" s="28" t="s">
        <v>107</v>
      </c>
      <c r="AE547" s="28" t="s">
        <v>112</v>
      </c>
      <c r="AF547" s="28" t="s">
        <v>119</v>
      </c>
      <c r="AG547" s="30" t="s">
        <v>122</v>
      </c>
    </row>
    <row r="548" customFormat="false" ht="15" hidden="false" customHeight="false" outlineLevel="0" collapsed="false">
      <c r="A548" s="10" t="n">
        <v>2025</v>
      </c>
      <c r="B548" s="28" t="s">
        <v>70</v>
      </c>
      <c r="C548" s="29" t="n">
        <v>45894</v>
      </c>
      <c r="D548" s="30" t="s">
        <v>125</v>
      </c>
      <c r="E548" s="28" t="s">
        <v>751</v>
      </c>
      <c r="F548" s="30" t="s">
        <v>752</v>
      </c>
      <c r="G548" s="31" t="n">
        <v>25626</v>
      </c>
      <c r="H548" s="31" t="n">
        <v>3</v>
      </c>
      <c r="I548" s="31" t="n">
        <v>76877</v>
      </c>
      <c r="J548" s="29" t="n">
        <v>45895</v>
      </c>
      <c r="K548" s="31" t="n">
        <v>24376</v>
      </c>
      <c r="L548" s="30" t="s">
        <v>32</v>
      </c>
      <c r="M548" s="10" t="n">
        <v>1</v>
      </c>
      <c r="N548" s="12" t="n">
        <v>-3882</v>
      </c>
      <c r="O548" s="13" t="n">
        <v>-0.0504988597340161</v>
      </c>
      <c r="P548" s="15" t="n">
        <v>-0.00490134865134861</v>
      </c>
      <c r="Q548" s="13" t="n">
        <v>-0.0478271728271728</v>
      </c>
      <c r="R548" s="15" t="n">
        <v>0.0301810865191148</v>
      </c>
      <c r="S548" s="32" t="n">
        <v>42300160000</v>
      </c>
      <c r="T548" s="15" t="n">
        <v>0.0178926441351888</v>
      </c>
      <c r="U548" s="32" t="n">
        <v>28673866895</v>
      </c>
      <c r="V548" s="14" t="n">
        <v>1.40334853645275</v>
      </c>
      <c r="W548" s="13" t="n">
        <v>0.0178926441351888</v>
      </c>
      <c r="X548" s="15" t="n">
        <v>0.005859375</v>
      </c>
      <c r="Y548" s="13" t="n">
        <v>0.0129799635816241</v>
      </c>
      <c r="Z548" s="13" t="n">
        <v>0.0102540537818512</v>
      </c>
      <c r="AA548" s="30" t="s">
        <v>97</v>
      </c>
      <c r="AB548" s="28" t="s">
        <v>93</v>
      </c>
      <c r="AC548" s="28" t="s">
        <v>100</v>
      </c>
      <c r="AD548" s="28" t="s">
        <v>107</v>
      </c>
      <c r="AE548" s="28" t="s">
        <v>112</v>
      </c>
      <c r="AF548" s="28" t="s">
        <v>116</v>
      </c>
      <c r="AG548" s="30" t="s">
        <v>122</v>
      </c>
    </row>
    <row r="549" customFormat="false" ht="15" hidden="false" customHeight="false" outlineLevel="0" collapsed="false">
      <c r="A549" s="10" t="n">
        <v>2025</v>
      </c>
      <c r="B549" s="28" t="s">
        <v>70</v>
      </c>
      <c r="C549" s="29" t="n">
        <v>45894</v>
      </c>
      <c r="D549" s="30" t="s">
        <v>125</v>
      </c>
      <c r="E549" s="28" t="s">
        <v>481</v>
      </c>
      <c r="F549" s="30" t="s">
        <v>482</v>
      </c>
      <c r="G549" s="31" t="n">
        <v>57257</v>
      </c>
      <c r="H549" s="31" t="n">
        <v>1</v>
      </c>
      <c r="I549" s="31" t="n">
        <v>57257</v>
      </c>
      <c r="J549" s="29" t="n">
        <v>45896</v>
      </c>
      <c r="K549" s="31" t="n">
        <v>54446</v>
      </c>
      <c r="L549" s="30" t="s">
        <v>32</v>
      </c>
      <c r="M549" s="10" t="n">
        <v>2</v>
      </c>
      <c r="N549" s="12" t="n">
        <v>-2910</v>
      </c>
      <c r="O549" s="13" t="n">
        <v>-0.0508254622126125</v>
      </c>
      <c r="P549" s="15" t="n">
        <v>-0.0132245377000622</v>
      </c>
      <c r="Q549" s="13" t="n">
        <v>-0.0499011478032456</v>
      </c>
      <c r="R549" s="15" t="n">
        <v>0.0592592592592593</v>
      </c>
      <c r="S549" s="32" t="n">
        <v>28965164800</v>
      </c>
      <c r="T549" s="15" t="n">
        <v>0.00704225352112675</v>
      </c>
      <c r="U549" s="32" t="n">
        <v>12772811880</v>
      </c>
      <c r="V549" s="14" t="n">
        <v>2.19478224311319</v>
      </c>
      <c r="W549" s="13" t="n">
        <v>0.0495412844036698</v>
      </c>
      <c r="X549" s="15" t="n">
        <v>0</v>
      </c>
      <c r="Y549" s="13" t="n">
        <v>0.0129799635816241</v>
      </c>
      <c r="Z549" s="13" t="n">
        <v>0.0102540537818512</v>
      </c>
      <c r="AA549" s="30" t="s">
        <v>97</v>
      </c>
      <c r="AB549" s="28" t="s">
        <v>93</v>
      </c>
      <c r="AC549" s="28" t="s">
        <v>101</v>
      </c>
      <c r="AD549" s="28" t="s">
        <v>106</v>
      </c>
      <c r="AE549" s="28" t="s">
        <v>112</v>
      </c>
      <c r="AF549" s="28" t="s">
        <v>117</v>
      </c>
      <c r="AG549" s="30" t="s">
        <v>122</v>
      </c>
    </row>
    <row r="550" customFormat="false" ht="15" hidden="false" customHeight="false" outlineLevel="0" collapsed="false">
      <c r="A550" s="10" t="n">
        <v>2025</v>
      </c>
      <c r="B550" s="28" t="s">
        <v>70</v>
      </c>
      <c r="C550" s="29" t="n">
        <v>45894</v>
      </c>
      <c r="D550" s="30" t="s">
        <v>125</v>
      </c>
      <c r="E550" s="28" t="s">
        <v>267</v>
      </c>
      <c r="F550" s="30" t="s">
        <v>268</v>
      </c>
      <c r="G550" s="31" t="n">
        <v>10561</v>
      </c>
      <c r="H550" s="31" t="n">
        <v>9</v>
      </c>
      <c r="I550" s="31" t="n">
        <v>95045</v>
      </c>
      <c r="J550" s="29" t="n">
        <v>45896</v>
      </c>
      <c r="K550" s="31" t="n">
        <v>10050</v>
      </c>
      <c r="L550" s="30" t="s">
        <v>32</v>
      </c>
      <c r="M550" s="10" t="n">
        <v>2</v>
      </c>
      <c r="N550" s="12" t="n">
        <v>-4759</v>
      </c>
      <c r="O550" s="13" t="n">
        <v>-0.0500709227739085</v>
      </c>
      <c r="P550" s="15" t="n">
        <v>-0.0246720104540009</v>
      </c>
      <c r="Q550" s="13" t="n">
        <v>-0.0483450199090009</v>
      </c>
      <c r="R550" s="15" t="n">
        <v>0.0518444666001994</v>
      </c>
      <c r="S550" s="32" t="n">
        <v>21933249550</v>
      </c>
      <c r="T550" s="15" t="n">
        <v>0.00285171102661597</v>
      </c>
      <c r="U550" s="32" t="n">
        <v>10921849277.5</v>
      </c>
      <c r="V550" s="14" t="n">
        <v>1.89487175479169</v>
      </c>
      <c r="W550" s="13" t="n">
        <v>0.0144230769230769</v>
      </c>
      <c r="X550" s="15" t="n">
        <v>0.028436018957346</v>
      </c>
      <c r="Y550" s="13" t="n">
        <v>0.0129799635816241</v>
      </c>
      <c r="Z550" s="13" t="n">
        <v>0.0102540537818512</v>
      </c>
      <c r="AA550" s="30" t="s">
        <v>97</v>
      </c>
      <c r="AB550" s="28" t="s">
        <v>93</v>
      </c>
      <c r="AC550" s="28" t="s">
        <v>101</v>
      </c>
      <c r="AD550" s="28" t="s">
        <v>106</v>
      </c>
      <c r="AE550" s="28" t="s">
        <v>112</v>
      </c>
      <c r="AF550" s="28" t="s">
        <v>116</v>
      </c>
      <c r="AG550" s="30" t="s">
        <v>122</v>
      </c>
    </row>
    <row r="551" customFormat="false" ht="15" hidden="false" customHeight="false" outlineLevel="0" collapsed="false">
      <c r="A551" s="10" t="n">
        <v>2025</v>
      </c>
      <c r="B551" s="28" t="s">
        <v>70</v>
      </c>
      <c r="C551" s="29" t="n">
        <v>45895</v>
      </c>
      <c r="D551" s="30" t="s">
        <v>126</v>
      </c>
      <c r="E551" s="28" t="s">
        <v>1035</v>
      </c>
      <c r="F551" s="30" t="s">
        <v>1036</v>
      </c>
      <c r="G551" s="31" t="n">
        <v>68268</v>
      </c>
      <c r="H551" s="31" t="n">
        <v>1</v>
      </c>
      <c r="I551" s="31" t="n">
        <v>68268</v>
      </c>
      <c r="J551" s="29" t="n">
        <v>45897</v>
      </c>
      <c r="K551" s="31" t="n">
        <v>64935</v>
      </c>
      <c r="L551" s="30" t="s">
        <v>32</v>
      </c>
      <c r="M551" s="10" t="n">
        <v>2</v>
      </c>
      <c r="N551" s="12" t="n">
        <v>-3451</v>
      </c>
      <c r="O551" s="13" t="n">
        <v>-0.0505445138439273</v>
      </c>
      <c r="P551" s="15" t="n">
        <v>0.00046580984997413</v>
      </c>
      <c r="Q551" s="13" t="n">
        <v>-0.0639858675049291</v>
      </c>
      <c r="R551" s="15" t="n">
        <v>0.0444104134762635</v>
      </c>
      <c r="S551" s="32" t="n">
        <v>27630343400</v>
      </c>
      <c r="T551" s="15" t="n">
        <v>0.00294117647058823</v>
      </c>
      <c r="U551" s="32" t="n">
        <v>12129639065</v>
      </c>
      <c r="V551" s="14" t="n">
        <v>2.13933616404691</v>
      </c>
      <c r="W551" s="13" t="n">
        <v>0.0492307692307692</v>
      </c>
      <c r="X551" s="15" t="n">
        <v>0.0278592375366569</v>
      </c>
      <c r="Y551" s="13" t="n">
        <v>-0.00950197204862513</v>
      </c>
      <c r="Z551" s="13" t="n">
        <v>0.00882102831613563</v>
      </c>
      <c r="AA551" s="30" t="s">
        <v>96</v>
      </c>
      <c r="AB551" s="28" t="s">
        <v>93</v>
      </c>
      <c r="AC551" s="28" t="s">
        <v>100</v>
      </c>
      <c r="AD551" s="28" t="s">
        <v>106</v>
      </c>
      <c r="AE551" s="28" t="s">
        <v>112</v>
      </c>
      <c r="AF551" s="28" t="s">
        <v>117</v>
      </c>
      <c r="AG551" s="30" t="s">
        <v>122</v>
      </c>
    </row>
    <row r="552" customFormat="false" ht="15" hidden="false" customHeight="false" outlineLevel="0" collapsed="false">
      <c r="A552" s="10" t="n">
        <v>2025</v>
      </c>
      <c r="B552" s="28" t="s">
        <v>70</v>
      </c>
      <c r="C552" s="29" t="n">
        <v>45897</v>
      </c>
      <c r="D552" s="30" t="s">
        <v>128</v>
      </c>
      <c r="E552" s="28" t="s">
        <v>397</v>
      </c>
      <c r="F552" s="30" t="s">
        <v>398</v>
      </c>
      <c r="G552" s="31" t="n">
        <v>96396</v>
      </c>
      <c r="H552" s="31" t="n">
        <v>1</v>
      </c>
      <c r="I552" s="31" t="n">
        <v>96396</v>
      </c>
      <c r="J552" s="29" t="n">
        <v>45917</v>
      </c>
      <c r="K552" s="31" t="n">
        <v>115700</v>
      </c>
      <c r="L552" s="30" t="s">
        <v>31</v>
      </c>
      <c r="M552" s="10" t="n">
        <v>14</v>
      </c>
      <c r="N552" s="12" t="n">
        <v>19098</v>
      </c>
      <c r="O552" s="13" t="n">
        <v>0.198123118366576</v>
      </c>
      <c r="P552" s="15" t="n">
        <v>0.232412447365719</v>
      </c>
      <c r="Q552" s="13" t="n">
        <v>-0.0321205274476302</v>
      </c>
      <c r="R552" s="15" t="n">
        <v>0.0299465240641712</v>
      </c>
      <c r="S552" s="32" t="n">
        <v>69731118900</v>
      </c>
      <c r="T552" s="15" t="n">
        <v>0.0126182965299684</v>
      </c>
      <c r="U552" s="32" t="n">
        <v>53162878995</v>
      </c>
      <c r="V552" s="14" t="n">
        <v>1.25366805895211</v>
      </c>
      <c r="W552" s="13" t="n">
        <v>0.0310492505353319</v>
      </c>
      <c r="X552" s="15" t="n">
        <v>0.00415368639667713</v>
      </c>
      <c r="Y552" s="13" t="n">
        <v>0.00287403205361514</v>
      </c>
      <c r="Z552" s="13" t="n">
        <v>0.0173725387842407</v>
      </c>
      <c r="AA552" s="30" t="s">
        <v>97</v>
      </c>
      <c r="AB552" s="28" t="s">
        <v>93</v>
      </c>
      <c r="AC552" s="28" t="s">
        <v>99</v>
      </c>
      <c r="AD552" s="28" t="s">
        <v>108</v>
      </c>
      <c r="AE552" s="28" t="s">
        <v>112</v>
      </c>
      <c r="AF552" s="28" t="s">
        <v>116</v>
      </c>
      <c r="AG552" s="30" t="s">
        <v>122</v>
      </c>
    </row>
    <row r="553" customFormat="false" ht="15" hidden="false" customHeight="false" outlineLevel="0" collapsed="false">
      <c r="A553" s="10" t="n">
        <v>2025</v>
      </c>
      <c r="B553" s="28" t="s">
        <v>70</v>
      </c>
      <c r="C553" s="29" t="n">
        <v>45897</v>
      </c>
      <c r="D553" s="30" t="s">
        <v>128</v>
      </c>
      <c r="E553" s="28" t="s">
        <v>1255</v>
      </c>
      <c r="F553" s="30" t="s">
        <v>1256</v>
      </c>
      <c r="G553" s="31" t="n">
        <v>6667</v>
      </c>
      <c r="H553" s="31" t="n">
        <v>14</v>
      </c>
      <c r="I553" s="31" t="n">
        <v>93333</v>
      </c>
      <c r="J553" s="29" t="n">
        <v>45898</v>
      </c>
      <c r="K553" s="31" t="n">
        <v>6344</v>
      </c>
      <c r="L553" s="30" t="s">
        <v>32</v>
      </c>
      <c r="M553" s="10" t="n">
        <v>1</v>
      </c>
      <c r="N553" s="12" t="n">
        <v>-4683</v>
      </c>
      <c r="O553" s="13" t="n">
        <v>-0.0501716033966035</v>
      </c>
      <c r="P553" s="15" t="n">
        <v>0.0230010230010231</v>
      </c>
      <c r="Q553" s="13" t="n">
        <v>-0.113499113499113</v>
      </c>
      <c r="R553" s="15" t="n">
        <v>0.25187969924812</v>
      </c>
      <c r="S553" s="32" t="n">
        <v>65627053920</v>
      </c>
      <c r="T553" s="15" t="n">
        <v>0.11744966442953</v>
      </c>
      <c r="U553" s="32" t="n">
        <v>4004083830</v>
      </c>
      <c r="V553" s="14" t="n">
        <v>13.3747355720991</v>
      </c>
      <c r="W553" s="13" t="n">
        <v>0.275862068965517</v>
      </c>
      <c r="X553" s="15" t="n">
        <v>0.0315315315315314</v>
      </c>
      <c r="Y553" s="13" t="n">
        <v>0.00287403205361514</v>
      </c>
      <c r="Z553" s="13" t="n">
        <v>0.0173725387842407</v>
      </c>
      <c r="AA553" s="30" t="s">
        <v>97</v>
      </c>
      <c r="AB553" s="28" t="s">
        <v>93</v>
      </c>
      <c r="AC553" s="28" t="s">
        <v>104</v>
      </c>
      <c r="AD553" s="28" t="s">
        <v>108</v>
      </c>
      <c r="AE553" s="28" t="s">
        <v>114</v>
      </c>
      <c r="AF553" s="28" t="s">
        <v>120</v>
      </c>
      <c r="AG553" s="30" t="s">
        <v>122</v>
      </c>
    </row>
    <row r="554" customFormat="false" ht="15" hidden="false" customHeight="false" outlineLevel="0" collapsed="false">
      <c r="A554" s="10" t="n">
        <v>2025</v>
      </c>
      <c r="B554" s="28" t="s">
        <v>70</v>
      </c>
      <c r="C554" s="29" t="n">
        <v>45897</v>
      </c>
      <c r="D554" s="30" t="s">
        <v>128</v>
      </c>
      <c r="E554" s="28" t="s">
        <v>1437</v>
      </c>
      <c r="F554" s="30" t="s">
        <v>1438</v>
      </c>
      <c r="G554" s="31" t="n">
        <v>64164</v>
      </c>
      <c r="H554" s="31" t="n">
        <v>1</v>
      </c>
      <c r="I554" s="31" t="n">
        <v>64164</v>
      </c>
      <c r="J554" s="29" t="n">
        <v>45909</v>
      </c>
      <c r="K554" s="31" t="n">
        <v>77000</v>
      </c>
      <c r="L554" s="30" t="s">
        <v>31</v>
      </c>
      <c r="M554" s="10" t="n">
        <v>8</v>
      </c>
      <c r="N554" s="12" t="n">
        <v>12699</v>
      </c>
      <c r="O554" s="13" t="n">
        <v>0.197917922716909</v>
      </c>
      <c r="P554" s="15" t="n">
        <v>0.262388157863977</v>
      </c>
      <c r="Q554" s="13" t="n">
        <v>-0.0150255360863784</v>
      </c>
      <c r="R554" s="15" t="n">
        <v>0.1508078994614</v>
      </c>
      <c r="S554" s="32" t="n">
        <v>43277050900</v>
      </c>
      <c r="T554" s="15" t="n">
        <v>0.118673647469459</v>
      </c>
      <c r="U554" s="32" t="n">
        <v>3334235880</v>
      </c>
      <c r="V554" s="14" t="n">
        <v>10.9084842815157</v>
      </c>
      <c r="W554" s="13" t="n">
        <v>0.152877697841727</v>
      </c>
      <c r="X554" s="15" t="n">
        <v>0.0530421216848673</v>
      </c>
      <c r="Y554" s="13" t="n">
        <v>0.00287403205361514</v>
      </c>
      <c r="Z554" s="13" t="n">
        <v>0.0173725387842407</v>
      </c>
      <c r="AA554" s="30" t="s">
        <v>97</v>
      </c>
      <c r="AB554" s="28" t="s">
        <v>93</v>
      </c>
      <c r="AC554" s="28" t="s">
        <v>103</v>
      </c>
      <c r="AD554" s="28" t="s">
        <v>107</v>
      </c>
      <c r="AE554" s="28" t="s">
        <v>114</v>
      </c>
      <c r="AF554" s="28" t="s">
        <v>120</v>
      </c>
      <c r="AG554" s="30" t="s">
        <v>122</v>
      </c>
    </row>
    <row r="555" customFormat="false" ht="15" hidden="false" customHeight="false" outlineLevel="0" collapsed="false">
      <c r="A555" s="10" t="n">
        <v>2025</v>
      </c>
      <c r="B555" s="28" t="s">
        <v>70</v>
      </c>
      <c r="C555" s="29" t="n">
        <v>45897</v>
      </c>
      <c r="D555" s="30" t="s">
        <v>128</v>
      </c>
      <c r="E555" s="28" t="s">
        <v>785</v>
      </c>
      <c r="F555" s="30" t="s">
        <v>786</v>
      </c>
      <c r="G555" s="31" t="n">
        <v>28929</v>
      </c>
      <c r="H555" s="31" t="n">
        <v>3</v>
      </c>
      <c r="I555" s="31" t="n">
        <v>86787</v>
      </c>
      <c r="J555" s="29" t="n">
        <v>45943</v>
      </c>
      <c r="K555" s="31" t="n">
        <v>27522</v>
      </c>
      <c r="L555" s="30" t="s">
        <v>32</v>
      </c>
      <c r="M555" s="10" t="n">
        <v>27</v>
      </c>
      <c r="N555" s="12" t="n">
        <v>-4369</v>
      </c>
      <c r="O555" s="13" t="n">
        <v>-0.0503372536632917</v>
      </c>
      <c r="P555" s="15" t="n">
        <v>0.13381428260321</v>
      </c>
      <c r="Q555" s="13" t="n">
        <v>-0.0563070147845234</v>
      </c>
      <c r="R555" s="15" t="n">
        <v>0.0471014492753623</v>
      </c>
      <c r="S555" s="32" t="n">
        <v>23616444200</v>
      </c>
      <c r="T555" s="15" t="n">
        <v>0.0266429840142095</v>
      </c>
      <c r="U555" s="32" t="n">
        <v>4655423342.5</v>
      </c>
      <c r="V555" s="14" t="n">
        <v>4.81953391045051</v>
      </c>
      <c r="W555" s="13" t="n">
        <v>0.0547445255474452</v>
      </c>
      <c r="X555" s="15" t="n">
        <v>0.0363321799307959</v>
      </c>
      <c r="Y555" s="13" t="n">
        <v>0.00287403205361514</v>
      </c>
      <c r="Z555" s="13" t="n">
        <v>0.0173725387842407</v>
      </c>
      <c r="AA555" s="30" t="s">
        <v>97</v>
      </c>
      <c r="AB555" s="28" t="s">
        <v>93</v>
      </c>
      <c r="AC555" s="28" t="s">
        <v>100</v>
      </c>
      <c r="AD555" s="28" t="s">
        <v>106</v>
      </c>
      <c r="AE555" s="28" t="s">
        <v>113</v>
      </c>
      <c r="AF555" s="28" t="s">
        <v>118</v>
      </c>
      <c r="AG555" s="30" t="s">
        <v>122</v>
      </c>
    </row>
    <row r="556" customFormat="false" ht="15" hidden="false" customHeight="false" outlineLevel="0" collapsed="false">
      <c r="A556" s="10" t="n">
        <v>2025</v>
      </c>
      <c r="B556" s="28" t="s">
        <v>70</v>
      </c>
      <c r="C556" s="29" t="n">
        <v>45898</v>
      </c>
      <c r="D556" s="30" t="s">
        <v>129</v>
      </c>
      <c r="E556" s="28" t="s">
        <v>353</v>
      </c>
      <c r="F556" s="30" t="s">
        <v>354</v>
      </c>
      <c r="G556" s="31" t="n">
        <v>16096</v>
      </c>
      <c r="H556" s="31" t="n">
        <v>6</v>
      </c>
      <c r="I556" s="31" t="n">
        <v>96576</v>
      </c>
      <c r="J556" s="29" t="n">
        <v>45915</v>
      </c>
      <c r="K556" s="31" t="n">
        <v>19320</v>
      </c>
      <c r="L556" s="30" t="s">
        <v>31</v>
      </c>
      <c r="M556" s="10" t="n">
        <v>11</v>
      </c>
      <c r="N556" s="12" t="n">
        <v>19138</v>
      </c>
      <c r="O556" s="13" t="n">
        <v>0.198161762864002</v>
      </c>
      <c r="P556" s="15" t="n">
        <v>0.204019860736279</v>
      </c>
      <c r="Q556" s="13" t="n">
        <v>-0.0339262727322428</v>
      </c>
      <c r="R556" s="15" t="n">
        <v>0.0953678474114441</v>
      </c>
      <c r="S556" s="32" t="n">
        <v>58117156080</v>
      </c>
      <c r="T556" s="15" t="n">
        <v>0.0649006622516557</v>
      </c>
      <c r="U556" s="32" t="n">
        <v>3421927392</v>
      </c>
      <c r="V556" s="14" t="n">
        <v>15.2908378534915</v>
      </c>
      <c r="W556" s="13" t="n">
        <v>0.0857528696826468</v>
      </c>
      <c r="X556" s="15" t="n">
        <v>0.00310945273631846</v>
      </c>
      <c r="Y556" s="13" t="n">
        <v>-0.00322558442208543</v>
      </c>
      <c r="Z556" s="13" t="n">
        <v>0.00545328885704999</v>
      </c>
      <c r="AA556" s="30" t="s">
        <v>97</v>
      </c>
      <c r="AB556" s="28" t="s">
        <v>93</v>
      </c>
      <c r="AC556" s="28" t="s">
        <v>101</v>
      </c>
      <c r="AD556" s="28" t="s">
        <v>108</v>
      </c>
      <c r="AE556" s="28" t="s">
        <v>101</v>
      </c>
      <c r="AF556" s="28" t="s">
        <v>120</v>
      </c>
      <c r="AG556" s="30" t="s">
        <v>122</v>
      </c>
    </row>
    <row r="557" customFormat="false" ht="15" hidden="false" customHeight="false" outlineLevel="0" collapsed="false">
      <c r="A557" s="10" t="n">
        <v>2025</v>
      </c>
      <c r="B557" s="28" t="s">
        <v>70</v>
      </c>
      <c r="C557" s="29" t="n">
        <v>45898</v>
      </c>
      <c r="D557" s="30" t="s">
        <v>129</v>
      </c>
      <c r="E557" s="28" t="s">
        <v>641</v>
      </c>
      <c r="F557" s="30" t="s">
        <v>642</v>
      </c>
      <c r="G557" s="31" t="n">
        <v>18147</v>
      </c>
      <c r="H557" s="31" t="n">
        <v>5</v>
      </c>
      <c r="I557" s="31" t="n">
        <v>90737</v>
      </c>
      <c r="J557" s="29" t="n">
        <v>45908</v>
      </c>
      <c r="K557" s="31" t="n">
        <v>21800</v>
      </c>
      <c r="L557" s="30" t="s">
        <v>31</v>
      </c>
      <c r="M557" s="10" t="n">
        <v>6</v>
      </c>
      <c r="N557" s="12" t="n">
        <v>18070</v>
      </c>
      <c r="O557" s="13" t="n">
        <v>0.199146633581494</v>
      </c>
      <c r="P557" s="15" t="n">
        <v>0.237007506599983</v>
      </c>
      <c r="Q557" s="13" t="n">
        <v>-0.0140476033892959</v>
      </c>
      <c r="R557" s="15" t="n">
        <v>0.0235294117647058</v>
      </c>
      <c r="S557" s="32" t="n">
        <v>48835250640</v>
      </c>
      <c r="T557" s="15" t="n">
        <v>0.0100263852242744</v>
      </c>
      <c r="U557" s="32" t="n">
        <v>15546524910</v>
      </c>
      <c r="V557" s="14" t="n">
        <v>3.01997445159251</v>
      </c>
      <c r="W557" s="13" t="n">
        <v>0.0235294117647058</v>
      </c>
      <c r="X557" s="15" t="n">
        <v>0.0360501567398119</v>
      </c>
      <c r="Y557" s="13" t="n">
        <v>-0.00322558442208543</v>
      </c>
      <c r="Z557" s="13" t="n">
        <v>0.00545328885704999</v>
      </c>
      <c r="AA557" s="30" t="s">
        <v>97</v>
      </c>
      <c r="AB557" s="28" t="s">
        <v>93</v>
      </c>
      <c r="AC557" s="28" t="s">
        <v>99</v>
      </c>
      <c r="AD557" s="28" t="s">
        <v>107</v>
      </c>
      <c r="AE557" s="28" t="s">
        <v>112</v>
      </c>
      <c r="AF557" s="28" t="s">
        <v>118</v>
      </c>
      <c r="AG557" s="30" t="s">
        <v>122</v>
      </c>
    </row>
    <row r="558" customFormat="false" ht="15" hidden="false" customHeight="false" outlineLevel="0" collapsed="false">
      <c r="A558" s="10" t="n">
        <v>2025</v>
      </c>
      <c r="B558" s="28" t="s">
        <v>70</v>
      </c>
      <c r="C558" s="29" t="n">
        <v>45898</v>
      </c>
      <c r="D558" s="30" t="s">
        <v>129</v>
      </c>
      <c r="E558" s="28" t="s">
        <v>241</v>
      </c>
      <c r="F558" s="30" t="s">
        <v>242</v>
      </c>
      <c r="G558" s="31" t="n">
        <v>19169</v>
      </c>
      <c r="H558" s="31" t="n">
        <v>5</v>
      </c>
      <c r="I558" s="31" t="n">
        <v>95846</v>
      </c>
      <c r="J558" s="29" t="n">
        <v>45915</v>
      </c>
      <c r="K558" s="31" t="n">
        <v>23050</v>
      </c>
      <c r="L558" s="30" t="s">
        <v>31</v>
      </c>
      <c r="M558" s="10" t="n">
        <v>11</v>
      </c>
      <c r="N558" s="12" t="n">
        <v>19200</v>
      </c>
      <c r="O558" s="13" t="n">
        <v>0.200318852296529</v>
      </c>
      <c r="P558" s="15" t="n">
        <v>0.233753191977735</v>
      </c>
      <c r="Q558" s="13" t="n">
        <v>-0.0416893811149685</v>
      </c>
      <c r="R558" s="15" t="n">
        <v>0.00314300680984814</v>
      </c>
      <c r="S558" s="32" t="n">
        <v>40063715000</v>
      </c>
      <c r="T558" s="15" t="n">
        <v>0.00314300680984814</v>
      </c>
      <c r="U558" s="32" t="n">
        <v>39519155787</v>
      </c>
      <c r="V558" s="14" t="n">
        <v>0.977981417558378</v>
      </c>
      <c r="W558" s="13" t="n">
        <v>-0.0118679050567595</v>
      </c>
      <c r="X558" s="15" t="n">
        <v>0.0151436031331593</v>
      </c>
      <c r="Y558" s="13" t="n">
        <v>-0.00322558442208543</v>
      </c>
      <c r="Z558" s="13" t="n">
        <v>0.00545328885704999</v>
      </c>
      <c r="AA558" s="30" t="s">
        <v>97</v>
      </c>
      <c r="AB558" s="28" t="s">
        <v>93</v>
      </c>
      <c r="AC558" s="28" t="s">
        <v>99</v>
      </c>
      <c r="AD558" s="28" t="s">
        <v>107</v>
      </c>
      <c r="AE558" s="28" t="s">
        <v>112</v>
      </c>
      <c r="AF558" s="28" t="s">
        <v>116</v>
      </c>
      <c r="AG558" s="30" t="s">
        <v>123</v>
      </c>
    </row>
    <row r="559" customFormat="false" ht="15" hidden="false" customHeight="false" outlineLevel="0" collapsed="false">
      <c r="A559" s="10" t="n">
        <v>2025</v>
      </c>
      <c r="B559" s="28" t="s">
        <v>71</v>
      </c>
      <c r="C559" s="29" t="n">
        <v>45905</v>
      </c>
      <c r="D559" s="30" t="s">
        <v>129</v>
      </c>
      <c r="E559" s="28" t="s">
        <v>1113</v>
      </c>
      <c r="F559" s="30" t="s">
        <v>1114</v>
      </c>
      <c r="G559" s="31" t="n">
        <v>16587</v>
      </c>
      <c r="H559" s="31" t="n">
        <v>6</v>
      </c>
      <c r="I559" s="31" t="n">
        <v>99519</v>
      </c>
      <c r="J559" s="29" t="n">
        <v>45924</v>
      </c>
      <c r="K559" s="31" t="n">
        <v>19910</v>
      </c>
      <c r="L559" s="30" t="s">
        <v>31</v>
      </c>
      <c r="M559" s="10" t="n">
        <v>13</v>
      </c>
      <c r="N559" s="12" t="n">
        <v>19729</v>
      </c>
      <c r="O559" s="13" t="n">
        <v>0.198238123644611</v>
      </c>
      <c r="P559" s="15" t="n">
        <v>0.205191911287264</v>
      </c>
      <c r="Q559" s="13" t="n">
        <v>-0.0377757426640951</v>
      </c>
      <c r="R559" s="15" t="n">
        <v>0.0901315789473685</v>
      </c>
      <c r="S559" s="32" t="n">
        <v>26207791370</v>
      </c>
      <c r="T559" s="15" t="n">
        <v>0.0454258675078865</v>
      </c>
      <c r="U559" s="32" t="n">
        <v>4094838870</v>
      </c>
      <c r="V559" s="14" t="n">
        <v>5.9290041154454</v>
      </c>
      <c r="W559" s="13" t="n">
        <v>0.0844240837696335</v>
      </c>
      <c r="X559" s="15" t="n">
        <v>0.019915509957755</v>
      </c>
      <c r="Y559" s="13" t="n">
        <v>0.0013402773655582</v>
      </c>
      <c r="Z559" s="13" t="n">
        <v>0.00599809793440698</v>
      </c>
      <c r="AA559" s="30" t="s">
        <v>97</v>
      </c>
      <c r="AB559" s="28" t="s">
        <v>93</v>
      </c>
      <c r="AC559" s="28" t="s">
        <v>101</v>
      </c>
      <c r="AD559" s="28" t="s">
        <v>106</v>
      </c>
      <c r="AE559" s="28" t="s">
        <v>113</v>
      </c>
      <c r="AF559" s="28" t="s">
        <v>119</v>
      </c>
      <c r="AG559" s="30" t="s">
        <v>122</v>
      </c>
    </row>
    <row r="560" customFormat="false" ht="15" hidden="false" customHeight="false" outlineLevel="0" collapsed="false">
      <c r="A560" s="10" t="n">
        <v>2025</v>
      </c>
      <c r="B560" s="28" t="s">
        <v>71</v>
      </c>
      <c r="C560" s="29" t="n">
        <v>45905</v>
      </c>
      <c r="D560" s="30" t="s">
        <v>129</v>
      </c>
      <c r="E560" s="28" t="s">
        <v>879</v>
      </c>
      <c r="F560" s="30" t="s">
        <v>880</v>
      </c>
      <c r="G560" s="31" t="n">
        <v>42442</v>
      </c>
      <c r="H560" s="31" t="n">
        <v>2</v>
      </c>
      <c r="I560" s="31" t="n">
        <v>84885</v>
      </c>
      <c r="J560" s="29" t="n">
        <v>45912</v>
      </c>
      <c r="K560" s="31" t="n">
        <v>51000</v>
      </c>
      <c r="L560" s="30" t="s">
        <v>31</v>
      </c>
      <c r="M560" s="10" t="n">
        <v>5</v>
      </c>
      <c r="N560" s="12" t="n">
        <v>16934</v>
      </c>
      <c r="O560" s="13" t="n">
        <v>0.19949587299493</v>
      </c>
      <c r="P560" s="15" t="n">
        <v>0.211053097845551</v>
      </c>
      <c r="Q560" s="13" t="n">
        <v>-0.0339848830414867</v>
      </c>
      <c r="R560" s="15" t="n">
        <v>0.0666666666666667</v>
      </c>
      <c r="S560" s="32" t="n">
        <v>25906315200</v>
      </c>
      <c r="T560" s="15" t="n">
        <v>0.0666666666666667</v>
      </c>
      <c r="U560" s="32" t="n">
        <v>6046036885</v>
      </c>
      <c r="V560" s="14" t="n">
        <v>3.85498155470464</v>
      </c>
      <c r="W560" s="13" t="n">
        <v>0.0666666666666667</v>
      </c>
      <c r="X560" s="15" t="n">
        <v>0.00943396226415105</v>
      </c>
      <c r="Y560" s="13" t="n">
        <v>0.0013402773655582</v>
      </c>
      <c r="Z560" s="13" t="n">
        <v>0.00599809793440698</v>
      </c>
      <c r="AA560" s="30" t="s">
        <v>97</v>
      </c>
      <c r="AB560" s="28" t="s">
        <v>93</v>
      </c>
      <c r="AC560" s="28" t="s">
        <v>101</v>
      </c>
      <c r="AD560" s="28" t="s">
        <v>106</v>
      </c>
      <c r="AE560" s="28" t="s">
        <v>101</v>
      </c>
      <c r="AF560" s="28" t="s">
        <v>118</v>
      </c>
      <c r="AG560" s="30" t="s">
        <v>122</v>
      </c>
    </row>
    <row r="561" customFormat="false" ht="15" hidden="false" customHeight="false" outlineLevel="0" collapsed="false">
      <c r="A561" s="10" t="n">
        <v>2025</v>
      </c>
      <c r="B561" s="28" t="s">
        <v>71</v>
      </c>
      <c r="C561" s="29" t="n">
        <v>45909</v>
      </c>
      <c r="D561" s="30" t="s">
        <v>126</v>
      </c>
      <c r="E561" s="28" t="s">
        <v>471</v>
      </c>
      <c r="F561" s="30" t="s">
        <v>472</v>
      </c>
      <c r="G561" s="31" t="n">
        <v>72673</v>
      </c>
      <c r="H561" s="31" t="n">
        <v>1</v>
      </c>
      <c r="I561" s="31" t="n">
        <v>72673</v>
      </c>
      <c r="J561" s="29"/>
      <c r="K561" s="31"/>
      <c r="L561" s="30" t="s">
        <v>33</v>
      </c>
      <c r="M561" s="10" t="n">
        <v>74</v>
      </c>
      <c r="N561" s="12" t="n">
        <v>18216</v>
      </c>
      <c r="O561" s="13" t="n">
        <v>0.253567369269849</v>
      </c>
      <c r="P561" s="15" t="n">
        <v>1.24293612723365</v>
      </c>
      <c r="Q561" s="13" t="n">
        <v>-0.0271436552428287</v>
      </c>
      <c r="R561" s="15" t="n">
        <v>0.0446043165467627</v>
      </c>
      <c r="S561" s="32" t="n">
        <v>52040260800</v>
      </c>
      <c r="T561" s="15" t="n">
        <v>0.0446043165467627</v>
      </c>
      <c r="U561" s="32" t="n">
        <v>14476758960</v>
      </c>
      <c r="V561" s="14" t="n">
        <v>3.38208153754656</v>
      </c>
      <c r="W561" s="13" t="n">
        <v>0.0371428571428571</v>
      </c>
      <c r="X561" s="15" t="n">
        <v>0.00137741046831952</v>
      </c>
      <c r="Y561" s="13" t="n">
        <v>0.0125668175140312</v>
      </c>
      <c r="Z561" s="13" t="n">
        <v>0.0276451211247184</v>
      </c>
      <c r="AA561" s="30" t="s">
        <v>97</v>
      </c>
      <c r="AB561" s="28" t="s">
        <v>93</v>
      </c>
      <c r="AC561" s="28" t="s">
        <v>100</v>
      </c>
      <c r="AD561" s="28" t="s">
        <v>108</v>
      </c>
      <c r="AE561" s="28" t="s">
        <v>113</v>
      </c>
      <c r="AF561" s="28" t="s">
        <v>118</v>
      </c>
      <c r="AG561" s="30" t="s">
        <v>122</v>
      </c>
    </row>
    <row r="562" customFormat="false" ht="15" hidden="false" customHeight="false" outlineLevel="0" collapsed="false">
      <c r="A562" s="10" t="n">
        <v>2025</v>
      </c>
      <c r="B562" s="28" t="s">
        <v>71</v>
      </c>
      <c r="C562" s="29" t="n">
        <v>45909</v>
      </c>
      <c r="D562" s="30" t="s">
        <v>126</v>
      </c>
      <c r="E562" s="28" t="s">
        <v>1439</v>
      </c>
      <c r="F562" s="30" t="s">
        <v>1440</v>
      </c>
      <c r="G562" s="31" t="n">
        <v>25976</v>
      </c>
      <c r="H562" s="31" t="n">
        <v>3</v>
      </c>
      <c r="I562" s="31" t="n">
        <v>77928</v>
      </c>
      <c r="J562" s="29" t="n">
        <v>45929</v>
      </c>
      <c r="K562" s="31" t="n">
        <v>24725</v>
      </c>
      <c r="L562" s="30" t="s">
        <v>32</v>
      </c>
      <c r="M562" s="10" t="n">
        <v>14</v>
      </c>
      <c r="N562" s="12" t="n">
        <v>-3886</v>
      </c>
      <c r="O562" s="13" t="n">
        <v>-0.0498689385758749</v>
      </c>
      <c r="P562" s="15" t="n">
        <v>0.191486740619689</v>
      </c>
      <c r="Q562" s="13" t="n">
        <v>-0.0625944383169815</v>
      </c>
      <c r="R562" s="15" t="n">
        <v>0.0835073068893528</v>
      </c>
      <c r="S562" s="32" t="n">
        <v>51961838850</v>
      </c>
      <c r="T562" s="15" t="n">
        <v>0.0570264765784114</v>
      </c>
      <c r="U562" s="32" t="n">
        <v>4649016025</v>
      </c>
      <c r="V562" s="14" t="n">
        <v>10.0277387717819</v>
      </c>
      <c r="W562" s="13" t="n">
        <v>0.0767634854771784</v>
      </c>
      <c r="X562" s="15" t="n">
        <v>0.0616570327552986</v>
      </c>
      <c r="Y562" s="13" t="n">
        <v>0.0125668175140312</v>
      </c>
      <c r="Z562" s="13" t="n">
        <v>0.0276451211247184</v>
      </c>
      <c r="AA562" s="30" t="s">
        <v>97</v>
      </c>
      <c r="AB562" s="28" t="s">
        <v>93</v>
      </c>
      <c r="AC562" s="28" t="s">
        <v>101</v>
      </c>
      <c r="AD562" s="28" t="s">
        <v>108</v>
      </c>
      <c r="AE562" s="28" t="s">
        <v>101</v>
      </c>
      <c r="AF562" s="28" t="s">
        <v>120</v>
      </c>
      <c r="AG562" s="30" t="s">
        <v>122</v>
      </c>
    </row>
    <row r="563" customFormat="false" ht="15" hidden="false" customHeight="false" outlineLevel="0" collapsed="false">
      <c r="A563" s="10" t="n">
        <v>2025</v>
      </c>
      <c r="B563" s="28" t="s">
        <v>71</v>
      </c>
      <c r="C563" s="29" t="n">
        <v>45909</v>
      </c>
      <c r="D563" s="30" t="s">
        <v>126</v>
      </c>
      <c r="E563" s="28" t="s">
        <v>797</v>
      </c>
      <c r="F563" s="30" t="s">
        <v>798</v>
      </c>
      <c r="G563" s="31" t="n">
        <v>65566</v>
      </c>
      <c r="H563" s="31" t="n">
        <v>1</v>
      </c>
      <c r="I563" s="31" t="n">
        <v>65566</v>
      </c>
      <c r="J563" s="29" t="n">
        <v>45910</v>
      </c>
      <c r="K563" s="31" t="n">
        <v>62338</v>
      </c>
      <c r="L563" s="30" t="s">
        <v>32</v>
      </c>
      <c r="M563" s="10" t="n">
        <v>1</v>
      </c>
      <c r="N563" s="12" t="n">
        <v>-3341</v>
      </c>
      <c r="O563" s="13" t="n">
        <v>-0.0509504520670171</v>
      </c>
      <c r="P563" s="15" t="n">
        <v>-0.00557457809366202</v>
      </c>
      <c r="Q563" s="13" t="n">
        <v>-0.0498051566753857</v>
      </c>
      <c r="R563" s="15" t="n">
        <v>0.029874213836478</v>
      </c>
      <c r="S563" s="32" t="n">
        <v>32320909500</v>
      </c>
      <c r="T563" s="15" t="n">
        <v>0.029874213836478</v>
      </c>
      <c r="U563" s="32" t="n">
        <v>9238440655</v>
      </c>
      <c r="V563" s="14" t="n">
        <v>3.20599319557508</v>
      </c>
      <c r="W563" s="13" t="n">
        <v>0.00460122699386512</v>
      </c>
      <c r="X563" s="15" t="n">
        <v>0.0473282442748091</v>
      </c>
      <c r="Y563" s="13" t="n">
        <v>0.0125668175140312</v>
      </c>
      <c r="Z563" s="13" t="n">
        <v>0.0276451211247184</v>
      </c>
      <c r="AA563" s="30" t="s">
        <v>97</v>
      </c>
      <c r="AB563" s="28" t="s">
        <v>93</v>
      </c>
      <c r="AC563" s="28" t="s">
        <v>99</v>
      </c>
      <c r="AD563" s="28" t="s">
        <v>107</v>
      </c>
      <c r="AE563" s="28" t="s">
        <v>113</v>
      </c>
      <c r="AF563" s="28" t="s">
        <v>118</v>
      </c>
      <c r="AG563" s="30" t="s">
        <v>122</v>
      </c>
    </row>
    <row r="564" customFormat="false" ht="15" hidden="false" customHeight="false" outlineLevel="0" collapsed="false">
      <c r="A564" s="10" t="n">
        <v>2025</v>
      </c>
      <c r="B564" s="28" t="s">
        <v>71</v>
      </c>
      <c r="C564" s="29" t="n">
        <v>45909</v>
      </c>
      <c r="D564" s="30" t="s">
        <v>126</v>
      </c>
      <c r="E564" s="28" t="s">
        <v>1187</v>
      </c>
      <c r="F564" s="30" t="s">
        <v>1188</v>
      </c>
      <c r="G564" s="31" t="n">
        <v>6026</v>
      </c>
      <c r="H564" s="31" t="n">
        <v>16</v>
      </c>
      <c r="I564" s="31" t="n">
        <v>96416</v>
      </c>
      <c r="J564" s="29" t="n">
        <v>45924</v>
      </c>
      <c r="K564" s="31" t="n">
        <v>5734</v>
      </c>
      <c r="L564" s="30" t="s">
        <v>32</v>
      </c>
      <c r="M564" s="10" t="n">
        <v>11</v>
      </c>
      <c r="N564" s="12" t="n">
        <v>-4834</v>
      </c>
      <c r="O564" s="13" t="n">
        <v>-0.0501368120251839</v>
      </c>
      <c r="P564" s="15" t="n">
        <v>0.0438066916472233</v>
      </c>
      <c r="Q564" s="13" t="n">
        <v>-0.0740156853113663</v>
      </c>
      <c r="R564" s="15" t="n">
        <v>0.0524475524475525</v>
      </c>
      <c r="S564" s="32" t="n">
        <v>31592947960</v>
      </c>
      <c r="T564" s="15" t="n">
        <v>0.0487804878048781</v>
      </c>
      <c r="U564" s="32" t="n">
        <v>7357332946</v>
      </c>
      <c r="V564" s="14" t="n">
        <v>3.95903662902387</v>
      </c>
      <c r="W564" s="13" t="n">
        <v>0.034364261168385</v>
      </c>
      <c r="X564" s="15" t="n">
        <v>0.0132890365448506</v>
      </c>
      <c r="Y564" s="13" t="n">
        <v>0.0125668175140312</v>
      </c>
      <c r="Z564" s="13" t="n">
        <v>0.0276451211247184</v>
      </c>
      <c r="AA564" s="30" t="s">
        <v>97</v>
      </c>
      <c r="AB564" s="28" t="s">
        <v>93</v>
      </c>
      <c r="AC564" s="28" t="s">
        <v>101</v>
      </c>
      <c r="AD564" s="28" t="s">
        <v>107</v>
      </c>
      <c r="AE564" s="28" t="s">
        <v>113</v>
      </c>
      <c r="AF564" s="28" t="s">
        <v>118</v>
      </c>
      <c r="AG564" s="30" t="s">
        <v>122</v>
      </c>
    </row>
    <row r="565" customFormat="false" ht="15" hidden="false" customHeight="false" outlineLevel="0" collapsed="false">
      <c r="A565" s="10" t="n">
        <v>2025</v>
      </c>
      <c r="B565" s="28" t="s">
        <v>71</v>
      </c>
      <c r="C565" s="29" t="n">
        <v>45909</v>
      </c>
      <c r="D565" s="30" t="s">
        <v>126</v>
      </c>
      <c r="E565" s="28" t="s">
        <v>871</v>
      </c>
      <c r="F565" s="28" t="s">
        <v>872</v>
      </c>
      <c r="G565" s="31" t="n">
        <v>20220</v>
      </c>
      <c r="H565" s="31" t="n">
        <v>4</v>
      </c>
      <c r="I565" s="31" t="n">
        <v>80881</v>
      </c>
      <c r="J565" s="29" t="n">
        <v>45926</v>
      </c>
      <c r="K565" s="31" t="n">
        <v>19241</v>
      </c>
      <c r="L565" s="30" t="s">
        <v>32</v>
      </c>
      <c r="M565" s="10" t="n">
        <v>13</v>
      </c>
      <c r="N565" s="12" t="n">
        <v>-4057</v>
      </c>
      <c r="O565" s="13" t="n">
        <v>-0.0501597536621792</v>
      </c>
      <c r="P565" s="15" t="n">
        <v>0.0830753405010833</v>
      </c>
      <c r="Q565" s="13" t="n">
        <v>-0.0479817212490479</v>
      </c>
      <c r="R565" s="15" t="n">
        <v>0.0439276485788114</v>
      </c>
      <c r="S565" s="32" t="n">
        <v>27836084800</v>
      </c>
      <c r="T565" s="15" t="n">
        <v>0.0248604769152714</v>
      </c>
      <c r="U565" s="32" t="n">
        <v>9906233212.5</v>
      </c>
      <c r="V565" s="14" t="n">
        <v>2.67919997138089</v>
      </c>
      <c r="W565" s="13" t="n">
        <v>0.038560411311054</v>
      </c>
      <c r="X565" s="15" t="n">
        <v>0.0148514851485149</v>
      </c>
      <c r="Y565" s="13" t="n">
        <v>0.0125668175140312</v>
      </c>
      <c r="Z565" s="13" t="n">
        <v>0.0276451211247184</v>
      </c>
      <c r="AA565" s="30" t="s">
        <v>97</v>
      </c>
      <c r="AB565" s="28" t="s">
        <v>93</v>
      </c>
      <c r="AC565" s="28" t="s">
        <v>100</v>
      </c>
      <c r="AD565" s="28" t="s">
        <v>106</v>
      </c>
      <c r="AE565" s="28" t="s">
        <v>113</v>
      </c>
      <c r="AF565" s="28" t="s">
        <v>117</v>
      </c>
      <c r="AG565" s="30" t="s">
        <v>122</v>
      </c>
    </row>
    <row r="566" customFormat="false" ht="15" hidden="false" customHeight="false" outlineLevel="0" collapsed="false">
      <c r="A566" s="10" t="n">
        <v>2025</v>
      </c>
      <c r="B566" s="28" t="s">
        <v>71</v>
      </c>
      <c r="C566" s="29" t="n">
        <v>45909</v>
      </c>
      <c r="D566" s="30" t="s">
        <v>126</v>
      </c>
      <c r="E566" s="28" t="s">
        <v>867</v>
      </c>
      <c r="F566" s="30" t="s">
        <v>868</v>
      </c>
      <c r="G566" s="31" t="n">
        <v>56556</v>
      </c>
      <c r="H566" s="31" t="n">
        <v>1</v>
      </c>
      <c r="I566" s="31" t="n">
        <v>56556</v>
      </c>
      <c r="J566" s="29" t="n">
        <v>45911</v>
      </c>
      <c r="K566" s="31" t="n">
        <v>53746</v>
      </c>
      <c r="L566" s="30" t="s">
        <v>32</v>
      </c>
      <c r="M566" s="10" t="n">
        <v>2</v>
      </c>
      <c r="N566" s="12" t="n">
        <v>-2907</v>
      </c>
      <c r="O566" s="13" t="n">
        <v>-0.0514081441567282</v>
      </c>
      <c r="P566" s="15" t="n">
        <v>0.0608860166382292</v>
      </c>
      <c r="Q566" s="13" t="n">
        <v>-0.0734928788026132</v>
      </c>
      <c r="R566" s="15" t="n">
        <v>0.147208121827411</v>
      </c>
      <c r="S566" s="32" t="n">
        <v>26872078000</v>
      </c>
      <c r="T566" s="15" t="n">
        <v>0.0580524344569289</v>
      </c>
      <c r="U566" s="32" t="n">
        <v>10427052817.5</v>
      </c>
      <c r="V566" s="14" t="n">
        <v>2.19051369381942</v>
      </c>
      <c r="W566" s="13" t="n">
        <v>0.125498007968128</v>
      </c>
      <c r="X566" s="15" t="n">
        <v>0.0176991150442478</v>
      </c>
      <c r="Y566" s="13" t="n">
        <v>0.0125668175140312</v>
      </c>
      <c r="Z566" s="13" t="n">
        <v>0.0276451211247184</v>
      </c>
      <c r="AA566" s="30" t="s">
        <v>97</v>
      </c>
      <c r="AB566" s="28" t="s">
        <v>93</v>
      </c>
      <c r="AC566" s="28" t="s">
        <v>102</v>
      </c>
      <c r="AD566" s="28" t="s">
        <v>106</v>
      </c>
      <c r="AE566" s="28" t="s">
        <v>101</v>
      </c>
      <c r="AF566" s="28" t="s">
        <v>117</v>
      </c>
      <c r="AG566" s="30" t="s">
        <v>122</v>
      </c>
    </row>
    <row r="567" customFormat="false" ht="15" hidden="false" customHeight="false" outlineLevel="0" collapsed="false">
      <c r="A567" s="10" t="n">
        <v>2025</v>
      </c>
      <c r="B567" s="28" t="s">
        <v>71</v>
      </c>
      <c r="C567" s="29" t="n">
        <v>45909</v>
      </c>
      <c r="D567" s="30" t="s">
        <v>126</v>
      </c>
      <c r="E567" s="28" t="s">
        <v>1391</v>
      </c>
      <c r="F567" s="30" t="s">
        <v>1392</v>
      </c>
      <c r="G567" s="31" t="n">
        <v>3158</v>
      </c>
      <c r="H567" s="31" t="n">
        <v>31</v>
      </c>
      <c r="I567" s="31" t="n">
        <v>97903</v>
      </c>
      <c r="J567" s="29" t="n">
        <v>45911</v>
      </c>
      <c r="K567" s="31" t="n">
        <v>3002</v>
      </c>
      <c r="L567" s="30" t="s">
        <v>32</v>
      </c>
      <c r="M567" s="10" t="n">
        <v>2</v>
      </c>
      <c r="N567" s="12" t="n">
        <v>-5009</v>
      </c>
      <c r="O567" s="13" t="n">
        <v>-0.0511650045675403</v>
      </c>
      <c r="P567" s="15" t="n">
        <v>0.0179994332133795</v>
      </c>
      <c r="Q567" s="13" t="n">
        <v>-0.0484950865299517</v>
      </c>
      <c r="R567" s="15" t="n">
        <v>0.0310457516339868</v>
      </c>
      <c r="S567" s="32" t="n">
        <v>22609193785</v>
      </c>
      <c r="T567" s="15" t="n">
        <v>0.00798722044728439</v>
      </c>
      <c r="U567" s="32" t="n">
        <v>3774172221.25</v>
      </c>
      <c r="V567" s="14" t="n">
        <v>5.5679977386592</v>
      </c>
      <c r="W567" s="13" t="n">
        <v>0.0210355987055015</v>
      </c>
      <c r="X567" s="15" t="n">
        <v>0.103011093502377</v>
      </c>
      <c r="Y567" s="13" t="n">
        <v>0.0125668175140312</v>
      </c>
      <c r="Z567" s="13" t="n">
        <v>0.0276451211247184</v>
      </c>
      <c r="AA567" s="30" t="s">
        <v>97</v>
      </c>
      <c r="AB567" s="28" t="s">
        <v>93</v>
      </c>
      <c r="AC567" s="28" t="s">
        <v>100</v>
      </c>
      <c r="AD567" s="28" t="s">
        <v>106</v>
      </c>
      <c r="AE567" s="28" t="s">
        <v>112</v>
      </c>
      <c r="AF567" s="28" t="s">
        <v>119</v>
      </c>
      <c r="AG567" s="30" t="s">
        <v>122</v>
      </c>
    </row>
    <row r="568" customFormat="false" ht="15" hidden="false" customHeight="false" outlineLevel="0" collapsed="false">
      <c r="A568" s="10" t="n">
        <v>2025</v>
      </c>
      <c r="B568" s="28" t="s">
        <v>71</v>
      </c>
      <c r="C568" s="29" t="n">
        <v>45910</v>
      </c>
      <c r="D568" s="30" t="s">
        <v>127</v>
      </c>
      <c r="E568" s="28" t="s">
        <v>301</v>
      </c>
      <c r="F568" s="28" t="s">
        <v>302</v>
      </c>
      <c r="G568" s="31" t="n">
        <v>61762</v>
      </c>
      <c r="H568" s="31" t="n">
        <v>1</v>
      </c>
      <c r="I568" s="31" t="n">
        <v>61762</v>
      </c>
      <c r="J568" s="29" t="n">
        <v>45922</v>
      </c>
      <c r="K568" s="31" t="n">
        <v>58741</v>
      </c>
      <c r="L568" s="30" t="s">
        <v>32</v>
      </c>
      <c r="M568" s="10" t="n">
        <v>8</v>
      </c>
      <c r="N568" s="12" t="n">
        <v>-3127</v>
      </c>
      <c r="O568" s="13" t="n">
        <v>-0.0506250189842572</v>
      </c>
      <c r="P568" s="15" t="n">
        <v>0.0362409065812632</v>
      </c>
      <c r="Q568" s="13" t="n">
        <v>-0.0544301727445973</v>
      </c>
      <c r="R568" s="15" t="n">
        <v>0.0547008547008547</v>
      </c>
      <c r="S568" s="32" t="n">
        <v>79294063500</v>
      </c>
      <c r="T568" s="15" t="n">
        <v>0.00325203252032513</v>
      </c>
      <c r="U568" s="32" t="n">
        <v>38951347250</v>
      </c>
      <c r="V568" s="14" t="n">
        <v>1.88134327811976</v>
      </c>
      <c r="W568" s="13" t="n">
        <v>0.0422297297297298</v>
      </c>
      <c r="X568" s="15" t="n">
        <v>0.00810372771474888</v>
      </c>
      <c r="Y568" s="13" t="n">
        <v>0.0167114001318998</v>
      </c>
      <c r="Z568" s="13" t="n">
        <v>0.0408583038669523</v>
      </c>
      <c r="AA568" s="30" t="s">
        <v>97</v>
      </c>
      <c r="AB568" s="28" t="s">
        <v>93</v>
      </c>
      <c r="AC568" s="28" t="s">
        <v>101</v>
      </c>
      <c r="AD568" s="28" t="s">
        <v>108</v>
      </c>
      <c r="AE568" s="28" t="s">
        <v>112</v>
      </c>
      <c r="AF568" s="28" t="s">
        <v>116</v>
      </c>
      <c r="AG568" s="30" t="s">
        <v>122</v>
      </c>
    </row>
    <row r="569" customFormat="false" ht="15" hidden="false" customHeight="false" outlineLevel="0" collapsed="false">
      <c r="A569" s="10" t="n">
        <v>2025</v>
      </c>
      <c r="B569" s="28" t="s">
        <v>71</v>
      </c>
      <c r="C569" s="29" t="n">
        <v>45910</v>
      </c>
      <c r="D569" s="30" t="s">
        <v>127</v>
      </c>
      <c r="E569" s="28" t="s">
        <v>573</v>
      </c>
      <c r="F569" s="30" t="s">
        <v>574</v>
      </c>
      <c r="G569" s="31" t="n">
        <v>25776</v>
      </c>
      <c r="H569" s="31" t="n">
        <v>3</v>
      </c>
      <c r="I569" s="31" t="n">
        <v>77327</v>
      </c>
      <c r="J569" s="29"/>
      <c r="K569" s="31"/>
      <c r="L569" s="30" t="s">
        <v>33</v>
      </c>
      <c r="M569" s="10" t="n">
        <v>73</v>
      </c>
      <c r="N569" s="12" t="n">
        <v>28478</v>
      </c>
      <c r="O569" s="13" t="n">
        <v>0.371444089890692</v>
      </c>
      <c r="P569" s="15" t="n">
        <v>0.610040444991902</v>
      </c>
      <c r="Q569" s="13" t="n">
        <v>-0.0436747718301115</v>
      </c>
      <c r="R569" s="15" t="n">
        <v>0.0425101214574899</v>
      </c>
      <c r="S569" s="32" t="n">
        <v>74960670500</v>
      </c>
      <c r="T569" s="15" t="n">
        <v>0.0117878192534382</v>
      </c>
      <c r="U569" s="32" t="n">
        <v>31479498997.5</v>
      </c>
      <c r="V569" s="14" t="n">
        <v>2.29096143769833</v>
      </c>
      <c r="W569" s="13" t="n">
        <v>0.0425101214574899</v>
      </c>
      <c r="X569" s="15" t="n">
        <v>0.00582524271844664</v>
      </c>
      <c r="Y569" s="13" t="n">
        <v>0.0167114001318998</v>
      </c>
      <c r="Z569" s="13" t="n">
        <v>0.0408583038669523</v>
      </c>
      <c r="AA569" s="30" t="s">
        <v>97</v>
      </c>
      <c r="AB569" s="28" t="s">
        <v>93</v>
      </c>
      <c r="AC569" s="28" t="s">
        <v>100</v>
      </c>
      <c r="AD569" s="28" t="s">
        <v>108</v>
      </c>
      <c r="AE569" s="28" t="s">
        <v>112</v>
      </c>
      <c r="AF569" s="28" t="s">
        <v>117</v>
      </c>
      <c r="AG569" s="30" t="s">
        <v>122</v>
      </c>
    </row>
    <row r="570" customFormat="false" ht="15" hidden="false" customHeight="false" outlineLevel="0" collapsed="false">
      <c r="A570" s="10" t="n">
        <v>2025</v>
      </c>
      <c r="B570" s="28" t="s">
        <v>71</v>
      </c>
      <c r="C570" s="29" t="n">
        <v>45910</v>
      </c>
      <c r="D570" s="30" t="s">
        <v>127</v>
      </c>
      <c r="E570" s="28" t="s">
        <v>385</v>
      </c>
      <c r="F570" s="28" t="s">
        <v>386</v>
      </c>
      <c r="G570" s="31" t="n">
        <v>23774</v>
      </c>
      <c r="H570" s="31" t="n">
        <v>4</v>
      </c>
      <c r="I570" s="31" t="n">
        <v>95095</v>
      </c>
      <c r="J570" s="29" t="n">
        <v>45919</v>
      </c>
      <c r="K570" s="31" t="n">
        <v>22627</v>
      </c>
      <c r="L570" s="30" t="s">
        <v>32</v>
      </c>
      <c r="M570" s="10" t="n">
        <v>7</v>
      </c>
      <c r="N570" s="12" t="n">
        <v>-4749</v>
      </c>
      <c r="O570" s="13" t="n">
        <v>-0.0499416873652663</v>
      </c>
      <c r="P570" s="15" t="n">
        <v>0.0368578789631422</v>
      </c>
      <c r="Q570" s="13" t="n">
        <v>-0.0556811609443187</v>
      </c>
      <c r="R570" s="15" t="n">
        <v>0.0303687635574836</v>
      </c>
      <c r="S570" s="32" t="n">
        <v>53194965000</v>
      </c>
      <c r="T570" s="15" t="n">
        <v>0.00422832980972521</v>
      </c>
      <c r="U570" s="32" t="n">
        <v>40936108187.5</v>
      </c>
      <c r="V570" s="14" t="n">
        <v>1.24319073566503</v>
      </c>
      <c r="W570" s="13" t="n">
        <v>0.0326086956521738</v>
      </c>
      <c r="X570" s="15" t="n">
        <v>0.00210526315789483</v>
      </c>
      <c r="Y570" s="13" t="n">
        <v>0.0167114001318998</v>
      </c>
      <c r="Z570" s="13" t="n">
        <v>0.0408583038669523</v>
      </c>
      <c r="AA570" s="30" t="s">
        <v>97</v>
      </c>
      <c r="AB570" s="28" t="s">
        <v>93</v>
      </c>
      <c r="AC570" s="28" t="s">
        <v>100</v>
      </c>
      <c r="AD570" s="28" t="s">
        <v>108</v>
      </c>
      <c r="AE570" s="28" t="s">
        <v>112</v>
      </c>
      <c r="AF570" s="28" t="s">
        <v>116</v>
      </c>
      <c r="AG570" s="30" t="s">
        <v>122</v>
      </c>
    </row>
    <row r="571" customFormat="false" ht="15" hidden="false" customHeight="false" outlineLevel="0" collapsed="false">
      <c r="A571" s="10" t="n">
        <v>2025</v>
      </c>
      <c r="B571" s="28" t="s">
        <v>71</v>
      </c>
      <c r="C571" s="29" t="n">
        <v>45910</v>
      </c>
      <c r="D571" s="30" t="s">
        <v>127</v>
      </c>
      <c r="E571" s="28" t="s">
        <v>675</v>
      </c>
      <c r="F571" s="28" t="s">
        <v>676</v>
      </c>
      <c r="G571" s="31" t="n">
        <v>50450</v>
      </c>
      <c r="H571" s="31" t="n">
        <v>1</v>
      </c>
      <c r="I571" s="31" t="n">
        <v>50450</v>
      </c>
      <c r="J571" s="29" t="n">
        <v>45940</v>
      </c>
      <c r="K571" s="31" t="n">
        <v>60600</v>
      </c>
      <c r="L571" s="30" t="s">
        <v>31</v>
      </c>
      <c r="M571" s="10" t="n">
        <v>17</v>
      </c>
      <c r="N571" s="12" t="n">
        <v>10042</v>
      </c>
      <c r="O571" s="13" t="n">
        <v>0.19904782598354</v>
      </c>
      <c r="P571" s="15" t="n">
        <v>0.209108351965495</v>
      </c>
      <c r="Q571" s="13" t="n">
        <v>-0.012891870034727</v>
      </c>
      <c r="R571" s="15" t="n">
        <v>0.0862068965517242</v>
      </c>
      <c r="S571" s="32" t="n">
        <v>48119551200</v>
      </c>
      <c r="T571" s="15" t="n">
        <v>0.06553911205074</v>
      </c>
      <c r="U571" s="32" t="n">
        <v>6127187672.5</v>
      </c>
      <c r="V571" s="14" t="n">
        <v>7.09439208551437</v>
      </c>
      <c r="W571" s="13" t="n">
        <v>0.0862068965517242</v>
      </c>
      <c r="X571" s="15" t="n">
        <v>0.00992063492063489</v>
      </c>
      <c r="Y571" s="13" t="n">
        <v>0.0167114001318998</v>
      </c>
      <c r="Z571" s="13" t="n">
        <v>0.0408583038669523</v>
      </c>
      <c r="AA571" s="30" t="s">
        <v>97</v>
      </c>
      <c r="AB571" s="28" t="s">
        <v>93</v>
      </c>
      <c r="AC571" s="28" t="s">
        <v>101</v>
      </c>
      <c r="AD571" s="28" t="s">
        <v>107</v>
      </c>
      <c r="AE571" s="28" t="s">
        <v>101</v>
      </c>
      <c r="AF571" s="28" t="s">
        <v>119</v>
      </c>
      <c r="AG571" s="30" t="s">
        <v>122</v>
      </c>
    </row>
    <row r="572" customFormat="false" ht="15" hidden="false" customHeight="false" outlineLevel="0" collapsed="false">
      <c r="A572" s="10" t="n">
        <v>2025</v>
      </c>
      <c r="B572" s="28" t="s">
        <v>71</v>
      </c>
      <c r="C572" s="29" t="n">
        <v>45910</v>
      </c>
      <c r="D572" s="30" t="s">
        <v>127</v>
      </c>
      <c r="E572" s="28" t="s">
        <v>745</v>
      </c>
      <c r="F572" s="30" t="s">
        <v>746</v>
      </c>
      <c r="G572" s="31" t="n">
        <v>59559</v>
      </c>
      <c r="H572" s="31" t="n">
        <v>1</v>
      </c>
      <c r="I572" s="31" t="n">
        <v>59559</v>
      </c>
      <c r="J572" s="29" t="n">
        <v>45924</v>
      </c>
      <c r="K572" s="31" t="n">
        <v>56643</v>
      </c>
      <c r="L572" s="30" t="s">
        <v>32</v>
      </c>
      <c r="M572" s="10" t="n">
        <v>10</v>
      </c>
      <c r="N572" s="12" t="n">
        <v>-3019</v>
      </c>
      <c r="O572" s="13" t="n">
        <v>-0.0506820132808366</v>
      </c>
      <c r="P572" s="15" t="n">
        <v>0.054407777096853</v>
      </c>
      <c r="Q572" s="13" t="n">
        <v>-0.0496898059923269</v>
      </c>
      <c r="R572" s="15" t="n">
        <v>0.0188356164383561</v>
      </c>
      <c r="S572" s="32" t="n">
        <v>34724021500</v>
      </c>
      <c r="T572" s="15" t="n">
        <v>0.00847457627118642</v>
      </c>
      <c r="U572" s="32" t="n">
        <v>20512358970</v>
      </c>
      <c r="V572" s="14" t="n">
        <v>1.58442058057802</v>
      </c>
      <c r="W572" s="13" t="n">
        <v>0.0258620689655174</v>
      </c>
      <c r="X572" s="15" t="n">
        <v>0.00504201680672267</v>
      </c>
      <c r="Y572" s="13" t="n">
        <v>0.0167114001318998</v>
      </c>
      <c r="Z572" s="13" t="n">
        <v>0.0408583038669523</v>
      </c>
      <c r="AA572" s="30" t="s">
        <v>97</v>
      </c>
      <c r="AB572" s="28" t="s">
        <v>93</v>
      </c>
      <c r="AC572" s="28" t="s">
        <v>99</v>
      </c>
      <c r="AD572" s="28" t="s">
        <v>107</v>
      </c>
      <c r="AE572" s="28" t="s">
        <v>112</v>
      </c>
      <c r="AF572" s="28" t="s">
        <v>116</v>
      </c>
      <c r="AG572" s="30" t="s">
        <v>122</v>
      </c>
    </row>
    <row r="573" customFormat="false" ht="15" hidden="false" customHeight="false" outlineLevel="0" collapsed="false">
      <c r="A573" s="10" t="n">
        <v>2025</v>
      </c>
      <c r="B573" s="28" t="s">
        <v>71</v>
      </c>
      <c r="C573" s="29" t="n">
        <v>45910</v>
      </c>
      <c r="D573" s="30" t="s">
        <v>127</v>
      </c>
      <c r="E573" s="28" t="s">
        <v>305</v>
      </c>
      <c r="F573" s="30" t="s">
        <v>306</v>
      </c>
      <c r="G573" s="31" t="n">
        <v>33183</v>
      </c>
      <c r="H573" s="31" t="n">
        <v>2</v>
      </c>
      <c r="I573" s="31" t="n">
        <v>66366</v>
      </c>
      <c r="J573" s="29" t="n">
        <v>45922</v>
      </c>
      <c r="K573" s="31" t="n">
        <v>39850</v>
      </c>
      <c r="L573" s="30" t="s">
        <v>31</v>
      </c>
      <c r="M573" s="10" t="n">
        <v>8</v>
      </c>
      <c r="N573" s="12" t="n">
        <v>13192</v>
      </c>
      <c r="O573" s="13" t="n">
        <v>0.198779200512911</v>
      </c>
      <c r="P573" s="15" t="n">
        <v>0.252141523634737</v>
      </c>
      <c r="Q573" s="13" t="n">
        <v>-0.00853294518452874</v>
      </c>
      <c r="R573" s="15" t="n">
        <v>0.0457413249211356</v>
      </c>
      <c r="S573" s="32" t="n">
        <v>32897131800</v>
      </c>
      <c r="T573" s="15" t="n">
        <v>0.02</v>
      </c>
      <c r="U573" s="32" t="n">
        <v>9484043480</v>
      </c>
      <c r="V573" s="14" t="n">
        <v>3.17178223138171</v>
      </c>
      <c r="W573" s="13" t="n">
        <v>0.0343213728549141</v>
      </c>
      <c r="X573" s="15" t="n">
        <v>0.00150829562594268</v>
      </c>
      <c r="Y573" s="13" t="n">
        <v>0.0167114001318998</v>
      </c>
      <c r="Z573" s="13" t="n">
        <v>0.0408583038669523</v>
      </c>
      <c r="AA573" s="30" t="s">
        <v>97</v>
      </c>
      <c r="AB573" s="28" t="s">
        <v>93</v>
      </c>
      <c r="AC573" s="28" t="s">
        <v>100</v>
      </c>
      <c r="AD573" s="28" t="s">
        <v>107</v>
      </c>
      <c r="AE573" s="28" t="s">
        <v>113</v>
      </c>
      <c r="AF573" s="28" t="s">
        <v>118</v>
      </c>
      <c r="AG573" s="30" t="s">
        <v>122</v>
      </c>
    </row>
    <row r="574" customFormat="false" ht="15" hidden="false" customHeight="false" outlineLevel="0" collapsed="false">
      <c r="A574" s="10" t="n">
        <v>2025</v>
      </c>
      <c r="B574" s="28" t="s">
        <v>71</v>
      </c>
      <c r="C574" s="29" t="n">
        <v>45910</v>
      </c>
      <c r="D574" s="30" t="s">
        <v>127</v>
      </c>
      <c r="E574" s="28" t="s">
        <v>865</v>
      </c>
      <c r="F574" s="30" t="s">
        <v>866</v>
      </c>
      <c r="G574" s="31" t="n">
        <v>19910</v>
      </c>
      <c r="H574" s="31" t="n">
        <v>5</v>
      </c>
      <c r="I574" s="31" t="n">
        <v>99549</v>
      </c>
      <c r="J574" s="29" t="n">
        <v>45940</v>
      </c>
      <c r="K574" s="31" t="n">
        <v>18951</v>
      </c>
      <c r="L574" s="30" t="s">
        <v>32</v>
      </c>
      <c r="M574" s="10" t="n">
        <v>17</v>
      </c>
      <c r="N574" s="12" t="n">
        <v>-4966</v>
      </c>
      <c r="O574" s="13" t="n">
        <v>-0.0498805208366295</v>
      </c>
      <c r="P574" s="15" t="n">
        <v>0.0120598355892474</v>
      </c>
      <c r="Q574" s="13" t="n">
        <v>-0.0557456620805037</v>
      </c>
      <c r="R574" s="15" t="n">
        <v>0.0386422976501306</v>
      </c>
      <c r="S574" s="32" t="n">
        <v>30109044420</v>
      </c>
      <c r="T574" s="15" t="n">
        <v>0.0205233453052847</v>
      </c>
      <c r="U574" s="32" t="n">
        <v>12481455554.5</v>
      </c>
      <c r="V574" s="14" t="n">
        <v>2.32874807280913</v>
      </c>
      <c r="W574" s="13" t="n">
        <v>0.0252577319587628</v>
      </c>
      <c r="X574" s="15" t="n">
        <v>0.00553041729512316</v>
      </c>
      <c r="Y574" s="13" t="n">
        <v>0.0167114001318998</v>
      </c>
      <c r="Z574" s="13" t="n">
        <v>0.0408583038669523</v>
      </c>
      <c r="AA574" s="30" t="s">
        <v>97</v>
      </c>
      <c r="AB574" s="28" t="s">
        <v>93</v>
      </c>
      <c r="AC574" s="28" t="s">
        <v>100</v>
      </c>
      <c r="AD574" s="28" t="s">
        <v>107</v>
      </c>
      <c r="AE574" s="28" t="s">
        <v>113</v>
      </c>
      <c r="AF574" s="28" t="s">
        <v>117</v>
      </c>
      <c r="AG574" s="30" t="s">
        <v>122</v>
      </c>
    </row>
    <row r="575" customFormat="false" ht="15" hidden="false" customHeight="false" outlineLevel="0" collapsed="false">
      <c r="A575" s="10" t="n">
        <v>2025</v>
      </c>
      <c r="B575" s="28" t="s">
        <v>71</v>
      </c>
      <c r="C575" s="29" t="n">
        <v>45910</v>
      </c>
      <c r="D575" s="30" t="s">
        <v>127</v>
      </c>
      <c r="E575" s="28" t="s">
        <v>1107</v>
      </c>
      <c r="F575" s="30" t="s">
        <v>1108</v>
      </c>
      <c r="G575" s="31" t="n">
        <v>34785</v>
      </c>
      <c r="H575" s="31" t="n">
        <v>2</v>
      </c>
      <c r="I575" s="31" t="n">
        <v>69569</v>
      </c>
      <c r="J575" s="29" t="n">
        <v>45919</v>
      </c>
      <c r="K575" s="31" t="n">
        <v>33067</v>
      </c>
      <c r="L575" s="30" t="s">
        <v>32</v>
      </c>
      <c r="M575" s="10" t="n">
        <v>7</v>
      </c>
      <c r="N575" s="12" t="n">
        <v>-3555</v>
      </c>
      <c r="O575" s="13" t="n">
        <v>-0.0511036617339492</v>
      </c>
      <c r="P575" s="15" t="n">
        <v>0.0493104018283876</v>
      </c>
      <c r="Q575" s="13" t="n">
        <v>-0.0699947534479907</v>
      </c>
      <c r="R575" s="15" t="n">
        <v>0.103174603174603</v>
      </c>
      <c r="S575" s="32" t="n">
        <v>26238404500</v>
      </c>
      <c r="T575" s="15" t="n">
        <v>0.0626911314984711</v>
      </c>
      <c r="U575" s="32" t="n">
        <v>12526685430</v>
      </c>
      <c r="V575" s="14" t="n">
        <v>1.85297199665265</v>
      </c>
      <c r="W575" s="13" t="n">
        <v>0.0927672955974843</v>
      </c>
      <c r="X575" s="15" t="n">
        <v>0.0115107913669066</v>
      </c>
      <c r="Y575" s="13" t="n">
        <v>0.0167114001318998</v>
      </c>
      <c r="Z575" s="13" t="n">
        <v>0.0408583038669523</v>
      </c>
      <c r="AA575" s="30" t="s">
        <v>97</v>
      </c>
      <c r="AB575" s="28" t="s">
        <v>93</v>
      </c>
      <c r="AC575" s="28" t="s">
        <v>102</v>
      </c>
      <c r="AD575" s="28" t="s">
        <v>106</v>
      </c>
      <c r="AE575" s="28" t="s">
        <v>101</v>
      </c>
      <c r="AF575" s="28" t="s">
        <v>116</v>
      </c>
      <c r="AG575" s="30" t="s">
        <v>122</v>
      </c>
    </row>
    <row r="576" customFormat="false" ht="15" hidden="false" customHeight="false" outlineLevel="0" collapsed="false">
      <c r="A576" s="10" t="n">
        <v>2025</v>
      </c>
      <c r="B576" s="28" t="s">
        <v>71</v>
      </c>
      <c r="C576" s="29" t="n">
        <v>45910</v>
      </c>
      <c r="D576" s="30" t="s">
        <v>127</v>
      </c>
      <c r="E576" s="28" t="s">
        <v>1099</v>
      </c>
      <c r="F576" s="30" t="s">
        <v>1100</v>
      </c>
      <c r="G576" s="31" t="n">
        <v>19570</v>
      </c>
      <c r="H576" s="31" t="n">
        <v>5</v>
      </c>
      <c r="I576" s="31" t="n">
        <v>97848</v>
      </c>
      <c r="J576" s="29" t="n">
        <v>45919</v>
      </c>
      <c r="K576" s="31" t="n">
        <v>23750</v>
      </c>
      <c r="L576" s="30" t="s">
        <v>31</v>
      </c>
      <c r="M576" s="10" t="n">
        <v>7</v>
      </c>
      <c r="N576" s="12" t="n">
        <v>20692</v>
      </c>
      <c r="O576" s="13" t="n">
        <v>0.211467666221247</v>
      </c>
      <c r="P576" s="15" t="n">
        <v>0.216175129218608</v>
      </c>
      <c r="Q576" s="13" t="n">
        <v>-0.0101969641611585</v>
      </c>
      <c r="R576" s="15" t="n">
        <v>0.086111111111111</v>
      </c>
      <c r="S576" s="32" t="n">
        <v>21437943500</v>
      </c>
      <c r="T576" s="15" t="n">
        <v>0.0332980972515857</v>
      </c>
      <c r="U576" s="32" t="n">
        <v>3024700416.5</v>
      </c>
      <c r="V576" s="14" t="n">
        <v>6.42402978591156</v>
      </c>
      <c r="W576" s="13" t="n">
        <v>0.0677225559803387</v>
      </c>
      <c r="X576" s="15" t="n">
        <v>0.00920716112531972</v>
      </c>
      <c r="Y576" s="13" t="n">
        <v>0.0167114001318998</v>
      </c>
      <c r="Z576" s="13" t="n">
        <v>0.0408583038669523</v>
      </c>
      <c r="AA576" s="30" t="s">
        <v>97</v>
      </c>
      <c r="AB576" s="28" t="s">
        <v>93</v>
      </c>
      <c r="AC576" s="28" t="s">
        <v>101</v>
      </c>
      <c r="AD576" s="28" t="s">
        <v>106</v>
      </c>
      <c r="AE576" s="28" t="s">
        <v>113</v>
      </c>
      <c r="AF576" s="28" t="s">
        <v>119</v>
      </c>
      <c r="AG576" s="30" t="s">
        <v>122</v>
      </c>
    </row>
    <row r="577" customFormat="false" ht="15" hidden="false" customHeight="false" outlineLevel="0" collapsed="false">
      <c r="A577" s="10" t="n">
        <v>2025</v>
      </c>
      <c r="B577" s="28" t="s">
        <v>71</v>
      </c>
      <c r="C577" s="29" t="n">
        <v>45911</v>
      </c>
      <c r="D577" s="30" t="s">
        <v>128</v>
      </c>
      <c r="E577" s="28" t="s">
        <v>805</v>
      </c>
      <c r="F577" s="28" t="s">
        <v>806</v>
      </c>
      <c r="G577" s="31" t="n">
        <v>24625</v>
      </c>
      <c r="H577" s="31" t="n">
        <v>4</v>
      </c>
      <c r="I577" s="31" t="n">
        <v>98498</v>
      </c>
      <c r="J577" s="29" t="n">
        <v>45917</v>
      </c>
      <c r="K577" s="31" t="n">
        <v>23427</v>
      </c>
      <c r="L577" s="30" t="s">
        <v>32</v>
      </c>
      <c r="M577" s="10" t="n">
        <v>4</v>
      </c>
      <c r="N577" s="12" t="n">
        <v>-4962</v>
      </c>
      <c r="O577" s="13" t="n">
        <v>-0.0503722902097903</v>
      </c>
      <c r="P577" s="15" t="n">
        <v>0.0416412855437247</v>
      </c>
      <c r="Q577" s="13" t="n">
        <v>-0.0517612468831981</v>
      </c>
      <c r="R577" s="15" t="n">
        <v>0.100671140939597</v>
      </c>
      <c r="S577" s="32" t="n">
        <v>90291471000</v>
      </c>
      <c r="T577" s="15" t="n">
        <v>0.040169133192389</v>
      </c>
      <c r="U577" s="32" t="n">
        <v>13273944892.5</v>
      </c>
      <c r="V577" s="14" t="n">
        <v>6.01222959066253</v>
      </c>
      <c r="W577" s="13" t="n">
        <v>0.0860927152317881</v>
      </c>
      <c r="X577" s="15" t="n">
        <v>0.00813008130081294</v>
      </c>
      <c r="Y577" s="13" t="n">
        <v>0.00895149538546924</v>
      </c>
      <c r="Z577" s="13" t="n">
        <v>0.0447915072028193</v>
      </c>
      <c r="AA577" s="30" t="s">
        <v>97</v>
      </c>
      <c r="AB577" s="28" t="s">
        <v>93</v>
      </c>
      <c r="AC577" s="28" t="s">
        <v>102</v>
      </c>
      <c r="AD577" s="28" t="s">
        <v>108</v>
      </c>
      <c r="AE577" s="28" t="s">
        <v>113</v>
      </c>
      <c r="AF577" s="28" t="s">
        <v>119</v>
      </c>
      <c r="AG577" s="30" t="s">
        <v>122</v>
      </c>
    </row>
    <row r="578" customFormat="false" ht="15" hidden="false" customHeight="false" outlineLevel="0" collapsed="false">
      <c r="A578" s="10" t="n">
        <v>2025</v>
      </c>
      <c r="B578" s="28" t="s">
        <v>71</v>
      </c>
      <c r="C578" s="29" t="n">
        <v>45911</v>
      </c>
      <c r="D578" s="30" t="s">
        <v>128</v>
      </c>
      <c r="E578" s="28" t="s">
        <v>295</v>
      </c>
      <c r="F578" s="30" t="s">
        <v>296</v>
      </c>
      <c r="G578" s="31" t="n">
        <v>54655</v>
      </c>
      <c r="H578" s="31" t="n">
        <v>1</v>
      </c>
      <c r="I578" s="31" t="n">
        <v>54655</v>
      </c>
      <c r="J578" s="29" t="n">
        <v>45944</v>
      </c>
      <c r="K578" s="31" t="n">
        <v>51948</v>
      </c>
      <c r="L578" s="30" t="s">
        <v>32</v>
      </c>
      <c r="M578" s="10" t="n">
        <v>18</v>
      </c>
      <c r="N578" s="12" t="n">
        <v>-2801</v>
      </c>
      <c r="O578" s="13" t="n">
        <v>-0.0512401955187668</v>
      </c>
      <c r="P578" s="15" t="n">
        <v>0.141715427429713</v>
      </c>
      <c r="Q578" s="13" t="n">
        <v>-0.0668671987353304</v>
      </c>
      <c r="R578" s="15" t="n">
        <v>0.0186567164179106</v>
      </c>
      <c r="S578" s="32" t="n">
        <v>61411459200</v>
      </c>
      <c r="T578" s="15" t="n">
        <v>0.00183486238532105</v>
      </c>
      <c r="U578" s="32" t="n">
        <v>50764941460</v>
      </c>
      <c r="V578" s="14" t="n">
        <v>1.16017360849298</v>
      </c>
      <c r="W578" s="13" t="n">
        <v>0.0129870129870129</v>
      </c>
      <c r="X578" s="15" t="n">
        <v>0</v>
      </c>
      <c r="Y578" s="13" t="n">
        <v>0.00895149538546924</v>
      </c>
      <c r="Z578" s="13" t="n">
        <v>0.0447915072028193</v>
      </c>
      <c r="AA578" s="30" t="s">
        <v>97</v>
      </c>
      <c r="AB578" s="28" t="s">
        <v>93</v>
      </c>
      <c r="AC578" s="28" t="s">
        <v>99</v>
      </c>
      <c r="AD578" s="28" t="s">
        <v>108</v>
      </c>
      <c r="AE578" s="28" t="s">
        <v>112</v>
      </c>
      <c r="AF578" s="28" t="s">
        <v>116</v>
      </c>
      <c r="AG578" s="30" t="s">
        <v>122</v>
      </c>
    </row>
    <row r="579" customFormat="false" ht="15" hidden="false" customHeight="false" outlineLevel="0" collapsed="false">
      <c r="A579" s="10" t="n">
        <v>2025</v>
      </c>
      <c r="B579" s="28" t="s">
        <v>71</v>
      </c>
      <c r="C579" s="29" t="n">
        <v>45912</v>
      </c>
      <c r="D579" s="30" t="s">
        <v>129</v>
      </c>
      <c r="E579" s="28" t="s">
        <v>803</v>
      </c>
      <c r="F579" s="30" t="s">
        <v>804</v>
      </c>
      <c r="G579" s="31" t="n">
        <v>18649</v>
      </c>
      <c r="H579" s="31" t="n">
        <v>5</v>
      </c>
      <c r="I579" s="31" t="n">
        <v>93243</v>
      </c>
      <c r="J579" s="29" t="n">
        <v>45916</v>
      </c>
      <c r="K579" s="31" t="n">
        <v>17752</v>
      </c>
      <c r="L579" s="30" t="s">
        <v>32</v>
      </c>
      <c r="M579" s="10" t="n">
        <v>2</v>
      </c>
      <c r="N579" s="12" t="n">
        <v>-4642</v>
      </c>
      <c r="O579" s="13" t="n">
        <v>-0.0497885621624753</v>
      </c>
      <c r="P579" s="15" t="n">
        <v>-0.00368016310045283</v>
      </c>
      <c r="Q579" s="13" t="n">
        <v>-0.0562309402889112</v>
      </c>
      <c r="R579" s="15" t="n">
        <v>0.138753056234719</v>
      </c>
      <c r="S579" s="32" t="n">
        <v>138250156050</v>
      </c>
      <c r="T579" s="15" t="n">
        <v>0.0850320326150262</v>
      </c>
      <c r="U579" s="32" t="n">
        <v>4134074573</v>
      </c>
      <c r="V579" s="14" t="n">
        <v>28.5750014199254</v>
      </c>
      <c r="W579" s="13" t="n">
        <v>0.118918918918919</v>
      </c>
      <c r="X579" s="15" t="n">
        <v>0.0440150295222759</v>
      </c>
      <c r="Y579" s="13" t="n">
        <v>0.0153519526344119</v>
      </c>
      <c r="Z579" s="13" t="n">
        <v>0.0594111920926519</v>
      </c>
      <c r="AA579" s="30" t="s">
        <v>97</v>
      </c>
      <c r="AB579" s="28" t="s">
        <v>93</v>
      </c>
      <c r="AC579" s="28" t="s">
        <v>102</v>
      </c>
      <c r="AD579" s="28" t="s">
        <v>109</v>
      </c>
      <c r="AE579" s="28" t="s">
        <v>101</v>
      </c>
      <c r="AF579" s="28" t="s">
        <v>120</v>
      </c>
      <c r="AG579" s="30" t="s">
        <v>122</v>
      </c>
    </row>
    <row r="580" customFormat="false" ht="15" hidden="false" customHeight="false" outlineLevel="0" collapsed="false">
      <c r="A580" s="10" t="n">
        <v>2025</v>
      </c>
      <c r="B580" s="28" t="s">
        <v>71</v>
      </c>
      <c r="C580" s="29" t="n">
        <v>45912</v>
      </c>
      <c r="D580" s="30" t="s">
        <v>129</v>
      </c>
      <c r="E580" s="28" t="s">
        <v>407</v>
      </c>
      <c r="F580" s="30" t="s">
        <v>408</v>
      </c>
      <c r="G580" s="31" t="n">
        <v>69369</v>
      </c>
      <c r="H580" s="31" t="n">
        <v>1</v>
      </c>
      <c r="I580" s="31" t="n">
        <v>69369</v>
      </c>
      <c r="J580" s="29" t="n">
        <v>45974</v>
      </c>
      <c r="K580" s="31" t="n">
        <v>83300</v>
      </c>
      <c r="L580" s="30" t="s">
        <v>31</v>
      </c>
      <c r="M580" s="10" t="n">
        <v>39</v>
      </c>
      <c r="N580" s="12" t="n">
        <v>13783</v>
      </c>
      <c r="O580" s="13" t="n">
        <v>0.198688030656213</v>
      </c>
      <c r="P580" s="15" t="n">
        <v>0.209468741936275</v>
      </c>
      <c r="Q580" s="13" t="n">
        <v>-0.0182977195964207</v>
      </c>
      <c r="R580" s="15" t="n">
        <v>0.0221238938053097</v>
      </c>
      <c r="S580" s="32" t="n">
        <v>106521584400</v>
      </c>
      <c r="T580" s="15" t="n">
        <v>0.0028943560057888</v>
      </c>
      <c r="U580" s="32" t="n">
        <v>88374020415</v>
      </c>
      <c r="V580" s="14" t="n">
        <v>1.15326917020536</v>
      </c>
      <c r="W580" s="13" t="n">
        <v>0.00580551523947759</v>
      </c>
      <c r="X580" s="15" t="n">
        <v>0.00144300144300136</v>
      </c>
      <c r="Y580" s="13" t="n">
        <v>0.0153519526344119</v>
      </c>
      <c r="Z580" s="13" t="n">
        <v>0.0594111920926519</v>
      </c>
      <c r="AA580" s="30" t="s">
        <v>97</v>
      </c>
      <c r="AB580" s="28" t="s">
        <v>93</v>
      </c>
      <c r="AC580" s="28" t="s">
        <v>99</v>
      </c>
      <c r="AD580" s="28" t="s">
        <v>109</v>
      </c>
      <c r="AE580" s="28" t="s">
        <v>112</v>
      </c>
      <c r="AF580" s="28" t="s">
        <v>116</v>
      </c>
      <c r="AG580" s="30" t="s">
        <v>122</v>
      </c>
    </row>
    <row r="581" customFormat="false" ht="15" hidden="false" customHeight="false" outlineLevel="0" collapsed="false">
      <c r="A581" s="10" t="n">
        <v>2025</v>
      </c>
      <c r="B581" s="28" t="s">
        <v>71</v>
      </c>
      <c r="C581" s="29" t="n">
        <v>45912</v>
      </c>
      <c r="D581" s="30" t="s">
        <v>129</v>
      </c>
      <c r="E581" s="28" t="s">
        <v>1441</v>
      </c>
      <c r="F581" s="30" t="s">
        <v>1442</v>
      </c>
      <c r="G581" s="31" t="n">
        <v>6436</v>
      </c>
      <c r="H581" s="31" t="n">
        <v>15</v>
      </c>
      <c r="I581" s="31" t="n">
        <v>96546</v>
      </c>
      <c r="J581" s="29" t="n">
        <v>45915</v>
      </c>
      <c r="K581" s="31" t="n">
        <v>6124</v>
      </c>
      <c r="L581" s="30" t="s">
        <v>32</v>
      </c>
      <c r="M581" s="10" t="n">
        <v>1</v>
      </c>
      <c r="N581" s="12" t="n">
        <v>-4854</v>
      </c>
      <c r="O581" s="13" t="n">
        <v>-0.0502809554364764</v>
      </c>
      <c r="P581" s="15" t="n">
        <v>0.039396062724212</v>
      </c>
      <c r="Q581" s="13" t="n">
        <v>-0.0507160025044938</v>
      </c>
      <c r="R581" s="15" t="n">
        <v>0.118260869565217</v>
      </c>
      <c r="S581" s="32" t="n">
        <v>57981714820</v>
      </c>
      <c r="T581" s="15" t="n">
        <v>0.0558292282430213</v>
      </c>
      <c r="U581" s="32" t="n">
        <v>5283007005.5</v>
      </c>
      <c r="V581" s="14" t="n">
        <v>9.81576207544739</v>
      </c>
      <c r="W581" s="13" t="n">
        <v>0.0206349206349206</v>
      </c>
      <c r="X581" s="15" t="n">
        <v>0.0435458786936236</v>
      </c>
      <c r="Y581" s="13" t="n">
        <v>0.0153519526344119</v>
      </c>
      <c r="Z581" s="13" t="n">
        <v>0.0594111920926519</v>
      </c>
      <c r="AA581" s="30" t="s">
        <v>97</v>
      </c>
      <c r="AB581" s="28" t="s">
        <v>93</v>
      </c>
      <c r="AC581" s="28" t="s">
        <v>102</v>
      </c>
      <c r="AD581" s="28" t="s">
        <v>108</v>
      </c>
      <c r="AE581" s="28" t="s">
        <v>101</v>
      </c>
      <c r="AF581" s="28" t="s">
        <v>119</v>
      </c>
      <c r="AG581" s="30" t="s">
        <v>122</v>
      </c>
    </row>
    <row r="582" customFormat="false" ht="15" hidden="false" customHeight="false" outlineLevel="0" collapsed="false">
      <c r="A582" s="10" t="n">
        <v>2025</v>
      </c>
      <c r="B582" s="28" t="s">
        <v>71</v>
      </c>
      <c r="C582" s="29" t="n">
        <v>45912</v>
      </c>
      <c r="D582" s="30" t="s">
        <v>129</v>
      </c>
      <c r="E582" s="28" t="s">
        <v>769</v>
      </c>
      <c r="F582" s="28" t="s">
        <v>770</v>
      </c>
      <c r="G582" s="31" t="n">
        <v>97945</v>
      </c>
      <c r="H582" s="31" t="n">
        <v>1</v>
      </c>
      <c r="I582" s="31" t="n">
        <v>97945</v>
      </c>
      <c r="J582" s="29" t="n">
        <v>45926</v>
      </c>
      <c r="K582" s="31" t="n">
        <v>93207</v>
      </c>
      <c r="L582" s="30" t="s">
        <v>32</v>
      </c>
      <c r="M582" s="10" t="n">
        <v>10</v>
      </c>
      <c r="N582" s="12" t="n">
        <v>-4907</v>
      </c>
      <c r="O582" s="13" t="n">
        <v>-0.0500999059070508</v>
      </c>
      <c r="P582" s="15" t="n">
        <v>0.0517820316091211</v>
      </c>
      <c r="Q582" s="13" t="n">
        <v>-0.0691345158203945</v>
      </c>
      <c r="R582" s="15" t="n">
        <v>0.0266272189349113</v>
      </c>
      <c r="S582" s="32" t="n">
        <v>46290563400</v>
      </c>
      <c r="T582" s="15" t="n">
        <v>0.0106796116504855</v>
      </c>
      <c r="U582" s="32" t="n">
        <v>31748791195</v>
      </c>
      <c r="V582" s="14" t="n">
        <v>1.36299755614686</v>
      </c>
      <c r="W582" s="13" t="n">
        <v>0.0235988200589972</v>
      </c>
      <c r="X582" s="15" t="n">
        <v>0.0115273775216138</v>
      </c>
      <c r="Y582" s="13" t="n">
        <v>0.0153519526344119</v>
      </c>
      <c r="Z582" s="13" t="n">
        <v>0.0594111920926519</v>
      </c>
      <c r="AA582" s="30" t="s">
        <v>97</v>
      </c>
      <c r="AB582" s="28" t="s">
        <v>93</v>
      </c>
      <c r="AC582" s="28" t="s">
        <v>99</v>
      </c>
      <c r="AD582" s="28" t="s">
        <v>107</v>
      </c>
      <c r="AE582" s="28" t="s">
        <v>112</v>
      </c>
      <c r="AF582" s="28" t="s">
        <v>116</v>
      </c>
      <c r="AG582" s="30" t="s">
        <v>122</v>
      </c>
    </row>
    <row r="583" customFormat="false" ht="15" hidden="false" customHeight="false" outlineLevel="0" collapsed="false">
      <c r="A583" s="10" t="n">
        <v>2025</v>
      </c>
      <c r="B583" s="28" t="s">
        <v>71</v>
      </c>
      <c r="C583" s="29" t="n">
        <v>45912</v>
      </c>
      <c r="D583" s="30" t="s">
        <v>129</v>
      </c>
      <c r="E583" s="28" t="s">
        <v>165</v>
      </c>
      <c r="F583" s="28" t="s">
        <v>166</v>
      </c>
      <c r="G583" s="31" t="n">
        <v>12112</v>
      </c>
      <c r="H583" s="31" t="n">
        <v>8</v>
      </c>
      <c r="I583" s="31" t="n">
        <v>96897</v>
      </c>
      <c r="J583" s="29" t="n">
        <v>45929</v>
      </c>
      <c r="K583" s="31" t="n">
        <v>14540</v>
      </c>
      <c r="L583" s="30" t="s">
        <v>31</v>
      </c>
      <c r="M583" s="10" t="n">
        <v>11</v>
      </c>
      <c r="N583" s="12" t="n">
        <v>19217</v>
      </c>
      <c r="O583" s="13" t="n">
        <v>0.198321693595661</v>
      </c>
      <c r="P583" s="15" t="n">
        <v>0.210359888045839</v>
      </c>
      <c r="Q583" s="13" t="n">
        <v>-0.0166857935452975</v>
      </c>
      <c r="R583" s="15" t="n">
        <v>0.0297872340425531</v>
      </c>
      <c r="S583" s="32" t="n">
        <v>24314332900</v>
      </c>
      <c r="T583" s="15" t="n">
        <v>0.00331674958540629</v>
      </c>
      <c r="U583" s="32" t="n">
        <v>32097126434</v>
      </c>
      <c r="V583" s="14" t="n">
        <v>0.73774630388257</v>
      </c>
      <c r="W583" s="13" t="n">
        <v>0.0219594594594594</v>
      </c>
      <c r="X583" s="15" t="n">
        <v>0</v>
      </c>
      <c r="Y583" s="13" t="n">
        <v>0.0153519526344119</v>
      </c>
      <c r="Z583" s="13" t="n">
        <v>0.0594111920926519</v>
      </c>
      <c r="AA583" s="30" t="s">
        <v>97</v>
      </c>
      <c r="AB583" s="28" t="s">
        <v>93</v>
      </c>
      <c r="AC583" s="28" t="s">
        <v>99</v>
      </c>
      <c r="AD583" s="28" t="s">
        <v>106</v>
      </c>
      <c r="AE583" s="28" t="s">
        <v>112</v>
      </c>
      <c r="AF583" s="28" t="s">
        <v>116</v>
      </c>
      <c r="AG583" s="30" t="s">
        <v>122</v>
      </c>
    </row>
    <row r="584" customFormat="false" ht="15" hidden="false" customHeight="false" outlineLevel="0" collapsed="false">
      <c r="A584" s="10" t="n">
        <v>2025</v>
      </c>
      <c r="B584" s="28" t="s">
        <v>71</v>
      </c>
      <c r="C584" s="29" t="n">
        <v>45912</v>
      </c>
      <c r="D584" s="30" t="s">
        <v>129</v>
      </c>
      <c r="E584" s="28" t="s">
        <v>747</v>
      </c>
      <c r="F584" s="30" t="s">
        <v>748</v>
      </c>
      <c r="G584" s="31" t="n">
        <v>50951</v>
      </c>
      <c r="H584" s="31" t="n">
        <v>1</v>
      </c>
      <c r="I584" s="31" t="n">
        <v>50951</v>
      </c>
      <c r="J584" s="29" t="n">
        <v>45965</v>
      </c>
      <c r="K584" s="31" t="n">
        <v>48501</v>
      </c>
      <c r="L584" s="30" t="s">
        <v>32</v>
      </c>
      <c r="M584" s="10" t="n">
        <v>32</v>
      </c>
      <c r="N584" s="12" t="n">
        <v>-2537</v>
      </c>
      <c r="O584" s="13" t="n">
        <v>-0.0497953917889576</v>
      </c>
      <c r="P584" s="15" t="n">
        <v>0.146201539128848</v>
      </c>
      <c r="Q584" s="13" t="n">
        <v>-0.0481031738399125</v>
      </c>
      <c r="R584" s="15" t="n">
        <v>0.0345528455284554</v>
      </c>
      <c r="S584" s="32" t="n">
        <v>21889850400</v>
      </c>
      <c r="T584" s="15" t="n">
        <v>0.0241448692152917</v>
      </c>
      <c r="U584" s="32" t="n">
        <v>7401283102.5</v>
      </c>
      <c r="V584" s="14" t="n">
        <v>2.79494895008091</v>
      </c>
      <c r="W584" s="13" t="n">
        <v>0.0335025380710661</v>
      </c>
      <c r="X584" s="15" t="n">
        <v>0.00982318271119853</v>
      </c>
      <c r="Y584" s="13" t="n">
        <v>0.0153519526344119</v>
      </c>
      <c r="Z584" s="13" t="n">
        <v>0.0594111920926519</v>
      </c>
      <c r="AA584" s="30" t="s">
        <v>97</v>
      </c>
      <c r="AB584" s="28" t="s">
        <v>93</v>
      </c>
      <c r="AC584" s="28" t="s">
        <v>100</v>
      </c>
      <c r="AD584" s="28" t="s">
        <v>106</v>
      </c>
      <c r="AE584" s="28" t="s">
        <v>113</v>
      </c>
      <c r="AF584" s="28" t="s">
        <v>117</v>
      </c>
      <c r="AG584" s="30" t="s">
        <v>122</v>
      </c>
    </row>
    <row r="585" customFormat="false" ht="15" hidden="false" customHeight="false" outlineLevel="0" collapsed="false">
      <c r="A585" s="10" t="n">
        <v>2025</v>
      </c>
      <c r="B585" s="28" t="s">
        <v>71</v>
      </c>
      <c r="C585" s="29" t="n">
        <v>45915</v>
      </c>
      <c r="D585" s="30" t="s">
        <v>125</v>
      </c>
      <c r="E585" s="28" t="s">
        <v>855</v>
      </c>
      <c r="F585" s="30" t="s">
        <v>856</v>
      </c>
      <c r="G585" s="31" t="n">
        <v>14394</v>
      </c>
      <c r="H585" s="31" t="n">
        <v>6</v>
      </c>
      <c r="I585" s="31" t="n">
        <v>86366</v>
      </c>
      <c r="J585" s="29" t="n">
        <v>45916</v>
      </c>
      <c r="K585" s="31" t="n">
        <v>13696</v>
      </c>
      <c r="L585" s="30" t="s">
        <v>32</v>
      </c>
      <c r="M585" s="10" t="n">
        <v>1</v>
      </c>
      <c r="N585" s="12" t="n">
        <v>-4337</v>
      </c>
      <c r="O585" s="13" t="n">
        <v>-0.0502173789701258</v>
      </c>
      <c r="P585" s="15" t="n">
        <v>-0.000304285422505157</v>
      </c>
      <c r="Q585" s="13" t="n">
        <v>-0.114932355544317</v>
      </c>
      <c r="R585" s="15" t="n">
        <v>0.223829787234043</v>
      </c>
      <c r="S585" s="32" t="n">
        <v>288798774320</v>
      </c>
      <c r="T585" s="15" t="n">
        <v>0.195344970906068</v>
      </c>
      <c r="U585" s="32" t="n">
        <v>12828542728</v>
      </c>
      <c r="V585" s="14" t="n">
        <v>17.5381221066236</v>
      </c>
      <c r="W585" s="13" t="n">
        <v>0.217612193056732</v>
      </c>
      <c r="X585" s="15" t="n">
        <v>0.023643949930459</v>
      </c>
      <c r="Y585" s="13" t="n">
        <v>0.00346631169121858</v>
      </c>
      <c r="Z585" s="13" t="n">
        <v>0.0583055606459206</v>
      </c>
      <c r="AA585" s="30" t="s">
        <v>97</v>
      </c>
      <c r="AB585" s="28" t="s">
        <v>93</v>
      </c>
      <c r="AC585" s="28" t="s">
        <v>104</v>
      </c>
      <c r="AD585" s="28" t="s">
        <v>110</v>
      </c>
      <c r="AE585" s="28" t="s">
        <v>114</v>
      </c>
      <c r="AF585" s="28" t="s">
        <v>120</v>
      </c>
      <c r="AG585" s="30" t="s">
        <v>122</v>
      </c>
    </row>
    <row r="586" customFormat="false" ht="15" hidden="false" customHeight="false" outlineLevel="0" collapsed="false">
      <c r="A586" s="10" t="n">
        <v>2025</v>
      </c>
      <c r="B586" s="28" t="s">
        <v>71</v>
      </c>
      <c r="C586" s="29" t="n">
        <v>45915</v>
      </c>
      <c r="D586" s="30" t="s">
        <v>125</v>
      </c>
      <c r="E586" s="28" t="s">
        <v>263</v>
      </c>
      <c r="F586" s="30" t="s">
        <v>264</v>
      </c>
      <c r="G586" s="31" t="n">
        <v>91191</v>
      </c>
      <c r="H586" s="31" t="n">
        <v>1</v>
      </c>
      <c r="I586" s="31" t="n">
        <v>91191</v>
      </c>
      <c r="J586" s="29" t="n">
        <v>45940</v>
      </c>
      <c r="K586" s="31" t="n">
        <v>109500</v>
      </c>
      <c r="L586" s="30" t="s">
        <v>31</v>
      </c>
      <c r="M586" s="10" t="n">
        <v>14</v>
      </c>
      <c r="N586" s="12" t="n">
        <v>18115</v>
      </c>
      <c r="O586" s="13" t="n">
        <v>0.198643796763061</v>
      </c>
      <c r="P586" s="15" t="n">
        <v>0.309338301654438</v>
      </c>
      <c r="Q586" s="13" t="n">
        <v>-0.0185445728804674</v>
      </c>
      <c r="R586" s="15" t="n">
        <v>0.00220022002200215</v>
      </c>
      <c r="S586" s="32" t="n">
        <v>56717766800</v>
      </c>
      <c r="T586" s="15" t="n">
        <v>0.00220022002200215</v>
      </c>
      <c r="U586" s="32" t="n">
        <v>46093647765</v>
      </c>
      <c r="V586" s="14" t="n">
        <v>1.18084666213298</v>
      </c>
      <c r="W586" s="13" t="n">
        <v>-0.0161987041036718</v>
      </c>
      <c r="X586" s="15" t="n">
        <v>0.0197585071350164</v>
      </c>
      <c r="Y586" s="13" t="n">
        <v>0.00346631169121858</v>
      </c>
      <c r="Z586" s="13" t="n">
        <v>0.0583055606459206</v>
      </c>
      <c r="AA586" s="30" t="s">
        <v>97</v>
      </c>
      <c r="AB586" s="28" t="s">
        <v>93</v>
      </c>
      <c r="AC586" s="28" t="s">
        <v>99</v>
      </c>
      <c r="AD586" s="28" t="s">
        <v>108</v>
      </c>
      <c r="AE586" s="28" t="s">
        <v>112</v>
      </c>
      <c r="AF586" s="28" t="s">
        <v>116</v>
      </c>
      <c r="AG586" s="30" t="s">
        <v>123</v>
      </c>
    </row>
    <row r="587" customFormat="false" ht="15" hidden="false" customHeight="false" outlineLevel="0" collapsed="false">
      <c r="A587" s="10" t="n">
        <v>2025</v>
      </c>
      <c r="B587" s="28" t="s">
        <v>71</v>
      </c>
      <c r="C587" s="29" t="n">
        <v>45915</v>
      </c>
      <c r="D587" s="30" t="s">
        <v>125</v>
      </c>
      <c r="E587" s="28" t="s">
        <v>609</v>
      </c>
      <c r="F587" s="28" t="s">
        <v>610</v>
      </c>
      <c r="G587" s="31" t="n">
        <v>77177</v>
      </c>
      <c r="H587" s="31" t="n">
        <v>1</v>
      </c>
      <c r="I587" s="31" t="n">
        <v>77177</v>
      </c>
      <c r="J587" s="29" t="n">
        <v>45967</v>
      </c>
      <c r="K587" s="31" t="n">
        <v>92700</v>
      </c>
      <c r="L587" s="30" t="s">
        <v>31</v>
      </c>
      <c r="M587" s="10" t="n">
        <v>33</v>
      </c>
      <c r="N587" s="12" t="n">
        <v>15358</v>
      </c>
      <c r="O587" s="13" t="n">
        <v>0.199001626583533</v>
      </c>
      <c r="P587" s="15" t="n">
        <v>0.208907823693816</v>
      </c>
      <c r="Q587" s="13" t="n">
        <v>-0.0282091449406623</v>
      </c>
      <c r="R587" s="15" t="n">
        <v>0.00129870129870136</v>
      </c>
      <c r="S587" s="32" t="n">
        <v>28970633400</v>
      </c>
      <c r="T587" s="15" t="n">
        <v>0.00129870129870136</v>
      </c>
      <c r="U587" s="32" t="n">
        <v>26117946705</v>
      </c>
      <c r="V587" s="14" t="n">
        <v>1.08279481134284</v>
      </c>
      <c r="W587" s="13" t="n">
        <v>0.00129870129870136</v>
      </c>
      <c r="X587" s="15" t="n">
        <v>0.00778210116731515</v>
      </c>
      <c r="Y587" s="13" t="n">
        <v>0.00346631169121858</v>
      </c>
      <c r="Z587" s="13" t="n">
        <v>0.0583055606459206</v>
      </c>
      <c r="AA587" s="30" t="s">
        <v>97</v>
      </c>
      <c r="AB587" s="28" t="s">
        <v>93</v>
      </c>
      <c r="AC587" s="28" t="s">
        <v>99</v>
      </c>
      <c r="AD587" s="28" t="s">
        <v>106</v>
      </c>
      <c r="AE587" s="28" t="s">
        <v>112</v>
      </c>
      <c r="AF587" s="28" t="s">
        <v>116</v>
      </c>
      <c r="AG587" s="30" t="s">
        <v>122</v>
      </c>
    </row>
    <row r="588" customFormat="false" ht="15" hidden="false" customHeight="false" outlineLevel="0" collapsed="false">
      <c r="A588" s="10" t="n">
        <v>2025</v>
      </c>
      <c r="B588" s="28" t="s">
        <v>71</v>
      </c>
      <c r="C588" s="29" t="n">
        <v>45915</v>
      </c>
      <c r="D588" s="30" t="s">
        <v>125</v>
      </c>
      <c r="E588" s="28" t="s">
        <v>709</v>
      </c>
      <c r="F588" s="30" t="s">
        <v>710</v>
      </c>
      <c r="G588" s="31" t="n">
        <v>5846</v>
      </c>
      <c r="H588" s="31" t="n">
        <v>17</v>
      </c>
      <c r="I588" s="31" t="n">
        <v>99379</v>
      </c>
      <c r="J588" s="29" t="n">
        <v>45916</v>
      </c>
      <c r="K588" s="31" t="n">
        <v>5564</v>
      </c>
      <c r="L588" s="30" t="s">
        <v>32</v>
      </c>
      <c r="M588" s="10" t="n">
        <v>1</v>
      </c>
      <c r="N588" s="12" t="n">
        <v>-4955</v>
      </c>
      <c r="O588" s="13" t="n">
        <v>-0.0498590767964911</v>
      </c>
      <c r="P588" s="15" t="n">
        <v>0.0263708893845882</v>
      </c>
      <c r="Q588" s="13" t="n">
        <v>-0.108767944384383</v>
      </c>
      <c r="R588" s="15" t="n">
        <v>0.145098039215686</v>
      </c>
      <c r="S588" s="32" t="n">
        <v>25332068720</v>
      </c>
      <c r="T588" s="15" t="n">
        <v>0.112380952380953</v>
      </c>
      <c r="U588" s="32" t="n">
        <v>3776228895.25</v>
      </c>
      <c r="V588" s="14" t="n">
        <v>5.79983116685073</v>
      </c>
      <c r="W588" s="13" t="n">
        <v>0.138401559454191</v>
      </c>
      <c r="X588" s="15" t="n">
        <v>0</v>
      </c>
      <c r="Y588" s="13" t="n">
        <v>0.00346631169121858</v>
      </c>
      <c r="Z588" s="13" t="n">
        <v>0.0583055606459206</v>
      </c>
      <c r="AA588" s="30" t="s">
        <v>97</v>
      </c>
      <c r="AB588" s="28" t="s">
        <v>93</v>
      </c>
      <c r="AC588" s="28" t="s">
        <v>102</v>
      </c>
      <c r="AD588" s="28" t="s">
        <v>106</v>
      </c>
      <c r="AE588" s="28" t="s">
        <v>114</v>
      </c>
      <c r="AF588" s="28" t="s">
        <v>119</v>
      </c>
      <c r="AG588" s="30" t="s">
        <v>122</v>
      </c>
    </row>
    <row r="589" customFormat="false" ht="15" hidden="false" customHeight="false" outlineLevel="0" collapsed="false">
      <c r="A589" s="10" t="n">
        <v>2025</v>
      </c>
      <c r="B589" s="28" t="s">
        <v>71</v>
      </c>
      <c r="C589" s="29" t="n">
        <v>45915</v>
      </c>
      <c r="D589" s="30" t="s">
        <v>125</v>
      </c>
      <c r="E589" s="28" t="s">
        <v>373</v>
      </c>
      <c r="F589" s="30" t="s">
        <v>374</v>
      </c>
      <c r="G589" s="31" t="n">
        <v>24875</v>
      </c>
      <c r="H589" s="31" t="n">
        <v>4</v>
      </c>
      <c r="I589" s="31" t="n">
        <v>99499</v>
      </c>
      <c r="J589" s="29" t="n">
        <v>45966</v>
      </c>
      <c r="K589" s="31" t="n">
        <v>23676</v>
      </c>
      <c r="L589" s="30" t="s">
        <v>32</v>
      </c>
      <c r="M589" s="10" t="n">
        <v>32</v>
      </c>
      <c r="N589" s="12" t="n">
        <v>-4965</v>
      </c>
      <c r="O589" s="13" t="n">
        <v>-0.0499037028363991</v>
      </c>
      <c r="P589" s="15" t="n">
        <v>0.191966986735598</v>
      </c>
      <c r="Q589" s="13" t="n">
        <v>-0.111552431471949</v>
      </c>
      <c r="R589" s="15" t="n">
        <v>0.087527352297593</v>
      </c>
      <c r="S589" s="32" t="n">
        <v>24654380800</v>
      </c>
      <c r="T589" s="15" t="n">
        <v>0.061965811965812</v>
      </c>
      <c r="U589" s="32" t="n">
        <v>6060605592.5</v>
      </c>
      <c r="V589" s="14" t="n">
        <v>3.65590304263073</v>
      </c>
      <c r="W589" s="13" t="n">
        <v>0.0574468085106383</v>
      </c>
      <c r="X589" s="15" t="n">
        <v>0.00201207243460755</v>
      </c>
      <c r="Y589" s="13" t="n">
        <v>0.00346631169121858</v>
      </c>
      <c r="Z589" s="13" t="n">
        <v>0.0583055606459206</v>
      </c>
      <c r="AA589" s="30" t="s">
        <v>97</v>
      </c>
      <c r="AB589" s="28" t="s">
        <v>93</v>
      </c>
      <c r="AC589" s="28" t="s">
        <v>101</v>
      </c>
      <c r="AD589" s="28" t="s">
        <v>106</v>
      </c>
      <c r="AE589" s="28" t="s">
        <v>101</v>
      </c>
      <c r="AF589" s="28" t="s">
        <v>118</v>
      </c>
      <c r="AG589" s="30" t="s">
        <v>122</v>
      </c>
    </row>
    <row r="590" customFormat="false" ht="15" hidden="false" customHeight="false" outlineLevel="0" collapsed="false">
      <c r="A590" s="10" t="n">
        <v>2025</v>
      </c>
      <c r="B590" s="28" t="s">
        <v>71</v>
      </c>
      <c r="C590" s="29" t="n">
        <v>45917</v>
      </c>
      <c r="D590" s="30" t="s">
        <v>127</v>
      </c>
      <c r="E590" s="28" t="s">
        <v>1281</v>
      </c>
      <c r="F590" s="30" t="s">
        <v>1282</v>
      </c>
      <c r="G590" s="31" t="n">
        <v>22673</v>
      </c>
      <c r="H590" s="31" t="n">
        <v>4</v>
      </c>
      <c r="I590" s="31" t="n">
        <v>90691</v>
      </c>
      <c r="J590" s="29" t="n">
        <v>45925</v>
      </c>
      <c r="K590" s="31" t="n">
        <v>21578</v>
      </c>
      <c r="L590" s="30" t="s">
        <v>32</v>
      </c>
      <c r="M590" s="10" t="n">
        <v>6</v>
      </c>
      <c r="N590" s="12" t="n">
        <v>-4533</v>
      </c>
      <c r="O590" s="13" t="n">
        <v>-0.049983361340646</v>
      </c>
      <c r="P590" s="15" t="n">
        <v>0.0585441049017208</v>
      </c>
      <c r="Q590" s="13" t="n">
        <v>-0.0693633077739038</v>
      </c>
      <c r="R590" s="15" t="n">
        <v>0.0633802816901408</v>
      </c>
      <c r="S590" s="32" t="n">
        <v>137504073000</v>
      </c>
      <c r="T590" s="15" t="n">
        <v>0.046189376443418</v>
      </c>
      <c r="U590" s="32" t="n">
        <v>22312376450.5</v>
      </c>
      <c r="V590" s="14" t="n">
        <v>5.69499022531151</v>
      </c>
      <c r="W590" s="13" t="n">
        <v>0.0633802816901408</v>
      </c>
      <c r="X590" s="15" t="n">
        <v>0.0331125827814569</v>
      </c>
      <c r="Y590" s="13" t="n">
        <v>-0.0104997072141279</v>
      </c>
      <c r="Z590" s="13" t="n">
        <v>0.0298292668945521</v>
      </c>
      <c r="AA590" s="30" t="s">
        <v>97</v>
      </c>
      <c r="AB590" s="28" t="s">
        <v>93</v>
      </c>
      <c r="AC590" s="28" t="s">
        <v>101</v>
      </c>
      <c r="AD590" s="28" t="s">
        <v>109</v>
      </c>
      <c r="AE590" s="28" t="s">
        <v>113</v>
      </c>
      <c r="AF590" s="28" t="s">
        <v>119</v>
      </c>
      <c r="AG590" s="30" t="s">
        <v>122</v>
      </c>
    </row>
    <row r="591" customFormat="false" ht="15" hidden="false" customHeight="false" outlineLevel="0" collapsed="false">
      <c r="A591" s="10" t="n">
        <v>2025</v>
      </c>
      <c r="B591" s="28" t="s">
        <v>71</v>
      </c>
      <c r="C591" s="29" t="n">
        <v>45917</v>
      </c>
      <c r="D591" s="30" t="s">
        <v>127</v>
      </c>
      <c r="E591" s="28" t="s">
        <v>309</v>
      </c>
      <c r="F591" s="28" t="s">
        <v>310</v>
      </c>
      <c r="G591" s="31" t="n">
        <v>15846</v>
      </c>
      <c r="H591" s="31" t="n">
        <v>6</v>
      </c>
      <c r="I591" s="31" t="n">
        <v>95075</v>
      </c>
      <c r="J591" s="29" t="n">
        <v>45929</v>
      </c>
      <c r="K591" s="31" t="n">
        <v>15085</v>
      </c>
      <c r="L591" s="30" t="s">
        <v>32</v>
      </c>
      <c r="M591" s="10" t="n">
        <v>8</v>
      </c>
      <c r="N591" s="12" t="n">
        <v>-4729</v>
      </c>
      <c r="O591" s="13" t="n">
        <v>-0.0497416013866107</v>
      </c>
      <c r="P591" s="15" t="n">
        <v>0.0627401657092119</v>
      </c>
      <c r="Q591" s="13" t="n">
        <v>-0.0521165505372706</v>
      </c>
      <c r="R591" s="15" t="n">
        <v>0.0359947643979057</v>
      </c>
      <c r="S591" s="32" t="n">
        <v>60155693810</v>
      </c>
      <c r="T591" s="15" t="n">
        <v>0.0173521850899743</v>
      </c>
      <c r="U591" s="32" t="n">
        <v>23263879997</v>
      </c>
      <c r="V591" s="14" t="n">
        <v>2.41982709739692</v>
      </c>
      <c r="W591" s="13" t="n">
        <v>0.0173521850899743</v>
      </c>
      <c r="X591" s="15" t="n">
        <v>0.0360075805432722</v>
      </c>
      <c r="Y591" s="13" t="n">
        <v>-0.0104997072141279</v>
      </c>
      <c r="Z591" s="13" t="n">
        <v>0.0298292668945521</v>
      </c>
      <c r="AA591" s="30" t="s">
        <v>97</v>
      </c>
      <c r="AB591" s="28" t="s">
        <v>93</v>
      </c>
      <c r="AC591" s="28" t="s">
        <v>100</v>
      </c>
      <c r="AD591" s="28" t="s">
        <v>108</v>
      </c>
      <c r="AE591" s="28" t="s">
        <v>112</v>
      </c>
      <c r="AF591" s="28" t="s">
        <v>117</v>
      </c>
      <c r="AG591" s="30" t="s">
        <v>122</v>
      </c>
    </row>
    <row r="592" customFormat="false" ht="15" hidden="false" customHeight="false" outlineLevel="0" collapsed="false">
      <c r="A592" s="10" t="n">
        <v>2025</v>
      </c>
      <c r="B592" s="28" t="s">
        <v>71</v>
      </c>
      <c r="C592" s="29" t="n">
        <v>45917</v>
      </c>
      <c r="D592" s="30" t="s">
        <v>127</v>
      </c>
      <c r="E592" s="28" t="s">
        <v>1159</v>
      </c>
      <c r="F592" s="28" t="s">
        <v>1160</v>
      </c>
      <c r="G592" s="31" t="n">
        <v>96596</v>
      </c>
      <c r="H592" s="31" t="n">
        <v>1</v>
      </c>
      <c r="I592" s="31" t="n">
        <v>96596</v>
      </c>
      <c r="J592" s="29" t="n">
        <v>45930</v>
      </c>
      <c r="K592" s="31" t="n">
        <v>91908</v>
      </c>
      <c r="L592" s="30" t="s">
        <v>32</v>
      </c>
      <c r="M592" s="10" t="n">
        <v>9</v>
      </c>
      <c r="N592" s="12" t="n">
        <v>-4855</v>
      </c>
      <c r="O592" s="13" t="n">
        <v>-0.0502568692965065</v>
      </c>
      <c r="P592" s="15" t="n">
        <v>0.0600798165565006</v>
      </c>
      <c r="Q592" s="13" t="n">
        <v>-0.0506902424000868</v>
      </c>
      <c r="R592" s="15" t="n">
        <v>0.0244161358811041</v>
      </c>
      <c r="S592" s="32" t="n">
        <v>23119084000</v>
      </c>
      <c r="T592" s="15" t="n">
        <v>0.0147213459516298</v>
      </c>
      <c r="U592" s="32" t="n">
        <v>10923855245</v>
      </c>
      <c r="V592" s="14" t="n">
        <v>1.99918055426909</v>
      </c>
      <c r="W592" s="13" t="n">
        <v>0.00835945663531867</v>
      </c>
      <c r="X592" s="15" t="n">
        <v>0.0300518134715027</v>
      </c>
      <c r="Y592" s="13" t="n">
        <v>-0.0104997072141279</v>
      </c>
      <c r="Z592" s="13" t="n">
        <v>0.0298292668945521</v>
      </c>
      <c r="AA592" s="30" t="s">
        <v>97</v>
      </c>
      <c r="AB592" s="28" t="s">
        <v>93</v>
      </c>
      <c r="AC592" s="28" t="s">
        <v>99</v>
      </c>
      <c r="AD592" s="28" t="s">
        <v>106</v>
      </c>
      <c r="AE592" s="28" t="s">
        <v>112</v>
      </c>
      <c r="AF592" s="28" t="s">
        <v>116</v>
      </c>
      <c r="AG592" s="30" t="s">
        <v>122</v>
      </c>
    </row>
    <row r="593" customFormat="false" ht="15" hidden="false" customHeight="false" outlineLevel="0" collapsed="false">
      <c r="A593" s="10" t="n">
        <v>2025</v>
      </c>
      <c r="B593" s="28" t="s">
        <v>71</v>
      </c>
      <c r="C593" s="29" t="n">
        <v>45918</v>
      </c>
      <c r="D593" s="30" t="s">
        <v>128</v>
      </c>
      <c r="E593" s="28" t="s">
        <v>695</v>
      </c>
      <c r="F593" s="30" t="s">
        <v>696</v>
      </c>
      <c r="G593" s="31" t="n">
        <v>80380</v>
      </c>
      <c r="H593" s="31" t="n">
        <v>1</v>
      </c>
      <c r="I593" s="31" t="n">
        <v>80380</v>
      </c>
      <c r="J593" s="29" t="n">
        <v>45931</v>
      </c>
      <c r="K593" s="31" t="n">
        <v>76523</v>
      </c>
      <c r="L593" s="30" t="s">
        <v>32</v>
      </c>
      <c r="M593" s="10" t="n">
        <v>9</v>
      </c>
      <c r="N593" s="12" t="n">
        <v>-3995</v>
      </c>
      <c r="O593" s="13" t="n">
        <v>-0.0497039779025458</v>
      </c>
      <c r="P593" s="15" t="n">
        <v>0.00895368641321337</v>
      </c>
      <c r="Q593" s="13" t="n">
        <v>-0.0507624380600718</v>
      </c>
      <c r="R593" s="15" t="n">
        <v>0.017743979721166</v>
      </c>
      <c r="S593" s="32" t="n">
        <v>24468614500</v>
      </c>
      <c r="T593" s="15" t="n">
        <v>0.0087939698492463</v>
      </c>
      <c r="U593" s="32" t="n">
        <v>14206209255</v>
      </c>
      <c r="V593" s="14" t="n">
        <v>1.67094069000915</v>
      </c>
      <c r="W593" s="13" t="n">
        <v>0.0075282308657465</v>
      </c>
      <c r="X593" s="15" t="n">
        <v>0.00498132004981322</v>
      </c>
      <c r="Y593" s="13" t="n">
        <v>0.0140329290443546</v>
      </c>
      <c r="Z593" s="13" t="n">
        <v>0.0350158483344298</v>
      </c>
      <c r="AA593" s="30" t="s">
        <v>97</v>
      </c>
      <c r="AB593" s="28" t="s">
        <v>93</v>
      </c>
      <c r="AC593" s="28" t="s">
        <v>99</v>
      </c>
      <c r="AD593" s="28" t="s">
        <v>106</v>
      </c>
      <c r="AE593" s="28" t="s">
        <v>112</v>
      </c>
      <c r="AF593" s="28" t="s">
        <v>116</v>
      </c>
      <c r="AG593" s="30" t="s">
        <v>122</v>
      </c>
    </row>
    <row r="594" customFormat="false" ht="15" hidden="false" customHeight="false" outlineLevel="0" collapsed="false">
      <c r="A594" s="10" t="n">
        <v>2025</v>
      </c>
      <c r="B594" s="28" t="s">
        <v>71</v>
      </c>
      <c r="C594" s="29" t="n">
        <v>45919</v>
      </c>
      <c r="D594" s="30" t="s">
        <v>129</v>
      </c>
      <c r="E594" s="28" t="s">
        <v>485</v>
      </c>
      <c r="F594" s="28" t="s">
        <v>486</v>
      </c>
      <c r="G594" s="31" t="n">
        <v>78078</v>
      </c>
      <c r="H594" s="31" t="n">
        <v>1</v>
      </c>
      <c r="I594" s="31" t="n">
        <v>78078</v>
      </c>
      <c r="J594" s="29" t="n">
        <v>45924</v>
      </c>
      <c r="K594" s="31" t="n">
        <v>74326</v>
      </c>
      <c r="L594" s="30" t="s">
        <v>32</v>
      </c>
      <c r="M594" s="10" t="n">
        <v>3</v>
      </c>
      <c r="N594" s="12" t="n">
        <v>-3887</v>
      </c>
      <c r="O594" s="13" t="n">
        <v>-0.0497803342811034</v>
      </c>
      <c r="P594" s="15" t="n">
        <v>0.00284331053561848</v>
      </c>
      <c r="Q594" s="13" t="n">
        <v>-0.05479136248367</v>
      </c>
      <c r="R594" s="15" t="n">
        <v>0.0116731517509727</v>
      </c>
      <c r="S594" s="32" t="n">
        <v>31765500000</v>
      </c>
      <c r="T594" s="15" t="n">
        <v>0.00645161290322571</v>
      </c>
      <c r="U594" s="32" t="n">
        <v>28840537725</v>
      </c>
      <c r="V594" s="14" t="n">
        <v>1.06980317985697</v>
      </c>
      <c r="W594" s="13" t="n">
        <v>0.0116731517509727</v>
      </c>
      <c r="X594" s="15" t="n">
        <v>0</v>
      </c>
      <c r="Y594" s="13" t="n">
        <v>-0.00463987519140219</v>
      </c>
      <c r="Z594" s="13" t="n">
        <v>0.0146368471583311</v>
      </c>
      <c r="AA594" s="30" t="s">
        <v>97</v>
      </c>
      <c r="AB594" s="28" t="s">
        <v>93</v>
      </c>
      <c r="AC594" s="28" t="s">
        <v>99</v>
      </c>
      <c r="AD594" s="28" t="s">
        <v>107</v>
      </c>
      <c r="AE594" s="28" t="s">
        <v>112</v>
      </c>
      <c r="AF594" s="28" t="s">
        <v>116</v>
      </c>
      <c r="AG594" s="30" t="s">
        <v>122</v>
      </c>
    </row>
    <row r="595" customFormat="false" ht="15" hidden="false" customHeight="false" outlineLevel="0" collapsed="false">
      <c r="A595" s="10" t="n">
        <v>2025</v>
      </c>
      <c r="B595" s="28" t="s">
        <v>71</v>
      </c>
      <c r="C595" s="29" t="n">
        <v>45923</v>
      </c>
      <c r="D595" s="30" t="s">
        <v>126</v>
      </c>
      <c r="E595" s="28" t="s">
        <v>813</v>
      </c>
      <c r="F595" s="30" t="s">
        <v>814</v>
      </c>
      <c r="G595" s="31" t="n">
        <v>2477</v>
      </c>
      <c r="H595" s="31" t="n">
        <v>40</v>
      </c>
      <c r="I595" s="31" t="n">
        <v>99099</v>
      </c>
      <c r="J595" s="29" t="n">
        <v>45924</v>
      </c>
      <c r="K595" s="31" t="n">
        <v>2358</v>
      </c>
      <c r="L595" s="30" t="s">
        <v>32</v>
      </c>
      <c r="M595" s="10" t="n">
        <v>1</v>
      </c>
      <c r="N595" s="12" t="n">
        <v>-4964</v>
      </c>
      <c r="O595" s="13" t="n">
        <v>-0.0500900018163657</v>
      </c>
      <c r="P595" s="15" t="n">
        <v>-0.0231990231990231</v>
      </c>
      <c r="Q595" s="13" t="n">
        <v>-0.0938354574718211</v>
      </c>
      <c r="R595" s="15" t="n">
        <v>0.0714285714285714</v>
      </c>
      <c r="S595" s="32" t="n">
        <v>46008116550</v>
      </c>
      <c r="T595" s="15" t="n">
        <v>0.00814663951120154</v>
      </c>
      <c r="U595" s="32" t="n">
        <v>11584063492.95</v>
      </c>
      <c r="V595" s="14" t="n">
        <v>3.53358606900355</v>
      </c>
      <c r="W595" s="13" t="n">
        <v>0.03125</v>
      </c>
      <c r="X595" s="15" t="n">
        <v>0.0060606060606061</v>
      </c>
      <c r="Y595" s="13" t="n">
        <v>0.00505672235595989</v>
      </c>
      <c r="Z595" s="13" t="n">
        <v>0.0106011676648443</v>
      </c>
      <c r="AA595" s="30" t="s">
        <v>97</v>
      </c>
      <c r="AB595" s="28" t="s">
        <v>93</v>
      </c>
      <c r="AC595" s="28" t="s">
        <v>101</v>
      </c>
      <c r="AD595" s="28" t="s">
        <v>107</v>
      </c>
      <c r="AE595" s="28" t="s">
        <v>112</v>
      </c>
      <c r="AF595" s="28" t="s">
        <v>118</v>
      </c>
      <c r="AG595" s="30" t="s">
        <v>122</v>
      </c>
    </row>
    <row r="596" customFormat="false" ht="15" hidden="false" customHeight="false" outlineLevel="0" collapsed="false">
      <c r="A596" s="10" t="n">
        <v>2025</v>
      </c>
      <c r="B596" s="28" t="s">
        <v>71</v>
      </c>
      <c r="C596" s="29" t="n">
        <v>45923</v>
      </c>
      <c r="D596" s="30" t="s">
        <v>126</v>
      </c>
      <c r="E596" s="28" t="s">
        <v>811</v>
      </c>
      <c r="F596" s="30" t="s">
        <v>812</v>
      </c>
      <c r="G596" s="31" t="n">
        <v>9860</v>
      </c>
      <c r="H596" s="31" t="n">
        <v>10</v>
      </c>
      <c r="I596" s="31" t="n">
        <v>98598</v>
      </c>
      <c r="J596" s="29" t="n">
        <v>45924</v>
      </c>
      <c r="K596" s="31" t="n">
        <v>9381</v>
      </c>
      <c r="L596" s="30" t="s">
        <v>32</v>
      </c>
      <c r="M596" s="10" t="n">
        <v>1</v>
      </c>
      <c r="N596" s="12" t="n">
        <v>-4962</v>
      </c>
      <c r="O596" s="13" t="n">
        <v>-0.0503250033215515</v>
      </c>
      <c r="P596" s="15" t="n">
        <v>-0.0395391410619835</v>
      </c>
      <c r="Q596" s="13" t="n">
        <v>-0.0659087105787612</v>
      </c>
      <c r="R596" s="15" t="n">
        <v>0.0836083608360836</v>
      </c>
      <c r="S596" s="32" t="n">
        <v>40651994100</v>
      </c>
      <c r="T596" s="15" t="n">
        <v>0.00715746421267904</v>
      </c>
      <c r="U596" s="32" t="n">
        <v>10511092900.5</v>
      </c>
      <c r="V596" s="14" t="n">
        <v>3.60837376511236</v>
      </c>
      <c r="W596" s="13" t="n">
        <v>0.0335781741867787</v>
      </c>
      <c r="X596" s="15" t="n">
        <v>0.0020304568527918</v>
      </c>
      <c r="Y596" s="13" t="n">
        <v>0.00505672235595989</v>
      </c>
      <c r="Z596" s="13" t="n">
        <v>0.0106011676648443</v>
      </c>
      <c r="AA596" s="30" t="s">
        <v>97</v>
      </c>
      <c r="AB596" s="28" t="s">
        <v>93</v>
      </c>
      <c r="AC596" s="28" t="s">
        <v>101</v>
      </c>
      <c r="AD596" s="28" t="s">
        <v>107</v>
      </c>
      <c r="AE596" s="28" t="s">
        <v>112</v>
      </c>
      <c r="AF596" s="28" t="s">
        <v>118</v>
      </c>
      <c r="AG596" s="30" t="s">
        <v>122</v>
      </c>
    </row>
    <row r="597" customFormat="false" ht="15" hidden="false" customHeight="false" outlineLevel="0" collapsed="false">
      <c r="A597" s="10" t="n">
        <v>2025</v>
      </c>
      <c r="B597" s="28" t="s">
        <v>72</v>
      </c>
      <c r="C597" s="29" t="n">
        <v>45943</v>
      </c>
      <c r="D597" s="30" t="s">
        <v>125</v>
      </c>
      <c r="E597" s="28" t="s">
        <v>451</v>
      </c>
      <c r="F597" s="30" t="s">
        <v>452</v>
      </c>
      <c r="G597" s="31" t="n">
        <v>2653</v>
      </c>
      <c r="H597" s="31" t="n">
        <v>37</v>
      </c>
      <c r="I597" s="31" t="n">
        <v>98148</v>
      </c>
      <c r="J597" s="29" t="n">
        <v>45944</v>
      </c>
      <c r="K597" s="31" t="n">
        <v>2522</v>
      </c>
      <c r="L597" s="30" t="s">
        <v>32</v>
      </c>
      <c r="M597" s="10" t="n">
        <v>1</v>
      </c>
      <c r="N597" s="12" t="n">
        <v>-4985</v>
      </c>
      <c r="O597" s="13" t="n">
        <v>-0.0507925965543889</v>
      </c>
      <c r="P597" s="15" t="n">
        <v>0.0046557216368539</v>
      </c>
      <c r="Q597" s="13" t="n">
        <v>-0.0632009499934026</v>
      </c>
      <c r="R597" s="15" t="n">
        <v>0.144708423326134</v>
      </c>
      <c r="S597" s="32" t="n">
        <v>50665310250</v>
      </c>
      <c r="T597" s="15" t="n">
        <v>0.03515625</v>
      </c>
      <c r="U597" s="32" t="n">
        <v>8337380171.25</v>
      </c>
      <c r="V597" s="14" t="n">
        <v>5.64719366907712</v>
      </c>
      <c r="W597" s="13" t="n">
        <v>0.111111111111111</v>
      </c>
      <c r="X597" s="15" t="n">
        <v>0.0811320754716982</v>
      </c>
      <c r="Y597" s="13" t="n">
        <v>-0.00721486733506893</v>
      </c>
      <c r="Z597" s="13" t="n">
        <v>0.0446897741613017</v>
      </c>
      <c r="AA597" s="30" t="s">
        <v>97</v>
      </c>
      <c r="AB597" s="28" t="s">
        <v>93</v>
      </c>
      <c r="AC597" s="28" t="s">
        <v>102</v>
      </c>
      <c r="AD597" s="28" t="s">
        <v>108</v>
      </c>
      <c r="AE597" s="28" t="s">
        <v>113</v>
      </c>
      <c r="AF597" s="28" t="s">
        <v>119</v>
      </c>
      <c r="AG597" s="30" t="s">
        <v>122</v>
      </c>
    </row>
    <row r="598" customFormat="false" ht="15" hidden="false" customHeight="false" outlineLevel="0" collapsed="false">
      <c r="A598" s="10" t="n">
        <v>2025</v>
      </c>
      <c r="B598" s="28" t="s">
        <v>72</v>
      </c>
      <c r="C598" s="29" t="n">
        <v>45943</v>
      </c>
      <c r="D598" s="30" t="s">
        <v>125</v>
      </c>
      <c r="E598" s="28" t="s">
        <v>913</v>
      </c>
      <c r="F598" s="30" t="s">
        <v>914</v>
      </c>
      <c r="G598" s="31" t="n">
        <v>59860</v>
      </c>
      <c r="H598" s="31" t="n">
        <v>1</v>
      </c>
      <c r="I598" s="31" t="n">
        <v>59860</v>
      </c>
      <c r="J598" s="29" t="n">
        <v>45944</v>
      </c>
      <c r="K598" s="31" t="n">
        <v>56943</v>
      </c>
      <c r="L598" s="30" t="s">
        <v>32</v>
      </c>
      <c r="M598" s="10" t="n">
        <v>1</v>
      </c>
      <c r="N598" s="12" t="n">
        <v>-3020</v>
      </c>
      <c r="O598" s="13" t="n">
        <v>-0.0504467926722107</v>
      </c>
      <c r="P598" s="15" t="n">
        <v>0.0190478417903168</v>
      </c>
      <c r="Q598" s="13" t="n">
        <v>-0.0878686530860443</v>
      </c>
      <c r="R598" s="15" t="n">
        <v>0.12406015037594</v>
      </c>
      <c r="S598" s="32" t="n">
        <v>33886387600</v>
      </c>
      <c r="T598" s="15" t="n">
        <v>0.0952380952380953</v>
      </c>
      <c r="U598" s="32" t="n">
        <v>11354719702.5</v>
      </c>
      <c r="V598" s="14" t="n">
        <v>2.57429066540132</v>
      </c>
      <c r="W598" s="13" t="n">
        <v>0.152215799614644</v>
      </c>
      <c r="X598" s="15" t="n">
        <v>0.0100334448160535</v>
      </c>
      <c r="Y598" s="13" t="n">
        <v>-0.00721486733506893</v>
      </c>
      <c r="Z598" s="13" t="n">
        <v>0.0446897741613017</v>
      </c>
      <c r="AA598" s="30" t="s">
        <v>97</v>
      </c>
      <c r="AB598" s="28" t="s">
        <v>93</v>
      </c>
      <c r="AC598" s="28" t="s">
        <v>102</v>
      </c>
      <c r="AD598" s="28" t="s">
        <v>107</v>
      </c>
      <c r="AE598" s="28" t="s">
        <v>101</v>
      </c>
      <c r="AF598" s="28" t="s">
        <v>117</v>
      </c>
      <c r="AG598" s="30" t="s">
        <v>122</v>
      </c>
    </row>
    <row r="599" customFormat="false" ht="15" hidden="false" customHeight="false" outlineLevel="0" collapsed="false">
      <c r="A599" s="10" t="n">
        <v>2025</v>
      </c>
      <c r="B599" s="28" t="s">
        <v>72</v>
      </c>
      <c r="C599" s="29" t="n">
        <v>45945</v>
      </c>
      <c r="D599" s="30" t="s">
        <v>127</v>
      </c>
      <c r="E599" s="28" t="s">
        <v>247</v>
      </c>
      <c r="F599" s="30" t="s">
        <v>248</v>
      </c>
      <c r="G599" s="31" t="n">
        <v>39389</v>
      </c>
      <c r="H599" s="31" t="n">
        <v>2</v>
      </c>
      <c r="I599" s="31" t="n">
        <v>78779</v>
      </c>
      <c r="J599" s="29" t="n">
        <v>45972</v>
      </c>
      <c r="K599" s="31" t="n">
        <v>47300</v>
      </c>
      <c r="L599" s="30" t="s">
        <v>31</v>
      </c>
      <c r="M599" s="10" t="n">
        <v>19</v>
      </c>
      <c r="N599" s="12" t="n">
        <v>15653</v>
      </c>
      <c r="O599" s="13" t="n">
        <v>0.198700831506486</v>
      </c>
      <c r="P599" s="15" t="n">
        <v>0.279533681058459</v>
      </c>
      <c r="Q599" s="13" t="n">
        <v>0.00280913495653024</v>
      </c>
      <c r="R599" s="15" t="n">
        <v>0.0437665782493368</v>
      </c>
      <c r="S599" s="32" t="n">
        <v>168896259900</v>
      </c>
      <c r="T599" s="15" t="n">
        <v>0.0167958656330749</v>
      </c>
      <c r="U599" s="32" t="n">
        <v>77854324465</v>
      </c>
      <c r="V599" s="14" t="n">
        <v>2.02032542970561</v>
      </c>
      <c r="W599" s="13" t="n">
        <v>0.0535475234270415</v>
      </c>
      <c r="X599" s="15" t="n">
        <v>0.00508259212198214</v>
      </c>
      <c r="Y599" s="13" t="n">
        <v>0.0268037879617387</v>
      </c>
      <c r="Z599" s="13" t="n">
        <v>0.0582927979674928</v>
      </c>
      <c r="AA599" s="30" t="s">
        <v>97</v>
      </c>
      <c r="AB599" s="28" t="s">
        <v>93</v>
      </c>
      <c r="AC599" s="28" t="s">
        <v>100</v>
      </c>
      <c r="AD599" s="28" t="s">
        <v>109</v>
      </c>
      <c r="AE599" s="28" t="s">
        <v>112</v>
      </c>
      <c r="AF599" s="28" t="s">
        <v>117</v>
      </c>
      <c r="AG599" s="30" t="s">
        <v>122</v>
      </c>
    </row>
    <row r="600" customFormat="false" ht="15" hidden="false" customHeight="false" outlineLevel="0" collapsed="false">
      <c r="A600" s="10" t="n">
        <v>2025</v>
      </c>
      <c r="B600" s="28" t="s">
        <v>72</v>
      </c>
      <c r="C600" s="29" t="n">
        <v>45945</v>
      </c>
      <c r="D600" s="30" t="s">
        <v>127</v>
      </c>
      <c r="E600" s="28" t="s">
        <v>743</v>
      </c>
      <c r="F600" s="30" t="s">
        <v>744</v>
      </c>
      <c r="G600" s="31" t="n">
        <v>96797</v>
      </c>
      <c r="H600" s="31" t="n">
        <v>1</v>
      </c>
      <c r="I600" s="31" t="n">
        <v>96797</v>
      </c>
      <c r="J600" s="29" t="n">
        <v>45959</v>
      </c>
      <c r="K600" s="31" t="n">
        <v>116500</v>
      </c>
      <c r="L600" s="30" t="s">
        <v>31</v>
      </c>
      <c r="M600" s="10" t="n">
        <v>10</v>
      </c>
      <c r="N600" s="12" t="n">
        <v>19497</v>
      </c>
      <c r="O600" s="13" t="n">
        <v>0.201417563770253</v>
      </c>
      <c r="P600" s="15" t="n">
        <v>0.218016729909181</v>
      </c>
      <c r="Q600" s="13" t="n">
        <v>-0.0340579792492924</v>
      </c>
      <c r="R600" s="15" t="n">
        <v>0.0914221218961626</v>
      </c>
      <c r="S600" s="32" t="n">
        <v>113734381900</v>
      </c>
      <c r="T600" s="15" t="n">
        <v>0.0442764578833694</v>
      </c>
      <c r="U600" s="32" t="n">
        <v>21825145955</v>
      </c>
      <c r="V600" s="14" t="n">
        <v>4.75880027885437</v>
      </c>
      <c r="W600" s="13" t="n">
        <v>0.0780379041248607</v>
      </c>
      <c r="X600" s="15" t="n">
        <v>0.0330920372285419</v>
      </c>
      <c r="Y600" s="13" t="n">
        <v>0.0268037879617387</v>
      </c>
      <c r="Z600" s="13" t="n">
        <v>0.0582927979674928</v>
      </c>
      <c r="AA600" s="30" t="s">
        <v>97</v>
      </c>
      <c r="AB600" s="28" t="s">
        <v>93</v>
      </c>
      <c r="AC600" s="28" t="s">
        <v>101</v>
      </c>
      <c r="AD600" s="28" t="s">
        <v>109</v>
      </c>
      <c r="AE600" s="28" t="s">
        <v>113</v>
      </c>
      <c r="AF600" s="28" t="s">
        <v>118</v>
      </c>
      <c r="AG600" s="30" t="s">
        <v>122</v>
      </c>
    </row>
    <row r="601" customFormat="false" ht="15" hidden="false" customHeight="false" outlineLevel="0" collapsed="false">
      <c r="A601" s="10" t="n">
        <v>2025</v>
      </c>
      <c r="B601" s="28" t="s">
        <v>72</v>
      </c>
      <c r="C601" s="29" t="n">
        <v>45945</v>
      </c>
      <c r="D601" s="30" t="s">
        <v>127</v>
      </c>
      <c r="E601" s="28" t="s">
        <v>1403</v>
      </c>
      <c r="F601" s="30" t="s">
        <v>1404</v>
      </c>
      <c r="G601" s="31" t="n">
        <v>3679</v>
      </c>
      <c r="H601" s="31" t="n">
        <v>27</v>
      </c>
      <c r="I601" s="31" t="n">
        <v>99324</v>
      </c>
      <c r="J601" s="29" t="n">
        <v>45957</v>
      </c>
      <c r="K601" s="31" t="n">
        <v>4415</v>
      </c>
      <c r="L601" s="30" t="s">
        <v>31</v>
      </c>
      <c r="M601" s="10" t="n">
        <v>8</v>
      </c>
      <c r="N601" s="12" t="n">
        <v>19669</v>
      </c>
      <c r="O601" s="13" t="n">
        <v>0.198030119200528</v>
      </c>
      <c r="P601" s="15" t="n">
        <v>0.219188974291015</v>
      </c>
      <c r="Q601" s="13" t="n">
        <v>-0.0417745519786336</v>
      </c>
      <c r="R601" s="15" t="n">
        <v>0.13251155624037</v>
      </c>
      <c r="S601" s="32" t="n">
        <v>56721284025</v>
      </c>
      <c r="T601" s="15" t="n">
        <v>0.0560344827586208</v>
      </c>
      <c r="U601" s="32" t="n">
        <v>3558275220</v>
      </c>
      <c r="V601" s="14" t="n">
        <v>14.2935835228882</v>
      </c>
      <c r="W601" s="13" t="n">
        <v>0.123853211009174</v>
      </c>
      <c r="X601" s="15" t="n">
        <v>0.0272108843537415</v>
      </c>
      <c r="Y601" s="13" t="n">
        <v>0.0268037879617387</v>
      </c>
      <c r="Z601" s="13" t="n">
        <v>0.0582927979674928</v>
      </c>
      <c r="AA601" s="30" t="s">
        <v>97</v>
      </c>
      <c r="AB601" s="28" t="s">
        <v>93</v>
      </c>
      <c r="AC601" s="28" t="s">
        <v>102</v>
      </c>
      <c r="AD601" s="28" t="s">
        <v>108</v>
      </c>
      <c r="AE601" s="28" t="s">
        <v>101</v>
      </c>
      <c r="AF601" s="28" t="s">
        <v>120</v>
      </c>
      <c r="AG601" s="30" t="s">
        <v>122</v>
      </c>
    </row>
    <row r="602" customFormat="false" ht="15" hidden="false" customHeight="false" outlineLevel="0" collapsed="false">
      <c r="A602" s="10" t="n">
        <v>2025</v>
      </c>
      <c r="B602" s="28" t="s">
        <v>72</v>
      </c>
      <c r="C602" s="29" t="n">
        <v>45945</v>
      </c>
      <c r="D602" s="30" t="s">
        <v>127</v>
      </c>
      <c r="E602" s="28" t="s">
        <v>721</v>
      </c>
      <c r="F602" s="30" t="s">
        <v>722</v>
      </c>
      <c r="G602" s="31" t="n">
        <v>38488</v>
      </c>
      <c r="H602" s="31" t="n">
        <v>2</v>
      </c>
      <c r="I602" s="31" t="n">
        <v>76977</v>
      </c>
      <c r="J602" s="29" t="n">
        <v>45946</v>
      </c>
      <c r="K602" s="31" t="n">
        <v>36613</v>
      </c>
      <c r="L602" s="30" t="s">
        <v>32</v>
      </c>
      <c r="M602" s="10" t="n">
        <v>1</v>
      </c>
      <c r="N602" s="12" t="n">
        <v>-3883</v>
      </c>
      <c r="O602" s="13" t="n">
        <v>-0.0504381261131585</v>
      </c>
      <c r="P602" s="15" t="n">
        <v>0.0210855464431539</v>
      </c>
      <c r="Q602" s="13" t="n">
        <v>-0.0750471894815197</v>
      </c>
      <c r="R602" s="15" t="n">
        <v>0.134218289085546</v>
      </c>
      <c r="S602" s="32" t="n">
        <v>43702231550</v>
      </c>
      <c r="T602" s="15" t="n">
        <v>0.103299856527977</v>
      </c>
      <c r="U602" s="32" t="n">
        <v>15170290887.5</v>
      </c>
      <c r="V602" s="14" t="n">
        <v>2.49586620423784</v>
      </c>
      <c r="W602" s="13" t="n">
        <v>0.129221732745962</v>
      </c>
      <c r="X602" s="15" t="n">
        <v>0.0130039011703511</v>
      </c>
      <c r="Y602" s="13" t="n">
        <v>0.0268037879617387</v>
      </c>
      <c r="Z602" s="13" t="n">
        <v>0.0582927979674928</v>
      </c>
      <c r="AA602" s="30" t="s">
        <v>97</v>
      </c>
      <c r="AB602" s="28" t="s">
        <v>93</v>
      </c>
      <c r="AC602" s="28" t="s">
        <v>102</v>
      </c>
      <c r="AD602" s="28" t="s">
        <v>107</v>
      </c>
      <c r="AE602" s="28" t="s">
        <v>114</v>
      </c>
      <c r="AF602" s="28" t="s">
        <v>117</v>
      </c>
      <c r="AG602" s="30" t="s">
        <v>122</v>
      </c>
    </row>
    <row r="603" customFormat="false" ht="15" hidden="false" customHeight="false" outlineLevel="0" collapsed="false">
      <c r="A603" s="10" t="n">
        <v>2025</v>
      </c>
      <c r="B603" s="28" t="s">
        <v>72</v>
      </c>
      <c r="C603" s="29" t="n">
        <v>45946</v>
      </c>
      <c r="D603" s="30" t="s">
        <v>128</v>
      </c>
      <c r="E603" s="28" t="s">
        <v>527</v>
      </c>
      <c r="F603" s="30" t="s">
        <v>528</v>
      </c>
      <c r="G603" s="31" t="n">
        <v>63463</v>
      </c>
      <c r="H603" s="31" t="n">
        <v>1</v>
      </c>
      <c r="I603" s="31" t="n">
        <v>63463</v>
      </c>
      <c r="J603" s="29" t="n">
        <v>45966</v>
      </c>
      <c r="K603" s="31" t="n">
        <v>60340</v>
      </c>
      <c r="L603" s="30" t="s">
        <v>32</v>
      </c>
      <c r="M603" s="10" t="n">
        <v>14</v>
      </c>
      <c r="N603" s="12" t="n">
        <v>-3233</v>
      </c>
      <c r="O603" s="13" t="n">
        <v>-0.0509408548864385</v>
      </c>
      <c r="P603" s="15" t="n">
        <v>0.118755061972728</v>
      </c>
      <c r="Q603" s="13" t="n">
        <v>-0.0545731870653006</v>
      </c>
      <c r="R603" s="15" t="n">
        <v>0.260437375745527</v>
      </c>
      <c r="S603" s="32" t="n">
        <v>169429209000</v>
      </c>
      <c r="T603" s="15" t="n">
        <v>0.20532319391635</v>
      </c>
      <c r="U603" s="32" t="n">
        <v>13374367710</v>
      </c>
      <c r="V603" s="14" t="n">
        <v>9.94356019331336</v>
      </c>
      <c r="W603" s="13" t="n">
        <v>0.257936507936508</v>
      </c>
      <c r="X603" s="15" t="n">
        <v>0</v>
      </c>
      <c r="Y603" s="13" t="n">
        <v>0.0249064878817042</v>
      </c>
      <c r="Z603" s="13" t="n">
        <v>0.056113895768354</v>
      </c>
      <c r="AA603" s="30" t="s">
        <v>97</v>
      </c>
      <c r="AB603" s="28" t="s">
        <v>93</v>
      </c>
      <c r="AC603" s="28" t="s">
        <v>104</v>
      </c>
      <c r="AD603" s="28" t="s">
        <v>109</v>
      </c>
      <c r="AE603" s="28" t="s">
        <v>114</v>
      </c>
      <c r="AF603" s="28" t="s">
        <v>119</v>
      </c>
      <c r="AG603" s="30" t="s">
        <v>122</v>
      </c>
    </row>
    <row r="604" customFormat="false" ht="15" hidden="false" customHeight="false" outlineLevel="0" collapsed="false">
      <c r="A604" s="10" t="n">
        <v>2025</v>
      </c>
      <c r="B604" s="28" t="s">
        <v>72</v>
      </c>
      <c r="C604" s="29" t="n">
        <v>45946</v>
      </c>
      <c r="D604" s="30" t="s">
        <v>128</v>
      </c>
      <c r="E604" s="28" t="s">
        <v>549</v>
      </c>
      <c r="F604" s="30" t="s">
        <v>550</v>
      </c>
      <c r="G604" s="31" t="n">
        <v>57758</v>
      </c>
      <c r="H604" s="31" t="n">
        <v>1</v>
      </c>
      <c r="I604" s="31" t="n">
        <v>57758</v>
      </c>
      <c r="J604" s="29" t="n">
        <v>45947</v>
      </c>
      <c r="K604" s="31" t="n">
        <v>69400</v>
      </c>
      <c r="L604" s="30" t="s">
        <v>31</v>
      </c>
      <c r="M604" s="10" t="n">
        <v>1</v>
      </c>
      <c r="N604" s="12" t="n">
        <v>11519</v>
      </c>
      <c r="O604" s="13" t="n">
        <v>0.199438799415489</v>
      </c>
      <c r="P604" s="15" t="n">
        <v>0.279483081909425</v>
      </c>
      <c r="Q604" s="13" t="n">
        <v>0.0284343039975623</v>
      </c>
      <c r="R604" s="15" t="n">
        <v>0.140316205533597</v>
      </c>
      <c r="S604" s="32" t="n">
        <v>155424989800</v>
      </c>
      <c r="T604" s="15" t="n">
        <v>0.140316205533597</v>
      </c>
      <c r="U604" s="32" t="n">
        <v>27538171557.5</v>
      </c>
      <c r="V604" s="14" t="n">
        <v>4.79911688413033</v>
      </c>
      <c r="W604" s="13" t="n">
        <v>0.138067061143984</v>
      </c>
      <c r="X604" s="15" t="n">
        <v>0</v>
      </c>
      <c r="Y604" s="13" t="n">
        <v>0.0249064878817042</v>
      </c>
      <c r="Z604" s="13" t="n">
        <v>0.056113895768354</v>
      </c>
      <c r="AA604" s="30" t="s">
        <v>97</v>
      </c>
      <c r="AB604" s="28" t="s">
        <v>93</v>
      </c>
      <c r="AC604" s="28" t="s">
        <v>102</v>
      </c>
      <c r="AD604" s="28" t="s">
        <v>109</v>
      </c>
      <c r="AE604" s="28" t="s">
        <v>114</v>
      </c>
      <c r="AF604" s="28" t="s">
        <v>118</v>
      </c>
      <c r="AG604" s="30" t="s">
        <v>122</v>
      </c>
    </row>
    <row r="605" customFormat="false" ht="15" hidden="false" customHeight="false" outlineLevel="0" collapsed="false">
      <c r="A605" s="10" t="n">
        <v>2025</v>
      </c>
      <c r="B605" s="28" t="s">
        <v>72</v>
      </c>
      <c r="C605" s="29" t="n">
        <v>45946</v>
      </c>
      <c r="D605" s="30" t="s">
        <v>128</v>
      </c>
      <c r="E605" s="28" t="s">
        <v>425</v>
      </c>
      <c r="F605" s="30" t="s">
        <v>426</v>
      </c>
      <c r="G605" s="31" t="n">
        <v>3048</v>
      </c>
      <c r="H605" s="31" t="n">
        <v>32</v>
      </c>
      <c r="I605" s="31" t="n">
        <v>97537</v>
      </c>
      <c r="J605" s="29" t="n">
        <v>45950</v>
      </c>
      <c r="K605" s="31" t="n">
        <v>2897</v>
      </c>
      <c r="L605" s="30" t="s">
        <v>32</v>
      </c>
      <c r="M605" s="10" t="n">
        <v>2</v>
      </c>
      <c r="N605" s="12" t="n">
        <v>-4998</v>
      </c>
      <c r="O605" s="13" t="n">
        <v>-0.0512401955187669</v>
      </c>
      <c r="P605" s="15" t="n">
        <v>0.071178411079889</v>
      </c>
      <c r="Q605" s="13" t="n">
        <v>-0.0551320600581683</v>
      </c>
      <c r="R605" s="15" t="n">
        <v>0.173410404624278</v>
      </c>
      <c r="S605" s="32" t="n">
        <v>61144403880</v>
      </c>
      <c r="T605" s="15" t="n">
        <v>0.105263157894737</v>
      </c>
      <c r="U605" s="32" t="n">
        <v>4687079678.25</v>
      </c>
      <c r="V605" s="14" t="n">
        <v>11.08836412693</v>
      </c>
      <c r="W605" s="13" t="n">
        <v>0.111313868613139</v>
      </c>
      <c r="X605" s="15" t="n">
        <v>0.0394088669950738</v>
      </c>
      <c r="Y605" s="13" t="n">
        <v>0.0249064878817042</v>
      </c>
      <c r="Z605" s="13" t="n">
        <v>0.056113895768354</v>
      </c>
      <c r="AA605" s="30" t="s">
        <v>97</v>
      </c>
      <c r="AB605" s="28" t="s">
        <v>93</v>
      </c>
      <c r="AC605" s="28" t="s">
        <v>103</v>
      </c>
      <c r="AD605" s="28" t="s">
        <v>108</v>
      </c>
      <c r="AE605" s="28" t="s">
        <v>114</v>
      </c>
      <c r="AF605" s="28" t="s">
        <v>120</v>
      </c>
      <c r="AG605" s="30" t="s">
        <v>122</v>
      </c>
    </row>
    <row r="606" customFormat="false" ht="15" hidden="false" customHeight="false" outlineLevel="0" collapsed="false">
      <c r="A606" s="10" t="n">
        <v>2025</v>
      </c>
      <c r="B606" s="28" t="s">
        <v>72</v>
      </c>
      <c r="C606" s="29" t="n">
        <v>45946</v>
      </c>
      <c r="D606" s="30" t="s">
        <v>128</v>
      </c>
      <c r="E606" s="28" t="s">
        <v>801</v>
      </c>
      <c r="F606" s="30" t="s">
        <v>802</v>
      </c>
      <c r="G606" s="31" t="n">
        <v>81481</v>
      </c>
      <c r="H606" s="31" t="n">
        <v>1</v>
      </c>
      <c r="I606" s="31" t="n">
        <v>81481</v>
      </c>
      <c r="J606" s="29" t="n">
        <v>45954</v>
      </c>
      <c r="K606" s="31" t="n">
        <v>97800</v>
      </c>
      <c r="L606" s="30" t="s">
        <v>31</v>
      </c>
      <c r="M606" s="10" t="n">
        <v>6</v>
      </c>
      <c r="N606" s="12" t="n">
        <v>16145</v>
      </c>
      <c r="O606" s="13" t="n">
        <v>0.198143475566203</v>
      </c>
      <c r="P606" s="15" t="n">
        <v>0.208864845228482</v>
      </c>
      <c r="Q606" s="13" t="n">
        <v>-0.0230899321808412</v>
      </c>
      <c r="R606" s="15" t="n">
        <v>0.0867823765020026</v>
      </c>
      <c r="S606" s="32" t="n">
        <v>36357717000</v>
      </c>
      <c r="T606" s="15" t="n">
        <v>0.0111801242236025</v>
      </c>
      <c r="U606" s="32" t="n">
        <v>13511381700</v>
      </c>
      <c r="V606" s="14" t="n">
        <v>2.51346544565328</v>
      </c>
      <c r="W606" s="13" t="n">
        <v>0.0557717250324255</v>
      </c>
      <c r="X606" s="15" t="n">
        <v>0.00737100737100738</v>
      </c>
      <c r="Y606" s="13" t="n">
        <v>0.0249064878817042</v>
      </c>
      <c r="Z606" s="13" t="n">
        <v>0.056113895768354</v>
      </c>
      <c r="AA606" s="30" t="s">
        <v>97</v>
      </c>
      <c r="AB606" s="28" t="s">
        <v>93</v>
      </c>
      <c r="AC606" s="28" t="s">
        <v>101</v>
      </c>
      <c r="AD606" s="28" t="s">
        <v>107</v>
      </c>
      <c r="AE606" s="28" t="s">
        <v>112</v>
      </c>
      <c r="AF606" s="28" t="s">
        <v>117</v>
      </c>
      <c r="AG606" s="30" t="s">
        <v>122</v>
      </c>
    </row>
    <row r="607" customFormat="false" ht="15" hidden="false" customHeight="false" outlineLevel="0" collapsed="false">
      <c r="A607" s="10" t="n">
        <v>2025</v>
      </c>
      <c r="B607" s="28" t="s">
        <v>72</v>
      </c>
      <c r="C607" s="29" t="n">
        <v>45946</v>
      </c>
      <c r="D607" s="30" t="s">
        <v>128</v>
      </c>
      <c r="E607" s="28" t="s">
        <v>211</v>
      </c>
      <c r="F607" s="30" t="s">
        <v>212</v>
      </c>
      <c r="G607" s="31" t="n">
        <v>41491</v>
      </c>
      <c r="H607" s="31" t="n">
        <v>2</v>
      </c>
      <c r="I607" s="31" t="n">
        <v>82983</v>
      </c>
      <c r="J607" s="29" t="n">
        <v>45971</v>
      </c>
      <c r="K607" s="31" t="n">
        <v>50500</v>
      </c>
      <c r="L607" s="30" t="s">
        <v>31</v>
      </c>
      <c r="M607" s="10" t="n">
        <v>17</v>
      </c>
      <c r="N607" s="12" t="n">
        <v>17838</v>
      </c>
      <c r="O607" s="13" t="n">
        <v>0.214959980489956</v>
      </c>
      <c r="P607" s="15" t="n">
        <v>0.424389844172715</v>
      </c>
      <c r="Q607" s="13" t="n">
        <v>-0.00702433874930852</v>
      </c>
      <c r="R607" s="15" t="n">
        <v>0.0310945273631842</v>
      </c>
      <c r="S607" s="32" t="n">
        <v>28736953400</v>
      </c>
      <c r="T607" s="15" t="n">
        <v>0.0171779141104294</v>
      </c>
      <c r="U607" s="32" t="n">
        <v>13596271535</v>
      </c>
      <c r="V607" s="14" t="n">
        <v>1.9891991523211</v>
      </c>
      <c r="W607" s="13" t="n">
        <v>0.00729040097205336</v>
      </c>
      <c r="X607" s="15" t="n">
        <v>0.0180940892641737</v>
      </c>
      <c r="Y607" s="13" t="n">
        <v>0.0249064878817042</v>
      </c>
      <c r="Z607" s="13" t="n">
        <v>0.056113895768354</v>
      </c>
      <c r="AA607" s="30" t="s">
        <v>97</v>
      </c>
      <c r="AB607" s="28" t="s">
        <v>93</v>
      </c>
      <c r="AC607" s="28" t="s">
        <v>100</v>
      </c>
      <c r="AD607" s="28" t="s">
        <v>106</v>
      </c>
      <c r="AE607" s="28" t="s">
        <v>112</v>
      </c>
      <c r="AF607" s="28" t="s">
        <v>116</v>
      </c>
      <c r="AG607" s="30" t="s">
        <v>122</v>
      </c>
    </row>
    <row r="608" customFormat="false" ht="15" hidden="false" customHeight="false" outlineLevel="0" collapsed="false">
      <c r="A608" s="10" t="n">
        <v>2025</v>
      </c>
      <c r="B608" s="28" t="s">
        <v>72</v>
      </c>
      <c r="C608" s="29" t="n">
        <v>45946</v>
      </c>
      <c r="D608" s="30" t="s">
        <v>128</v>
      </c>
      <c r="E608" s="28" t="s">
        <v>1443</v>
      </c>
      <c r="F608" s="30" t="s">
        <v>1444</v>
      </c>
      <c r="G608" s="31" t="n">
        <v>8999</v>
      </c>
      <c r="H608" s="31" t="n">
        <v>11</v>
      </c>
      <c r="I608" s="31" t="n">
        <v>98989</v>
      </c>
      <c r="J608" s="29" t="n">
        <v>45947</v>
      </c>
      <c r="K608" s="31" t="n">
        <v>8561</v>
      </c>
      <c r="L608" s="30" t="s">
        <v>32</v>
      </c>
      <c r="M608" s="10" t="n">
        <v>1</v>
      </c>
      <c r="N608" s="12" t="n">
        <v>-4983</v>
      </c>
      <c r="O608" s="13" t="n">
        <v>-0.0503430060484564</v>
      </c>
      <c r="P608" s="15" t="n">
        <v>-0.0110001233471756</v>
      </c>
      <c r="Q608" s="13" t="n">
        <v>-0.0576720276386572</v>
      </c>
      <c r="R608" s="15" t="n">
        <v>0.0539273153575615</v>
      </c>
      <c r="S608" s="32" t="n">
        <v>25530251500</v>
      </c>
      <c r="T608" s="15" t="n">
        <v>0.0192743764172336</v>
      </c>
      <c r="U608" s="32" t="n">
        <v>3319810807.5</v>
      </c>
      <c r="V608" s="14" t="n">
        <v>7.30683026597495</v>
      </c>
      <c r="W608" s="13" t="n">
        <v>0.0274285714285714</v>
      </c>
      <c r="X608" s="15" t="n">
        <v>0.0511679644048944</v>
      </c>
      <c r="Y608" s="13" t="n">
        <v>0.0249064878817042</v>
      </c>
      <c r="Z608" s="13" t="n">
        <v>0.056113895768354</v>
      </c>
      <c r="AA608" s="30" t="s">
        <v>97</v>
      </c>
      <c r="AB608" s="28" t="s">
        <v>93</v>
      </c>
      <c r="AC608" s="28" t="s">
        <v>101</v>
      </c>
      <c r="AD608" s="28" t="s">
        <v>106</v>
      </c>
      <c r="AE608" s="28" t="s">
        <v>112</v>
      </c>
      <c r="AF608" s="28" t="s">
        <v>119</v>
      </c>
      <c r="AG608" s="30" t="s">
        <v>122</v>
      </c>
    </row>
    <row r="609" customFormat="false" ht="15" hidden="false" customHeight="false" outlineLevel="0" collapsed="false">
      <c r="A609" s="10" t="n">
        <v>2025</v>
      </c>
      <c r="B609" s="28" t="s">
        <v>72</v>
      </c>
      <c r="C609" s="29" t="n">
        <v>45946</v>
      </c>
      <c r="D609" s="30" t="s">
        <v>128</v>
      </c>
      <c r="E609" s="28" t="s">
        <v>681</v>
      </c>
      <c r="F609" s="30" t="s">
        <v>682</v>
      </c>
      <c r="G609" s="31" t="n">
        <v>51752</v>
      </c>
      <c r="H609" s="31" t="n">
        <v>1</v>
      </c>
      <c r="I609" s="31" t="n">
        <v>51752</v>
      </c>
      <c r="J609" s="29" t="n">
        <v>45953</v>
      </c>
      <c r="K609" s="31" t="n">
        <v>62200</v>
      </c>
      <c r="L609" s="30" t="s">
        <v>31</v>
      </c>
      <c r="M609" s="10" t="n">
        <v>5</v>
      </c>
      <c r="N609" s="12" t="n">
        <v>10338</v>
      </c>
      <c r="O609" s="13" t="n">
        <v>0.199759761418466</v>
      </c>
      <c r="P609" s="15" t="n">
        <v>0.215419010389997</v>
      </c>
      <c r="Q609" s="13" t="n">
        <v>-0.0183897340570454</v>
      </c>
      <c r="R609" s="15" t="n">
        <v>0.0237623762376238</v>
      </c>
      <c r="S609" s="32" t="n">
        <v>25059093400</v>
      </c>
      <c r="T609" s="15" t="n">
        <v>0.0217391304347827</v>
      </c>
      <c r="U609" s="32" t="n">
        <v>17027337062.5</v>
      </c>
      <c r="V609" s="14" t="n">
        <v>1.40570810259626</v>
      </c>
      <c r="W609" s="13" t="n">
        <v>0.0157170923379175</v>
      </c>
      <c r="X609" s="15" t="n">
        <v>0.00773694390715662</v>
      </c>
      <c r="Y609" s="13" t="n">
        <v>0.0249064878817042</v>
      </c>
      <c r="Z609" s="13" t="n">
        <v>0.056113895768354</v>
      </c>
      <c r="AA609" s="30" t="s">
        <v>97</v>
      </c>
      <c r="AB609" s="28" t="s">
        <v>93</v>
      </c>
      <c r="AC609" s="28" t="s">
        <v>99</v>
      </c>
      <c r="AD609" s="28" t="s">
        <v>106</v>
      </c>
      <c r="AE609" s="28" t="s">
        <v>113</v>
      </c>
      <c r="AF609" s="28" t="s">
        <v>116</v>
      </c>
      <c r="AG609" s="30" t="s">
        <v>122</v>
      </c>
    </row>
    <row r="610" customFormat="false" ht="15" hidden="false" customHeight="false" outlineLevel="0" collapsed="false">
      <c r="A610" s="10" t="n">
        <v>2025</v>
      </c>
      <c r="B610" s="28" t="s">
        <v>72</v>
      </c>
      <c r="C610" s="29" t="n">
        <v>45946</v>
      </c>
      <c r="D610" s="30" t="s">
        <v>128</v>
      </c>
      <c r="E610" s="28" t="s">
        <v>469</v>
      </c>
      <c r="F610" s="28" t="s">
        <v>470</v>
      </c>
      <c r="G610" s="31" t="n">
        <v>39840</v>
      </c>
      <c r="H610" s="31" t="n">
        <v>2</v>
      </c>
      <c r="I610" s="31" t="n">
        <v>79680</v>
      </c>
      <c r="J610" s="29" t="n">
        <v>45959</v>
      </c>
      <c r="K610" s="31" t="n">
        <v>48800</v>
      </c>
      <c r="L610" s="30" t="s">
        <v>31</v>
      </c>
      <c r="M610" s="10" t="n">
        <v>9</v>
      </c>
      <c r="N610" s="12" t="n">
        <v>17747</v>
      </c>
      <c r="O610" s="13" t="n">
        <v>0.222734653035407</v>
      </c>
      <c r="P610" s="15" t="n">
        <v>0.247496222370594</v>
      </c>
      <c r="Q610" s="13" t="n">
        <v>-0.0210794230894732</v>
      </c>
      <c r="R610" s="15" t="n">
        <v>0.03242542153048</v>
      </c>
      <c r="S610" s="32" t="n">
        <v>23725058600</v>
      </c>
      <c r="T610" s="15" t="n">
        <v>0.00378310214375799</v>
      </c>
      <c r="U610" s="32" t="n">
        <v>15181748220</v>
      </c>
      <c r="V610" s="14" t="n">
        <v>1.52378291473677</v>
      </c>
      <c r="W610" s="13" t="n">
        <v>0.0270967741935484</v>
      </c>
      <c r="X610" s="15" t="n">
        <v>0.00628140703517599</v>
      </c>
      <c r="Y610" s="13" t="n">
        <v>0.0249064878817042</v>
      </c>
      <c r="Z610" s="13" t="n">
        <v>0.056113895768354</v>
      </c>
      <c r="AA610" s="30" t="s">
        <v>97</v>
      </c>
      <c r="AB610" s="28" t="s">
        <v>93</v>
      </c>
      <c r="AC610" s="28" t="s">
        <v>100</v>
      </c>
      <c r="AD610" s="28" t="s">
        <v>106</v>
      </c>
      <c r="AE610" s="28" t="s">
        <v>112</v>
      </c>
      <c r="AF610" s="28" t="s">
        <v>116</v>
      </c>
      <c r="AG610" s="30" t="s">
        <v>122</v>
      </c>
    </row>
    <row r="611" customFormat="false" ht="15" hidden="false" customHeight="false" outlineLevel="0" collapsed="false">
      <c r="A611" s="10" t="n">
        <v>2025</v>
      </c>
      <c r="B611" s="28" t="s">
        <v>72</v>
      </c>
      <c r="C611" s="29" t="n">
        <v>45946</v>
      </c>
      <c r="D611" s="30" t="s">
        <v>128</v>
      </c>
      <c r="E611" s="28" t="s">
        <v>661</v>
      </c>
      <c r="F611" s="30" t="s">
        <v>662</v>
      </c>
      <c r="G611" s="31" t="n">
        <v>71872</v>
      </c>
      <c r="H611" s="31" t="n">
        <v>1</v>
      </c>
      <c r="I611" s="31" t="n">
        <v>71872</v>
      </c>
      <c r="J611" s="29" t="n">
        <v>45957</v>
      </c>
      <c r="K611" s="31" t="n">
        <v>87000</v>
      </c>
      <c r="L611" s="30" t="s">
        <v>31</v>
      </c>
      <c r="M611" s="10" t="n">
        <v>7</v>
      </c>
      <c r="N611" s="12" t="n">
        <v>14974</v>
      </c>
      <c r="O611" s="13" t="n">
        <v>0.208341369354879</v>
      </c>
      <c r="P611" s="15" t="n">
        <v>0.210488675669734</v>
      </c>
      <c r="Q611" s="13" t="n">
        <v>-0.00378173358674738</v>
      </c>
      <c r="R611" s="15" t="n">
        <v>0.0558823529411765</v>
      </c>
      <c r="S611" s="32" t="n">
        <v>23145304400</v>
      </c>
      <c r="T611" s="15" t="n">
        <v>0.0126939351198872</v>
      </c>
      <c r="U611" s="32" t="n">
        <v>5117228590</v>
      </c>
      <c r="V611" s="14" t="n">
        <v>4.28682374656571</v>
      </c>
      <c r="W611" s="13" t="n">
        <v>0.0512445095168375</v>
      </c>
      <c r="X611" s="15" t="n">
        <v>0.00139275766016711</v>
      </c>
      <c r="Y611" s="13" t="n">
        <v>0.0249064878817042</v>
      </c>
      <c r="Z611" s="13" t="n">
        <v>0.056113895768354</v>
      </c>
      <c r="AA611" s="30" t="s">
        <v>97</v>
      </c>
      <c r="AB611" s="28" t="s">
        <v>93</v>
      </c>
      <c r="AC611" s="28" t="s">
        <v>101</v>
      </c>
      <c r="AD611" s="28" t="s">
        <v>106</v>
      </c>
      <c r="AE611" s="28" t="s">
        <v>112</v>
      </c>
      <c r="AF611" s="28" t="s">
        <v>118</v>
      </c>
      <c r="AG611" s="30" t="s">
        <v>122</v>
      </c>
    </row>
    <row r="612" customFormat="false" ht="15" hidden="false" customHeight="false" outlineLevel="0" collapsed="false">
      <c r="A612" s="10" t="n">
        <v>2025</v>
      </c>
      <c r="B612" s="28" t="s">
        <v>72</v>
      </c>
      <c r="C612" s="29" t="n">
        <v>45950</v>
      </c>
      <c r="D612" s="30" t="s">
        <v>125</v>
      </c>
      <c r="E612" s="28" t="s">
        <v>1389</v>
      </c>
      <c r="F612" s="30" t="s">
        <v>1390</v>
      </c>
      <c r="G612" s="31" t="n">
        <v>27978</v>
      </c>
      <c r="H612" s="31" t="n">
        <v>3</v>
      </c>
      <c r="I612" s="31" t="n">
        <v>83934</v>
      </c>
      <c r="J612" s="29" t="n">
        <v>45951</v>
      </c>
      <c r="K612" s="31" t="n">
        <v>26623</v>
      </c>
      <c r="L612" s="30" t="s">
        <v>32</v>
      </c>
      <c r="M612" s="10" t="n">
        <v>1</v>
      </c>
      <c r="N612" s="12" t="n">
        <v>-4208</v>
      </c>
      <c r="O612" s="13" t="n">
        <v>-0.0501368120251842</v>
      </c>
      <c r="P612" s="15" t="n">
        <v>0.0115108505090618</v>
      </c>
      <c r="Q612" s="13" t="n">
        <v>-0.0849937182674212</v>
      </c>
      <c r="R612" s="15" t="n">
        <v>0.194444444444444</v>
      </c>
      <c r="S612" s="32" t="n">
        <v>82333544800</v>
      </c>
      <c r="T612" s="15" t="n">
        <v>0.152577319587629</v>
      </c>
      <c r="U612" s="32" t="n">
        <v>13134415569.5</v>
      </c>
      <c r="V612" s="14" t="n">
        <v>4.84210266774388</v>
      </c>
      <c r="W612" s="13" t="n">
        <v>0.0708812260536398</v>
      </c>
      <c r="X612" s="15" t="n">
        <v>0.0268336314847943</v>
      </c>
      <c r="Y612" s="13" t="n">
        <v>0.0175518620178239</v>
      </c>
      <c r="Z612" s="13" t="n">
        <v>0.0642033170132932</v>
      </c>
      <c r="AA612" s="30" t="s">
        <v>97</v>
      </c>
      <c r="AB612" s="28" t="s">
        <v>93</v>
      </c>
      <c r="AC612" s="28" t="s">
        <v>103</v>
      </c>
      <c r="AD612" s="28" t="s">
        <v>108</v>
      </c>
      <c r="AE612" s="28" t="s">
        <v>114</v>
      </c>
      <c r="AF612" s="28" t="s">
        <v>118</v>
      </c>
      <c r="AG612" s="30" t="s">
        <v>122</v>
      </c>
    </row>
    <row r="613" customFormat="false" ht="15" hidden="false" customHeight="false" outlineLevel="0" collapsed="false">
      <c r="A613" s="10" t="n">
        <v>2025</v>
      </c>
      <c r="B613" s="28" t="s">
        <v>72</v>
      </c>
      <c r="C613" s="29" t="n">
        <v>45951</v>
      </c>
      <c r="D613" s="30" t="s">
        <v>126</v>
      </c>
      <c r="E613" s="28" t="s">
        <v>1445</v>
      </c>
      <c r="F613" s="30" t="s">
        <v>1446</v>
      </c>
      <c r="G613" s="31" t="n">
        <v>15876</v>
      </c>
      <c r="H613" s="31" t="n">
        <v>6</v>
      </c>
      <c r="I613" s="31" t="n">
        <v>95255</v>
      </c>
      <c r="J613" s="29" t="n">
        <v>45952</v>
      </c>
      <c r="K613" s="31" t="n">
        <v>15105</v>
      </c>
      <c r="L613" s="30" t="s">
        <v>32</v>
      </c>
      <c r="M613" s="10" t="n">
        <v>1</v>
      </c>
      <c r="N613" s="12" t="n">
        <v>-4790</v>
      </c>
      <c r="O613" s="13" t="n">
        <v>-0.0502829094612826</v>
      </c>
      <c r="P613" s="15" t="n">
        <v>-0.0180059536932172</v>
      </c>
      <c r="Q613" s="13" t="n">
        <v>-0.0803647802386768</v>
      </c>
      <c r="R613" s="15" t="n">
        <v>0.233281493001555</v>
      </c>
      <c r="S613" s="32" t="n">
        <v>172614657280</v>
      </c>
      <c r="T613" s="15" t="n">
        <v>0.156819839533188</v>
      </c>
      <c r="U613" s="32" t="n">
        <v>12762609257.5</v>
      </c>
      <c r="V613" s="14" t="n">
        <v>10.8614813457954</v>
      </c>
      <c r="W613" s="13" t="n">
        <v>0.224710424710425</v>
      </c>
      <c r="X613" s="15" t="n">
        <v>0.0529634300126103</v>
      </c>
      <c r="Y613" s="13" t="n">
        <v>0.00239862216851172</v>
      </c>
      <c r="Z613" s="13" t="n">
        <v>0.0735665293769179</v>
      </c>
      <c r="AA613" s="30" t="s">
        <v>97</v>
      </c>
      <c r="AB613" s="28" t="s">
        <v>93</v>
      </c>
      <c r="AC613" s="28" t="s">
        <v>104</v>
      </c>
      <c r="AD613" s="28" t="s">
        <v>109</v>
      </c>
      <c r="AE613" s="28" t="s">
        <v>114</v>
      </c>
      <c r="AF613" s="28" t="s">
        <v>120</v>
      </c>
      <c r="AG613" s="30" t="s">
        <v>122</v>
      </c>
    </row>
    <row r="614" customFormat="false" ht="15" hidden="false" customHeight="false" outlineLevel="0" collapsed="false">
      <c r="A614" s="10" t="n">
        <v>2025</v>
      </c>
      <c r="B614" s="28" t="s">
        <v>72</v>
      </c>
      <c r="C614" s="29" t="n">
        <v>45951</v>
      </c>
      <c r="D614" s="30" t="s">
        <v>126</v>
      </c>
      <c r="E614" s="28" t="s">
        <v>633</v>
      </c>
      <c r="F614" s="30" t="s">
        <v>634</v>
      </c>
      <c r="G614" s="31" t="n">
        <v>8629</v>
      </c>
      <c r="H614" s="31" t="n">
        <v>11</v>
      </c>
      <c r="I614" s="31" t="n">
        <v>94915</v>
      </c>
      <c r="J614" s="29" t="n">
        <v>45959</v>
      </c>
      <c r="K614" s="31" t="n">
        <v>8212</v>
      </c>
      <c r="L614" s="30" t="s">
        <v>32</v>
      </c>
      <c r="M614" s="10" t="n">
        <v>6</v>
      </c>
      <c r="N614" s="12" t="n">
        <v>-4749</v>
      </c>
      <c r="O614" s="13" t="n">
        <v>-0.0500292897357861</v>
      </c>
      <c r="P614" s="15" t="n">
        <v>0.0893978411379806</v>
      </c>
      <c r="Q614" s="13" t="n">
        <v>-0.0554688930558999</v>
      </c>
      <c r="R614" s="15" t="n">
        <v>0.10230179028133</v>
      </c>
      <c r="S614" s="32" t="n">
        <v>65241271660</v>
      </c>
      <c r="T614" s="15" t="n">
        <v>0.0298685782556751</v>
      </c>
      <c r="U614" s="32" t="n">
        <v>14284545258.5</v>
      </c>
      <c r="V614" s="14" t="n">
        <v>4.20225160409274</v>
      </c>
      <c r="W614" s="13" t="n">
        <v>0.0842767295597484</v>
      </c>
      <c r="X614" s="15" t="n">
        <v>0.0278422273781902</v>
      </c>
      <c r="Y614" s="13" t="n">
        <v>0.00239862216851172</v>
      </c>
      <c r="Z614" s="13" t="n">
        <v>0.0735665293769179</v>
      </c>
      <c r="AA614" s="30" t="s">
        <v>97</v>
      </c>
      <c r="AB614" s="28" t="s">
        <v>93</v>
      </c>
      <c r="AC614" s="28" t="s">
        <v>102</v>
      </c>
      <c r="AD614" s="28" t="s">
        <v>108</v>
      </c>
      <c r="AE614" s="28" t="s">
        <v>113</v>
      </c>
      <c r="AF614" s="28" t="s">
        <v>118</v>
      </c>
      <c r="AG614" s="30" t="s">
        <v>122</v>
      </c>
    </row>
    <row r="615" customFormat="false" ht="15" hidden="false" customHeight="false" outlineLevel="0" collapsed="false">
      <c r="A615" s="10" t="n">
        <v>2025</v>
      </c>
      <c r="B615" s="28" t="s">
        <v>72</v>
      </c>
      <c r="C615" s="29" t="n">
        <v>45951</v>
      </c>
      <c r="D615" s="30" t="s">
        <v>126</v>
      </c>
      <c r="E615" s="28" t="s">
        <v>733</v>
      </c>
      <c r="F615" s="28" t="s">
        <v>734</v>
      </c>
      <c r="G615" s="31" t="n">
        <v>94895</v>
      </c>
      <c r="H615" s="31" t="n">
        <v>1</v>
      </c>
      <c r="I615" s="31" t="n">
        <v>94895</v>
      </c>
      <c r="J615" s="29" t="n">
        <v>45966</v>
      </c>
      <c r="K615" s="31" t="n">
        <v>90310</v>
      </c>
      <c r="L615" s="30" t="s">
        <v>32</v>
      </c>
      <c r="M615" s="10" t="n">
        <v>11</v>
      </c>
      <c r="N615" s="12" t="n">
        <v>-4748</v>
      </c>
      <c r="O615" s="13" t="n">
        <v>-0.0500390438675247</v>
      </c>
      <c r="P615" s="15" t="n">
        <v>0.123349224615048</v>
      </c>
      <c r="Q615" s="13" t="n">
        <v>-0.10427125616999</v>
      </c>
      <c r="R615" s="15" t="n">
        <v>0.0736126840317102</v>
      </c>
      <c r="S615" s="32" t="n">
        <v>62990523600</v>
      </c>
      <c r="T615" s="15" t="n">
        <v>0.025974025974026</v>
      </c>
      <c r="U615" s="32" t="n">
        <v>30265126370</v>
      </c>
      <c r="V615" s="14" t="n">
        <v>1.89806570446076</v>
      </c>
      <c r="W615" s="13" t="n">
        <v>0.0651685393258428</v>
      </c>
      <c r="X615" s="15" t="n">
        <v>0.009493670886076</v>
      </c>
      <c r="Y615" s="13" t="n">
        <v>0.00239862216851172</v>
      </c>
      <c r="Z615" s="13" t="n">
        <v>0.0735665293769179</v>
      </c>
      <c r="AA615" s="30" t="s">
        <v>97</v>
      </c>
      <c r="AB615" s="28" t="s">
        <v>93</v>
      </c>
      <c r="AC615" s="28" t="s">
        <v>101</v>
      </c>
      <c r="AD615" s="28" t="s">
        <v>108</v>
      </c>
      <c r="AE615" s="28" t="s">
        <v>113</v>
      </c>
      <c r="AF615" s="28" t="s">
        <v>116</v>
      </c>
      <c r="AG615" s="30" t="s">
        <v>122</v>
      </c>
    </row>
    <row r="616" customFormat="false" ht="15" hidden="false" customHeight="false" outlineLevel="0" collapsed="false">
      <c r="A616" s="10" t="n">
        <v>2025</v>
      </c>
      <c r="B616" s="28" t="s">
        <v>72</v>
      </c>
      <c r="C616" s="29" t="n">
        <v>45951</v>
      </c>
      <c r="D616" s="30" t="s">
        <v>126</v>
      </c>
      <c r="E616" s="28" t="s">
        <v>1447</v>
      </c>
      <c r="F616" s="30" t="s">
        <v>1448</v>
      </c>
      <c r="G616" s="31" t="n">
        <v>51551</v>
      </c>
      <c r="H616" s="31" t="n">
        <v>1</v>
      </c>
      <c r="I616" s="31" t="n">
        <v>51551</v>
      </c>
      <c r="J616" s="29" t="n">
        <v>45966</v>
      </c>
      <c r="K616" s="31" t="n">
        <v>49051</v>
      </c>
      <c r="L616" s="30" t="s">
        <v>32</v>
      </c>
      <c r="M616" s="10" t="n">
        <v>11</v>
      </c>
      <c r="N616" s="12" t="n">
        <v>-2589</v>
      </c>
      <c r="O616" s="13" t="n">
        <v>-0.050226796698447</v>
      </c>
      <c r="P616" s="15" t="n">
        <v>0.0455563853622107</v>
      </c>
      <c r="Q616" s="13" t="n">
        <v>-0.0553136184204144</v>
      </c>
      <c r="R616" s="15" t="n">
        <v>0.0279441117764472</v>
      </c>
      <c r="S616" s="32" t="n">
        <v>25765604500</v>
      </c>
      <c r="T616" s="15" t="n">
        <v>0.0238568588469186</v>
      </c>
      <c r="U616" s="32" t="n">
        <v>8528355927.5</v>
      </c>
      <c r="V616" s="14" t="n">
        <v>2.87877650143003</v>
      </c>
      <c r="W616" s="13" t="n">
        <v>0.005859375</v>
      </c>
      <c r="X616" s="15" t="n">
        <v>0.0310679611650486</v>
      </c>
      <c r="Y616" s="13" t="n">
        <v>0.00239862216851172</v>
      </c>
      <c r="Z616" s="13" t="n">
        <v>0.0735665293769179</v>
      </c>
      <c r="AA616" s="30" t="s">
        <v>97</v>
      </c>
      <c r="AB616" s="28" t="s">
        <v>93</v>
      </c>
      <c r="AC616" s="28" t="s">
        <v>99</v>
      </c>
      <c r="AD616" s="28" t="s">
        <v>106</v>
      </c>
      <c r="AE616" s="28" t="s">
        <v>113</v>
      </c>
      <c r="AF616" s="28" t="s">
        <v>117</v>
      </c>
      <c r="AG616" s="30" t="s">
        <v>122</v>
      </c>
    </row>
    <row r="617" customFormat="false" ht="15" hidden="false" customHeight="false" outlineLevel="0" collapsed="false">
      <c r="A617" s="10" t="n">
        <v>2025</v>
      </c>
      <c r="B617" s="28" t="s">
        <v>72</v>
      </c>
      <c r="C617" s="29" t="n">
        <v>45952</v>
      </c>
      <c r="D617" s="30" t="s">
        <v>127</v>
      </c>
      <c r="E617" s="28" t="s">
        <v>1449</v>
      </c>
      <c r="F617" s="28" t="s">
        <v>1450</v>
      </c>
      <c r="G617" s="31" t="n">
        <v>48999</v>
      </c>
      <c r="H617" s="31" t="n">
        <v>2</v>
      </c>
      <c r="I617" s="31" t="n">
        <v>97998</v>
      </c>
      <c r="J617" s="29" t="n">
        <v>45973</v>
      </c>
      <c r="K617" s="31" t="n">
        <v>58800</v>
      </c>
      <c r="L617" s="30" t="s">
        <v>31</v>
      </c>
      <c r="M617" s="10" t="n">
        <v>15</v>
      </c>
      <c r="N617" s="12" t="n">
        <v>19393</v>
      </c>
      <c r="O617" s="13" t="n">
        <v>0.197895672407266</v>
      </c>
      <c r="P617" s="15" t="n">
        <v>0.24084291602167</v>
      </c>
      <c r="Q617" s="13" t="n">
        <v>-0.0418162021839243</v>
      </c>
      <c r="R617" s="15" t="n">
        <v>0.0583783783783785</v>
      </c>
      <c r="S617" s="32" t="n">
        <v>23322227500</v>
      </c>
      <c r="T617" s="15" t="n">
        <v>0.0414893617021277</v>
      </c>
      <c r="U617" s="32" t="n">
        <v>8894615997.5</v>
      </c>
      <c r="V617" s="14" t="n">
        <v>2.44680968524768</v>
      </c>
      <c r="W617" s="13" t="n">
        <v>0.0583783783783785</v>
      </c>
      <c r="X617" s="15" t="n">
        <v>0.00102145045965263</v>
      </c>
      <c r="Y617" s="13" t="n">
        <v>0.0156491903426921</v>
      </c>
      <c r="Z617" s="13" t="n">
        <v>0.0619039286026772</v>
      </c>
      <c r="AA617" s="30" t="s">
        <v>97</v>
      </c>
      <c r="AB617" s="28" t="s">
        <v>93</v>
      </c>
      <c r="AC617" s="28" t="s">
        <v>101</v>
      </c>
      <c r="AD617" s="28" t="s">
        <v>106</v>
      </c>
      <c r="AE617" s="28" t="s">
        <v>113</v>
      </c>
      <c r="AF617" s="28" t="s">
        <v>117</v>
      </c>
      <c r="AG617" s="30" t="s">
        <v>122</v>
      </c>
    </row>
    <row r="618" customFormat="false" ht="15" hidden="false" customHeight="false" outlineLevel="0" collapsed="false">
      <c r="A618" s="10" t="n">
        <v>2025</v>
      </c>
      <c r="B618" s="28" t="s">
        <v>72</v>
      </c>
      <c r="C618" s="29" t="n">
        <v>45952</v>
      </c>
      <c r="D618" s="30" t="s">
        <v>127</v>
      </c>
      <c r="E618" s="28" t="s">
        <v>1451</v>
      </c>
      <c r="F618" s="30" t="s">
        <v>1452</v>
      </c>
      <c r="G618" s="31" t="n">
        <v>6677</v>
      </c>
      <c r="H618" s="31" t="n">
        <v>14</v>
      </c>
      <c r="I618" s="31" t="n">
        <v>93473</v>
      </c>
      <c r="J618" s="29" t="n">
        <v>45954</v>
      </c>
      <c r="K618" s="31" t="n">
        <v>6354</v>
      </c>
      <c r="L618" s="30" t="s">
        <v>32</v>
      </c>
      <c r="M618" s="10" t="n">
        <v>2</v>
      </c>
      <c r="N618" s="12" t="n">
        <v>-4683</v>
      </c>
      <c r="O618" s="13" t="n">
        <v>-0.0501020728147413</v>
      </c>
      <c r="P618" s="15" t="n">
        <v>0.0574133512664248</v>
      </c>
      <c r="Q618" s="13" t="n">
        <v>-0.053420342775665</v>
      </c>
      <c r="R618" s="15" t="n">
        <v>0.0553797468354431</v>
      </c>
      <c r="S618" s="32" t="n">
        <v>20974235210</v>
      </c>
      <c r="T618" s="15" t="n">
        <v>0.0121396054628224</v>
      </c>
      <c r="U618" s="32" t="n">
        <v>5249561322.5</v>
      </c>
      <c r="V618" s="14" t="n">
        <v>3.6509863938608</v>
      </c>
      <c r="W618" s="13" t="n">
        <v>0.0341085271317829</v>
      </c>
      <c r="X618" s="15" t="n">
        <v>0.0329835082458772</v>
      </c>
      <c r="Y618" s="13" t="n">
        <v>0.0156491903426921</v>
      </c>
      <c r="Z618" s="13" t="n">
        <v>0.0619039286026772</v>
      </c>
      <c r="AA618" s="30" t="s">
        <v>97</v>
      </c>
      <c r="AB618" s="28" t="s">
        <v>93</v>
      </c>
      <c r="AC618" s="28" t="s">
        <v>101</v>
      </c>
      <c r="AD618" s="28" t="s">
        <v>106</v>
      </c>
      <c r="AE618" s="28" t="s">
        <v>112</v>
      </c>
      <c r="AF618" s="28" t="s">
        <v>118</v>
      </c>
      <c r="AG618" s="30" t="s">
        <v>122</v>
      </c>
    </row>
    <row r="619" customFormat="false" ht="15" hidden="false" customHeight="false" outlineLevel="0" collapsed="false">
      <c r="A619" s="10" t="n">
        <v>2025</v>
      </c>
      <c r="B619" s="28" t="s">
        <v>72</v>
      </c>
      <c r="C619" s="29" t="n">
        <v>45953</v>
      </c>
      <c r="D619" s="30" t="s">
        <v>128</v>
      </c>
      <c r="E619" s="28" t="s">
        <v>1311</v>
      </c>
      <c r="F619" s="30" t="s">
        <v>1312</v>
      </c>
      <c r="G619" s="31" t="n">
        <v>28879</v>
      </c>
      <c r="H619" s="31" t="n">
        <v>3</v>
      </c>
      <c r="I619" s="31" t="n">
        <v>86637</v>
      </c>
      <c r="J619" s="29" t="n">
        <v>45958</v>
      </c>
      <c r="K619" s="31" t="n">
        <v>27472</v>
      </c>
      <c r="L619" s="30" t="s">
        <v>32</v>
      </c>
      <c r="M619" s="10" t="n">
        <v>3</v>
      </c>
      <c r="N619" s="12" t="n">
        <v>-4368</v>
      </c>
      <c r="O619" s="13" t="n">
        <v>-0.0504179166587311</v>
      </c>
      <c r="P619" s="15" t="n">
        <v>0.00246374076530054</v>
      </c>
      <c r="Q619" s="13" t="n">
        <v>-0.0529401274635243</v>
      </c>
      <c r="R619" s="15" t="n">
        <v>0.088679245283019</v>
      </c>
      <c r="S619" s="32" t="n">
        <v>47850436900</v>
      </c>
      <c r="T619" s="15" t="n">
        <v>0.00698080279232105</v>
      </c>
      <c r="U619" s="32" t="n">
        <v>10637124707.5</v>
      </c>
      <c r="V619" s="14" t="n">
        <v>4.16349861665965</v>
      </c>
      <c r="W619" s="13" t="n">
        <v>0.101145038167939</v>
      </c>
      <c r="X619" s="15" t="n">
        <v>0.0467937608318891</v>
      </c>
      <c r="Y619" s="13" t="n">
        <v>-0.00981543278539943</v>
      </c>
      <c r="Z619" s="13" t="n">
        <v>0.0259286036330459</v>
      </c>
      <c r="AA619" s="30" t="s">
        <v>97</v>
      </c>
      <c r="AB619" s="28" t="s">
        <v>93</v>
      </c>
      <c r="AC619" s="28" t="s">
        <v>101</v>
      </c>
      <c r="AD619" s="28" t="s">
        <v>107</v>
      </c>
      <c r="AE619" s="28" t="s">
        <v>112</v>
      </c>
      <c r="AF619" s="28" t="s">
        <v>118</v>
      </c>
      <c r="AG619" s="30" t="s">
        <v>122</v>
      </c>
    </row>
    <row r="620" customFormat="false" ht="15" hidden="false" customHeight="false" outlineLevel="0" collapsed="false">
      <c r="A620" s="10" t="n">
        <v>2025</v>
      </c>
      <c r="B620" s="28" t="s">
        <v>72</v>
      </c>
      <c r="C620" s="29" t="n">
        <v>45953</v>
      </c>
      <c r="D620" s="30" t="s">
        <v>128</v>
      </c>
      <c r="E620" s="28" t="s">
        <v>843</v>
      </c>
      <c r="F620" s="28" t="s">
        <v>844</v>
      </c>
      <c r="G620" s="31" t="n">
        <v>53553</v>
      </c>
      <c r="H620" s="31" t="n">
        <v>1</v>
      </c>
      <c r="I620" s="31" t="n">
        <v>53553</v>
      </c>
      <c r="J620" s="29" t="n">
        <v>45964</v>
      </c>
      <c r="K620" s="31" t="n">
        <v>64300</v>
      </c>
      <c r="L620" s="30" t="s">
        <v>31</v>
      </c>
      <c r="M620" s="10" t="n">
        <v>7</v>
      </c>
      <c r="N620" s="12" t="n">
        <v>10632</v>
      </c>
      <c r="O620" s="13" t="n">
        <v>0.198537387378976</v>
      </c>
      <c r="P620" s="15" t="n">
        <v>0.376193899558386</v>
      </c>
      <c r="Q620" s="13" t="n">
        <v>-0.0439467074981093</v>
      </c>
      <c r="R620" s="15" t="n">
        <v>0.0678642714570859</v>
      </c>
      <c r="S620" s="32" t="n">
        <v>20452461500</v>
      </c>
      <c r="T620" s="15" t="n">
        <v>0.0288461538461537</v>
      </c>
      <c r="U620" s="32" t="n">
        <v>4630219967.5</v>
      </c>
      <c r="V620" s="14" t="n">
        <v>4.04469286746611</v>
      </c>
      <c r="W620" s="13" t="n">
        <v>0.0710710710710711</v>
      </c>
      <c r="X620" s="15" t="n">
        <v>0.00560747663551409</v>
      </c>
      <c r="Y620" s="13" t="n">
        <v>-0.00981543278539943</v>
      </c>
      <c r="Z620" s="13" t="n">
        <v>0.0259286036330459</v>
      </c>
      <c r="AA620" s="30" t="s">
        <v>97</v>
      </c>
      <c r="AB620" s="28" t="s">
        <v>93</v>
      </c>
      <c r="AC620" s="28" t="s">
        <v>101</v>
      </c>
      <c r="AD620" s="28" t="s">
        <v>106</v>
      </c>
      <c r="AE620" s="28" t="s">
        <v>113</v>
      </c>
      <c r="AF620" s="28" t="s">
        <v>118</v>
      </c>
      <c r="AG620" s="30" t="s">
        <v>122</v>
      </c>
    </row>
    <row r="621" customFormat="false" ht="15" hidden="false" customHeight="false" outlineLevel="0" collapsed="false">
      <c r="A621" s="10" t="n">
        <v>2025</v>
      </c>
      <c r="B621" s="28" t="s">
        <v>72</v>
      </c>
      <c r="C621" s="29" t="n">
        <v>45954</v>
      </c>
      <c r="D621" s="30" t="s">
        <v>129</v>
      </c>
      <c r="E621" s="28" t="s">
        <v>653</v>
      </c>
      <c r="F621" s="30" t="s">
        <v>654</v>
      </c>
      <c r="G621" s="31" t="n">
        <v>30308</v>
      </c>
      <c r="H621" s="31" t="n">
        <v>3</v>
      </c>
      <c r="I621" s="31" t="n">
        <v>90925</v>
      </c>
      <c r="J621" s="29" t="n">
        <v>45959</v>
      </c>
      <c r="K621" s="31" t="n">
        <v>28821</v>
      </c>
      <c r="L621" s="30" t="s">
        <v>32</v>
      </c>
      <c r="M621" s="10" t="n">
        <v>3</v>
      </c>
      <c r="N621" s="12" t="n">
        <v>-4618</v>
      </c>
      <c r="O621" s="13" t="n">
        <v>-0.0507891565280714</v>
      </c>
      <c r="P621" s="15" t="n">
        <v>0.0347907544169228</v>
      </c>
      <c r="Q621" s="13" t="n">
        <v>-0.0492373669943762</v>
      </c>
      <c r="R621" s="15" t="n">
        <v>0.0594059405940595</v>
      </c>
      <c r="S621" s="32" t="n">
        <v>135588024600</v>
      </c>
      <c r="T621" s="15" t="n">
        <v>0.0594059405940595</v>
      </c>
      <c r="U621" s="32" t="n">
        <v>22171468835</v>
      </c>
      <c r="V621" s="14" t="n">
        <v>5.58390026535228</v>
      </c>
      <c r="W621" s="13" t="n">
        <v>0.0422077922077921</v>
      </c>
      <c r="X621" s="15" t="n">
        <v>0.0109034267912771</v>
      </c>
      <c r="Y621" s="13" t="n">
        <v>0.0249716556236284</v>
      </c>
      <c r="Z621" s="13" t="n">
        <v>0.0514018816236272</v>
      </c>
      <c r="AA621" s="30" t="s">
        <v>97</v>
      </c>
      <c r="AB621" s="28" t="s">
        <v>93</v>
      </c>
      <c r="AC621" s="28" t="s">
        <v>101</v>
      </c>
      <c r="AD621" s="28" t="s">
        <v>109</v>
      </c>
      <c r="AE621" s="28" t="s">
        <v>101</v>
      </c>
      <c r="AF621" s="28" t="s">
        <v>119</v>
      </c>
      <c r="AG621" s="30" t="s">
        <v>122</v>
      </c>
    </row>
    <row r="622" customFormat="false" ht="15" hidden="false" customHeight="false" outlineLevel="0" collapsed="false">
      <c r="A622" s="10" t="n">
        <v>2025</v>
      </c>
      <c r="B622" s="28" t="s">
        <v>72</v>
      </c>
      <c r="C622" s="29" t="n">
        <v>45954</v>
      </c>
      <c r="D622" s="30" t="s">
        <v>129</v>
      </c>
      <c r="E622" s="28" t="s">
        <v>1453</v>
      </c>
      <c r="F622" s="30" t="s">
        <v>1454</v>
      </c>
      <c r="G622" s="31" t="n">
        <v>31882</v>
      </c>
      <c r="H622" s="31" t="n">
        <v>3</v>
      </c>
      <c r="I622" s="31" t="n">
        <v>95646</v>
      </c>
      <c r="J622" s="29" t="n">
        <v>45958</v>
      </c>
      <c r="K622" s="31" t="n">
        <v>30320</v>
      </c>
      <c r="L622" s="30" t="s">
        <v>32</v>
      </c>
      <c r="M622" s="10" t="n">
        <v>2</v>
      </c>
      <c r="N622" s="12" t="n">
        <v>-4851</v>
      </c>
      <c r="O622" s="13" t="n">
        <v>-0.0507188165053156</v>
      </c>
      <c r="P622" s="15" t="n">
        <v>0.227971400655859</v>
      </c>
      <c r="Q622" s="13" t="n">
        <v>-0.0496160040901013</v>
      </c>
      <c r="R622" s="15" t="n">
        <v>0.0357723577235773</v>
      </c>
      <c r="S622" s="32" t="n">
        <v>20957459250</v>
      </c>
      <c r="T622" s="15" t="n">
        <v>0.0274193548387096</v>
      </c>
      <c r="U622" s="32" t="n">
        <v>19774779787.5</v>
      </c>
      <c r="V622" s="14" t="n">
        <v>0.967582483390389</v>
      </c>
      <c r="W622" s="13" t="n">
        <v>0.0324149108589951</v>
      </c>
      <c r="X622" s="15" t="n">
        <v>0.0094191522762952</v>
      </c>
      <c r="Y622" s="13" t="n">
        <v>0.0249716556236284</v>
      </c>
      <c r="Z622" s="13" t="n">
        <v>0.0514018816236272</v>
      </c>
      <c r="AA622" s="30" t="s">
        <v>97</v>
      </c>
      <c r="AB622" s="28" t="s">
        <v>93</v>
      </c>
      <c r="AC622" s="28" t="s">
        <v>100</v>
      </c>
      <c r="AD622" s="28" t="s">
        <v>106</v>
      </c>
      <c r="AE622" s="28" t="s">
        <v>113</v>
      </c>
      <c r="AF622" s="28" t="s">
        <v>116</v>
      </c>
      <c r="AG622" s="30" t="s">
        <v>122</v>
      </c>
    </row>
    <row r="623" customFormat="false" ht="15" hidden="false" customHeight="false" outlineLevel="0" collapsed="false">
      <c r="A623" s="10" t="n">
        <v>2025</v>
      </c>
      <c r="B623" s="28" t="s">
        <v>72</v>
      </c>
      <c r="C623" s="29" t="n">
        <v>45957</v>
      </c>
      <c r="D623" s="30" t="s">
        <v>125</v>
      </c>
      <c r="E623" s="28" t="s">
        <v>1455</v>
      </c>
      <c r="F623" s="30" t="s">
        <v>1456</v>
      </c>
      <c r="G623" s="31" t="n">
        <v>55656</v>
      </c>
      <c r="H623" s="31" t="n">
        <v>1</v>
      </c>
      <c r="I623" s="31" t="n">
        <v>55656</v>
      </c>
      <c r="J623" s="29" t="n">
        <v>45958</v>
      </c>
      <c r="K623" s="31" t="n">
        <v>52947</v>
      </c>
      <c r="L623" s="30" t="s">
        <v>32</v>
      </c>
      <c r="M623" s="10" t="n">
        <v>1</v>
      </c>
      <c r="N623" s="12" t="n">
        <v>-2804</v>
      </c>
      <c r="O623" s="13" t="n">
        <v>-0.0503868593636578</v>
      </c>
      <c r="P623" s="15" t="n">
        <v>-0.00279576538569326</v>
      </c>
      <c r="Q623" s="13" t="n">
        <v>-0.0818533984001608</v>
      </c>
      <c r="R623" s="15" t="n">
        <v>0.107569721115538</v>
      </c>
      <c r="S623" s="32" t="n">
        <v>78721816000</v>
      </c>
      <c r="T623" s="15" t="n">
        <v>0.0901960784313725</v>
      </c>
      <c r="U623" s="32" t="n">
        <v>6645462235</v>
      </c>
      <c r="V623" s="14" t="n">
        <v>10.5019633789403</v>
      </c>
      <c r="W623" s="13" t="n">
        <v>0.107569721115538</v>
      </c>
      <c r="X623" s="15" t="n">
        <v>0.0503597122302157</v>
      </c>
      <c r="Y623" s="13" t="n">
        <v>0.025685066178877</v>
      </c>
      <c r="Z623" s="13" t="n">
        <v>0.0598056460682257</v>
      </c>
      <c r="AA623" s="30" t="s">
        <v>97</v>
      </c>
      <c r="AB623" s="28" t="s">
        <v>93</v>
      </c>
      <c r="AC623" s="28" t="s">
        <v>102</v>
      </c>
      <c r="AD623" s="28" t="s">
        <v>108</v>
      </c>
      <c r="AE623" s="28" t="s">
        <v>101</v>
      </c>
      <c r="AF623" s="28" t="s">
        <v>120</v>
      </c>
      <c r="AG623" s="30" t="s">
        <v>122</v>
      </c>
    </row>
    <row r="624" customFormat="false" ht="15" hidden="false" customHeight="false" outlineLevel="0" collapsed="false">
      <c r="A624" s="10" t="n">
        <v>2025</v>
      </c>
      <c r="B624" s="28" t="s">
        <v>72</v>
      </c>
      <c r="C624" s="29" t="n">
        <v>45957</v>
      </c>
      <c r="D624" s="30" t="s">
        <v>125</v>
      </c>
      <c r="E624" s="28" t="s">
        <v>485</v>
      </c>
      <c r="F624" s="28" t="s">
        <v>486</v>
      </c>
      <c r="G624" s="31" t="n">
        <v>79279</v>
      </c>
      <c r="H624" s="31" t="n">
        <v>1</v>
      </c>
      <c r="I624" s="31" t="n">
        <v>79279</v>
      </c>
      <c r="J624" s="29" t="n">
        <v>45967</v>
      </c>
      <c r="K624" s="31" t="n">
        <v>75424</v>
      </c>
      <c r="L624" s="30" t="s">
        <v>32</v>
      </c>
      <c r="M624" s="10" t="n">
        <v>8</v>
      </c>
      <c r="N624" s="12" t="n">
        <v>-3991</v>
      </c>
      <c r="O624" s="13" t="n">
        <v>-0.0503416066887657</v>
      </c>
      <c r="P624" s="15" t="n">
        <v>0.116307934489753</v>
      </c>
      <c r="Q624" s="13" t="n">
        <v>-0.0640672458854277</v>
      </c>
      <c r="R624" s="15" t="n">
        <v>0.0407358738501971</v>
      </c>
      <c r="S624" s="32" t="n">
        <v>58295397600</v>
      </c>
      <c r="T624" s="15" t="n">
        <v>0.0285714285714285</v>
      </c>
      <c r="U624" s="32" t="n">
        <v>26841228755</v>
      </c>
      <c r="V624" s="14" t="n">
        <v>2.05738517347036</v>
      </c>
      <c r="W624" s="13" t="n">
        <v>0.0352941176470589</v>
      </c>
      <c r="X624" s="15" t="n">
        <v>0.0037878787878789</v>
      </c>
      <c r="Y624" s="13" t="n">
        <v>0.025685066178877</v>
      </c>
      <c r="Z624" s="13" t="n">
        <v>0.0598056460682257</v>
      </c>
      <c r="AA624" s="30" t="s">
        <v>97</v>
      </c>
      <c r="AB624" s="28" t="s">
        <v>93</v>
      </c>
      <c r="AC624" s="28" t="s">
        <v>100</v>
      </c>
      <c r="AD624" s="28" t="s">
        <v>108</v>
      </c>
      <c r="AE624" s="28" t="s">
        <v>113</v>
      </c>
      <c r="AF624" s="28" t="s">
        <v>117</v>
      </c>
      <c r="AG624" s="30" t="s">
        <v>122</v>
      </c>
    </row>
    <row r="625" customFormat="false" ht="15" hidden="false" customHeight="false" outlineLevel="0" collapsed="false">
      <c r="A625" s="10" t="n">
        <v>2025</v>
      </c>
      <c r="B625" s="28" t="s">
        <v>72</v>
      </c>
      <c r="C625" s="29" t="n">
        <v>45957</v>
      </c>
      <c r="D625" s="30" t="s">
        <v>125</v>
      </c>
      <c r="E625" s="28" t="s">
        <v>333</v>
      </c>
      <c r="F625" s="30" t="s">
        <v>334</v>
      </c>
      <c r="G625" s="31" t="n">
        <v>14895</v>
      </c>
      <c r="H625" s="31" t="n">
        <v>6</v>
      </c>
      <c r="I625" s="31" t="n">
        <v>89369</v>
      </c>
      <c r="J625" s="29" t="n">
        <v>45959</v>
      </c>
      <c r="K625" s="31" t="n">
        <v>14176</v>
      </c>
      <c r="L625" s="30" t="s">
        <v>32</v>
      </c>
      <c r="M625" s="10" t="n">
        <v>2</v>
      </c>
      <c r="N625" s="12" t="n">
        <v>-4468</v>
      </c>
      <c r="O625" s="13" t="n">
        <v>-0.0499966645249912</v>
      </c>
      <c r="P625" s="15" t="n">
        <v>0.0674809061905837</v>
      </c>
      <c r="Q625" s="13" t="n">
        <v>-0.0701502798276992</v>
      </c>
      <c r="R625" s="15" t="n">
        <v>0.0861313868613138</v>
      </c>
      <c r="S625" s="32" t="n">
        <v>36672667680</v>
      </c>
      <c r="T625" s="15" t="n">
        <v>0.0782608695652174</v>
      </c>
      <c r="U625" s="32" t="n">
        <v>5240500417</v>
      </c>
      <c r="V625" s="14" t="n">
        <v>6.27165585811471</v>
      </c>
      <c r="W625" s="13" t="n">
        <v>0.0837581937363439</v>
      </c>
      <c r="X625" s="15" t="n">
        <v>0.0369623655913978</v>
      </c>
      <c r="Y625" s="13" t="n">
        <v>0.025685066178877</v>
      </c>
      <c r="Z625" s="13" t="n">
        <v>0.0598056460682257</v>
      </c>
      <c r="AA625" s="30" t="s">
        <v>97</v>
      </c>
      <c r="AB625" s="28" t="s">
        <v>93</v>
      </c>
      <c r="AC625" s="28" t="s">
        <v>101</v>
      </c>
      <c r="AD625" s="28" t="s">
        <v>107</v>
      </c>
      <c r="AE625" s="28" t="s">
        <v>101</v>
      </c>
      <c r="AF625" s="28" t="s">
        <v>119</v>
      </c>
      <c r="AG625" s="30" t="s">
        <v>122</v>
      </c>
    </row>
    <row r="626" customFormat="false" ht="15" hidden="false" customHeight="false" outlineLevel="0" collapsed="false">
      <c r="A626" s="10" t="n">
        <v>2025</v>
      </c>
      <c r="B626" s="28" t="s">
        <v>72</v>
      </c>
      <c r="C626" s="29" t="n">
        <v>45957</v>
      </c>
      <c r="D626" s="30" t="s">
        <v>125</v>
      </c>
      <c r="E626" s="28" t="s">
        <v>729</v>
      </c>
      <c r="F626" s="28" t="s">
        <v>730</v>
      </c>
      <c r="G626" s="31" t="n">
        <v>7708</v>
      </c>
      <c r="H626" s="31" t="n">
        <v>12</v>
      </c>
      <c r="I626" s="31" t="n">
        <v>92492</v>
      </c>
      <c r="J626" s="29" t="n">
        <v>45960</v>
      </c>
      <c r="K626" s="31" t="n">
        <v>7333</v>
      </c>
      <c r="L626" s="30" t="s">
        <v>32</v>
      </c>
      <c r="M626" s="10" t="n">
        <v>3</v>
      </c>
      <c r="N626" s="12" t="n">
        <v>-4660</v>
      </c>
      <c r="O626" s="13" t="n">
        <v>-0.0503775502419658</v>
      </c>
      <c r="P626" s="15" t="n">
        <v>0.0418153275296134</v>
      </c>
      <c r="Q626" s="13" t="n">
        <v>-0.0905198697406489</v>
      </c>
      <c r="R626" s="15" t="n">
        <v>0.122448979591837</v>
      </c>
      <c r="S626" s="32" t="n">
        <v>28997237500</v>
      </c>
      <c r="T626" s="15" t="n">
        <v>0.00917431192660545</v>
      </c>
      <c r="U626" s="32" t="n">
        <v>4490504943.5</v>
      </c>
      <c r="V626" s="14" t="n">
        <v>6.17102483133379</v>
      </c>
      <c r="W626" s="13" t="n">
        <v>0.115942028985507</v>
      </c>
      <c r="X626" s="15" t="n">
        <v>0.0285714285714285</v>
      </c>
      <c r="Y626" s="13" t="n">
        <v>0.025685066178877</v>
      </c>
      <c r="Z626" s="13" t="n">
        <v>0.0598056460682257</v>
      </c>
      <c r="AA626" s="30" t="s">
        <v>97</v>
      </c>
      <c r="AB626" s="28" t="s">
        <v>93</v>
      </c>
      <c r="AC626" s="28" t="s">
        <v>102</v>
      </c>
      <c r="AD626" s="28" t="s">
        <v>106</v>
      </c>
      <c r="AE626" s="28" t="s">
        <v>112</v>
      </c>
      <c r="AF626" s="28" t="s">
        <v>119</v>
      </c>
      <c r="AG626" s="30" t="s">
        <v>122</v>
      </c>
    </row>
    <row r="627" customFormat="false" ht="15" hidden="false" customHeight="false" outlineLevel="0" collapsed="false">
      <c r="A627" s="10" t="n">
        <v>2025</v>
      </c>
      <c r="B627" s="28" t="s">
        <v>72</v>
      </c>
      <c r="C627" s="29" t="n">
        <v>45957</v>
      </c>
      <c r="D627" s="30" t="s">
        <v>125</v>
      </c>
      <c r="E627" s="28" t="s">
        <v>1457</v>
      </c>
      <c r="F627" s="30" t="s">
        <v>1458</v>
      </c>
      <c r="G627" s="31" t="n">
        <v>39890</v>
      </c>
      <c r="H627" s="31" t="n">
        <v>2</v>
      </c>
      <c r="I627" s="31" t="n">
        <v>79780</v>
      </c>
      <c r="J627" s="29" t="n">
        <v>45964</v>
      </c>
      <c r="K627" s="31" t="n">
        <v>48000</v>
      </c>
      <c r="L627" s="30" t="s">
        <v>31</v>
      </c>
      <c r="M627" s="10" t="n">
        <v>5</v>
      </c>
      <c r="N627" s="12" t="n">
        <v>16050</v>
      </c>
      <c r="O627" s="13" t="n">
        <v>0.201178157413477</v>
      </c>
      <c r="P627" s="15" t="n">
        <v>0.288548339991251</v>
      </c>
      <c r="Q627" s="13" t="n">
        <v>0.0203096777751735</v>
      </c>
      <c r="R627" s="15" t="n">
        <v>0.172058823529412</v>
      </c>
      <c r="S627" s="32" t="n">
        <v>23277620350</v>
      </c>
      <c r="T627" s="15" t="n">
        <v>0.120956399437412</v>
      </c>
      <c r="U627" s="32" t="n">
        <v>6459351100</v>
      </c>
      <c r="V627" s="14" t="n">
        <v>3.06567523411205</v>
      </c>
      <c r="W627" s="13" t="n">
        <v>0.165204678362573</v>
      </c>
      <c r="X627" s="15" t="n">
        <v>0.00376411543287336</v>
      </c>
      <c r="Y627" s="13" t="n">
        <v>0.025685066178877</v>
      </c>
      <c r="Z627" s="13" t="n">
        <v>0.0598056460682257</v>
      </c>
      <c r="AA627" s="30" t="s">
        <v>97</v>
      </c>
      <c r="AB627" s="28" t="s">
        <v>93</v>
      </c>
      <c r="AC627" s="28" t="s">
        <v>103</v>
      </c>
      <c r="AD627" s="28" t="s">
        <v>106</v>
      </c>
      <c r="AE627" s="28" t="s">
        <v>114</v>
      </c>
      <c r="AF627" s="28" t="s">
        <v>118</v>
      </c>
      <c r="AG627" s="30" t="s">
        <v>122</v>
      </c>
    </row>
    <row r="628" customFormat="false" ht="15" hidden="false" customHeight="false" outlineLevel="0" collapsed="false">
      <c r="A628" s="10" t="n">
        <v>2025</v>
      </c>
      <c r="B628" s="28" t="s">
        <v>72</v>
      </c>
      <c r="C628" s="29" t="n">
        <v>45958</v>
      </c>
      <c r="D628" s="30" t="s">
        <v>126</v>
      </c>
      <c r="E628" s="28" t="s">
        <v>697</v>
      </c>
      <c r="F628" s="30" t="s">
        <v>698</v>
      </c>
      <c r="G628" s="31" t="n">
        <v>12112</v>
      </c>
      <c r="H628" s="31" t="n">
        <v>8</v>
      </c>
      <c r="I628" s="31" t="n">
        <v>96897</v>
      </c>
      <c r="J628" s="29" t="n">
        <v>45959</v>
      </c>
      <c r="K628" s="31" t="n">
        <v>11528</v>
      </c>
      <c r="L628" s="30" t="s">
        <v>32</v>
      </c>
      <c r="M628" s="10" t="n">
        <v>1</v>
      </c>
      <c r="N628" s="12" t="n">
        <v>-4836</v>
      </c>
      <c r="O628" s="13" t="n">
        <v>-0.0499070164546199</v>
      </c>
      <c r="P628" s="15" t="n">
        <v>0.0155134122076273</v>
      </c>
      <c r="Q628" s="13" t="n">
        <v>-0.0744792397684959</v>
      </c>
      <c r="R628" s="15" t="n">
        <v>0.0604732690622261</v>
      </c>
      <c r="S628" s="32" t="n">
        <v>23417287300</v>
      </c>
      <c r="T628" s="15" t="n">
        <v>0.0333048676345005</v>
      </c>
      <c r="U628" s="32" t="n">
        <v>11336191360.5</v>
      </c>
      <c r="V628" s="14" t="n">
        <v>1.90741176222453</v>
      </c>
      <c r="W628" s="13" t="n">
        <v>0.0586176727909011</v>
      </c>
      <c r="X628" s="15" t="n">
        <v>0.0165289256198347</v>
      </c>
      <c r="Y628" s="13" t="n">
        <v>-0.0080191351108011</v>
      </c>
      <c r="Z628" s="13" t="n">
        <v>0.0487912674170468</v>
      </c>
      <c r="AA628" s="30" t="s">
        <v>97</v>
      </c>
      <c r="AB628" s="28" t="s">
        <v>93</v>
      </c>
      <c r="AC628" s="28" t="s">
        <v>101</v>
      </c>
      <c r="AD628" s="28" t="s">
        <v>106</v>
      </c>
      <c r="AE628" s="28" t="s">
        <v>113</v>
      </c>
      <c r="AF628" s="28" t="s">
        <v>116</v>
      </c>
      <c r="AG628" s="30" t="s">
        <v>122</v>
      </c>
    </row>
    <row r="629" customFormat="false" ht="15" hidden="false" customHeight="false" outlineLevel="0" collapsed="false">
      <c r="A629" s="10" t="n">
        <v>2025</v>
      </c>
      <c r="B629" s="28" t="s">
        <v>72</v>
      </c>
      <c r="C629" s="29" t="n">
        <v>45959</v>
      </c>
      <c r="D629" s="30" t="s">
        <v>127</v>
      </c>
      <c r="E629" s="28" t="s">
        <v>1235</v>
      </c>
      <c r="F629" s="30" t="s">
        <v>1236</v>
      </c>
      <c r="G629" s="31" t="n">
        <v>16416</v>
      </c>
      <c r="H629" s="31" t="n">
        <v>6</v>
      </c>
      <c r="I629" s="31" t="n">
        <v>98498</v>
      </c>
      <c r="J629" s="29" t="n">
        <v>45961</v>
      </c>
      <c r="K629" s="31" t="n">
        <v>15624</v>
      </c>
      <c r="L629" s="30" t="s">
        <v>32</v>
      </c>
      <c r="M629" s="10" t="n">
        <v>2</v>
      </c>
      <c r="N629" s="12" t="n">
        <v>-4922</v>
      </c>
      <c r="O629" s="13" t="n">
        <v>-0.0499672677322677</v>
      </c>
      <c r="P629" s="15" t="n">
        <v>0.0599156940620356</v>
      </c>
      <c r="Q629" s="13" t="n">
        <v>-0.0625228430106478</v>
      </c>
      <c r="R629" s="15" t="n">
        <v>0.0889774236387781</v>
      </c>
      <c r="S629" s="32" t="n">
        <v>26835008400</v>
      </c>
      <c r="T629" s="15" t="n">
        <v>0.0154798761609907</v>
      </c>
      <c r="U629" s="32" t="n">
        <v>10553501749.5</v>
      </c>
      <c r="V629" s="14" t="n">
        <v>2.36497785996287</v>
      </c>
      <c r="W629" s="13" t="n">
        <v>0.0768220617202888</v>
      </c>
      <c r="X629" s="15" t="n">
        <v>0.0365853658536586</v>
      </c>
      <c r="Y629" s="13" t="n">
        <v>0.0176390942571958</v>
      </c>
      <c r="Z629" s="13" t="n">
        <v>0.0508461047254152</v>
      </c>
      <c r="AA629" s="30" t="s">
        <v>97</v>
      </c>
      <c r="AB629" s="28" t="s">
        <v>93</v>
      </c>
      <c r="AC629" s="28" t="s">
        <v>101</v>
      </c>
      <c r="AD629" s="28" t="s">
        <v>106</v>
      </c>
      <c r="AE629" s="28" t="s">
        <v>112</v>
      </c>
      <c r="AF629" s="28" t="s">
        <v>117</v>
      </c>
      <c r="AG629" s="30" t="s">
        <v>122</v>
      </c>
    </row>
    <row r="630" customFormat="false" ht="15" hidden="false" customHeight="false" outlineLevel="0" collapsed="false">
      <c r="A630" s="10" t="n">
        <v>2025</v>
      </c>
      <c r="B630" s="28" t="s">
        <v>72</v>
      </c>
      <c r="C630" s="29" t="n">
        <v>45960</v>
      </c>
      <c r="D630" s="30" t="s">
        <v>128</v>
      </c>
      <c r="E630" s="28" t="s">
        <v>1459</v>
      </c>
      <c r="F630" s="30" t="s">
        <v>1460</v>
      </c>
      <c r="G630" s="31" t="n">
        <v>10135</v>
      </c>
      <c r="H630" s="31" t="n">
        <v>9</v>
      </c>
      <c r="I630" s="31" t="n">
        <v>91218</v>
      </c>
      <c r="J630" s="29" t="n">
        <v>45961</v>
      </c>
      <c r="K630" s="31" t="n">
        <v>9640</v>
      </c>
      <c r="L630" s="30" t="s">
        <v>32</v>
      </c>
      <c r="M630" s="10" t="n">
        <v>1</v>
      </c>
      <c r="N630" s="12" t="n">
        <v>-4611</v>
      </c>
      <c r="O630" s="13" t="n">
        <v>-0.0505542331738406</v>
      </c>
      <c r="P630" s="15" t="n">
        <v>-0.00594047337658221</v>
      </c>
      <c r="Q630" s="13" t="n">
        <v>-0.0693560355555409</v>
      </c>
      <c r="R630" s="15" t="n">
        <v>0.0811051693404634</v>
      </c>
      <c r="S630" s="32" t="n">
        <v>24833865448</v>
      </c>
      <c r="T630" s="15" t="n">
        <v>0.00247933884297513</v>
      </c>
      <c r="U630" s="32" t="n">
        <v>3411609745.8</v>
      </c>
      <c r="V630" s="14" t="n">
        <v>6.95980759705007</v>
      </c>
      <c r="W630" s="13" t="n">
        <v>0.0840035746201966</v>
      </c>
      <c r="X630" s="15" t="n">
        <v>0.0882110469909316</v>
      </c>
      <c r="Y630" s="13" t="n">
        <v>0.00140646631464159</v>
      </c>
      <c r="Z630" s="13" t="n">
        <v>0.0627554894475706</v>
      </c>
      <c r="AA630" s="30" t="s">
        <v>97</v>
      </c>
      <c r="AB630" s="28" t="s">
        <v>93</v>
      </c>
      <c r="AC630" s="28" t="s">
        <v>101</v>
      </c>
      <c r="AD630" s="28" t="s">
        <v>106</v>
      </c>
      <c r="AE630" s="28" t="s">
        <v>112</v>
      </c>
      <c r="AF630" s="28" t="s">
        <v>119</v>
      </c>
      <c r="AG630" s="30" t="s">
        <v>122</v>
      </c>
    </row>
    <row r="631" customFormat="false" ht="15" hidden="false" customHeight="false" outlineLevel="0" collapsed="false">
      <c r="A631" s="10" t="n">
        <v>2025</v>
      </c>
      <c r="B631" s="28" t="s">
        <v>72</v>
      </c>
      <c r="C631" s="29" t="n">
        <v>45961</v>
      </c>
      <c r="D631" s="30" t="s">
        <v>129</v>
      </c>
      <c r="E631" s="28" t="s">
        <v>529</v>
      </c>
      <c r="F631" s="30" t="s">
        <v>530</v>
      </c>
      <c r="G631" s="31" t="n">
        <v>11662</v>
      </c>
      <c r="H631" s="31" t="n">
        <v>8</v>
      </c>
      <c r="I631" s="31" t="n">
        <v>93293</v>
      </c>
      <c r="J631" s="29" t="n">
        <v>45965</v>
      </c>
      <c r="K631" s="31" t="n">
        <v>11099</v>
      </c>
      <c r="L631" s="30" t="s">
        <v>32</v>
      </c>
      <c r="M631" s="10" t="n">
        <v>2</v>
      </c>
      <c r="N631" s="12" t="n">
        <v>-4663</v>
      </c>
      <c r="O631" s="13" t="n">
        <v>-0.0499776974956373</v>
      </c>
      <c r="P631" s="15" t="n">
        <v>0.0384465320087639</v>
      </c>
      <c r="Q631" s="13" t="n">
        <v>-0.0730299743175278</v>
      </c>
      <c r="R631" s="15" t="n">
        <v>0.125603864734299</v>
      </c>
      <c r="S631" s="32" t="n">
        <v>32009761350</v>
      </c>
      <c r="T631" s="15" t="n">
        <v>0.0990566037735849</v>
      </c>
      <c r="U631" s="32" t="n">
        <v>4246124732</v>
      </c>
      <c r="V631" s="14" t="n">
        <v>6.61663367724291</v>
      </c>
      <c r="W631" s="13" t="n">
        <v>0.102175969725639</v>
      </c>
      <c r="X631" s="15" t="n">
        <v>0.0171673819742488</v>
      </c>
      <c r="Y631" s="13" t="n">
        <v>0.00504295442255609</v>
      </c>
      <c r="Z631" s="13" t="n">
        <v>0.0420921506295682</v>
      </c>
      <c r="AA631" s="30" t="s">
        <v>97</v>
      </c>
      <c r="AB631" s="28" t="s">
        <v>93</v>
      </c>
      <c r="AC631" s="28" t="s">
        <v>102</v>
      </c>
      <c r="AD631" s="28" t="s">
        <v>107</v>
      </c>
      <c r="AE631" s="28" t="s">
        <v>101</v>
      </c>
      <c r="AF631" s="28" t="s">
        <v>119</v>
      </c>
      <c r="AG631" s="30" t="s">
        <v>122</v>
      </c>
    </row>
    <row r="632" customFormat="false" ht="15" hidden="false" customHeight="false" outlineLevel="0" collapsed="false">
      <c r="A632" s="10" t="n">
        <v>2025</v>
      </c>
      <c r="B632" s="28" t="s">
        <v>72</v>
      </c>
      <c r="C632" s="29" t="n">
        <v>45961</v>
      </c>
      <c r="D632" s="30" t="s">
        <v>129</v>
      </c>
      <c r="E632" s="28" t="s">
        <v>603</v>
      </c>
      <c r="F632" s="30" t="s">
        <v>604</v>
      </c>
      <c r="G632" s="31" t="n">
        <v>20153</v>
      </c>
      <c r="H632" s="31" t="n">
        <v>4</v>
      </c>
      <c r="I632" s="31" t="n">
        <v>80611</v>
      </c>
      <c r="J632" s="29" t="n">
        <v>45965</v>
      </c>
      <c r="K632" s="31" t="n">
        <v>19181</v>
      </c>
      <c r="L632" s="30" t="s">
        <v>32</v>
      </c>
      <c r="M632" s="10" t="n">
        <v>2</v>
      </c>
      <c r="N632" s="12" t="n">
        <v>-4027</v>
      </c>
      <c r="O632" s="13" t="n">
        <v>-0.0499518339941997</v>
      </c>
      <c r="P632" s="15" t="n">
        <v>0.0350534215493472</v>
      </c>
      <c r="Q632" s="13" t="n">
        <v>-0.0696149019781149</v>
      </c>
      <c r="R632" s="15" t="n">
        <v>0.0684079601990051</v>
      </c>
      <c r="S632" s="32" t="n">
        <v>25167411500</v>
      </c>
      <c r="T632" s="15" t="n">
        <v>0.0312124849939977</v>
      </c>
      <c r="U632" s="32" t="n">
        <v>6482476855</v>
      </c>
      <c r="V632" s="14" t="n">
        <v>3.64543413993212</v>
      </c>
      <c r="W632" s="13" t="n">
        <v>0.059186189889026</v>
      </c>
      <c r="X632" s="15" t="n">
        <v>0.00814901047729899</v>
      </c>
      <c r="Y632" s="13" t="n">
        <v>0.00504295442255609</v>
      </c>
      <c r="Z632" s="13" t="n">
        <v>0.0420921506295682</v>
      </c>
      <c r="AA632" s="30" t="s">
        <v>97</v>
      </c>
      <c r="AB632" s="28" t="s">
        <v>93</v>
      </c>
      <c r="AC632" s="28" t="s">
        <v>101</v>
      </c>
      <c r="AD632" s="28" t="s">
        <v>106</v>
      </c>
      <c r="AE632" s="28" t="s">
        <v>113</v>
      </c>
      <c r="AF632" s="28" t="s">
        <v>118</v>
      </c>
      <c r="AG632" s="30" t="s">
        <v>122</v>
      </c>
    </row>
    <row r="633" customFormat="false" ht="15" hidden="false" customHeight="false" outlineLevel="0" collapsed="false">
      <c r="A633" s="10" t="n">
        <v>2025</v>
      </c>
      <c r="B633" s="28" t="s">
        <v>73</v>
      </c>
      <c r="C633" s="29" t="n">
        <v>45964</v>
      </c>
      <c r="D633" s="30" t="s">
        <v>125</v>
      </c>
      <c r="E633" s="28" t="s">
        <v>969</v>
      </c>
      <c r="F633" s="28" t="s">
        <v>970</v>
      </c>
      <c r="G633" s="31" t="n">
        <v>70070</v>
      </c>
      <c r="H633" s="31" t="n">
        <v>1</v>
      </c>
      <c r="I633" s="31" t="n">
        <v>70070</v>
      </c>
      <c r="J633" s="29" t="n">
        <v>45965</v>
      </c>
      <c r="K633" s="31" t="n">
        <v>66633</v>
      </c>
      <c r="L633" s="30" t="s">
        <v>32</v>
      </c>
      <c r="M633" s="10" t="n">
        <v>1</v>
      </c>
      <c r="N633" s="12" t="n">
        <v>-3557</v>
      </c>
      <c r="O633" s="13" t="n">
        <v>-0.0507657406165261</v>
      </c>
      <c r="P633" s="15" t="n">
        <v>0.00899100899100924</v>
      </c>
      <c r="Q633" s="13" t="n">
        <v>-0.0580847723704865</v>
      </c>
      <c r="R633" s="15" t="n">
        <v>0.0558069381598794</v>
      </c>
      <c r="S633" s="32" t="n">
        <v>151697840000</v>
      </c>
      <c r="T633" s="15" t="n">
        <v>0.0494752623688155</v>
      </c>
      <c r="U633" s="32" t="n">
        <v>50579526880</v>
      </c>
      <c r="V633" s="14" t="n">
        <v>2.75461961234832</v>
      </c>
      <c r="W633" s="13" t="n">
        <v>0.0309278350515463</v>
      </c>
      <c r="X633" s="15" t="n">
        <v>0</v>
      </c>
      <c r="Y633" s="13" t="n">
        <v>0.0278441874619597</v>
      </c>
      <c r="Z633" s="13" t="n">
        <v>0.0442858096927152</v>
      </c>
      <c r="AA633" s="30" t="s">
        <v>97</v>
      </c>
      <c r="AB633" s="28" t="s">
        <v>93</v>
      </c>
      <c r="AC633" s="28" t="s">
        <v>101</v>
      </c>
      <c r="AD633" s="28" t="s">
        <v>109</v>
      </c>
      <c r="AE633" s="28" t="s">
        <v>113</v>
      </c>
      <c r="AF633" s="28" t="s">
        <v>117</v>
      </c>
      <c r="AG633" s="30" t="s">
        <v>122</v>
      </c>
    </row>
    <row r="634" customFormat="false" ht="15" hidden="false" customHeight="false" outlineLevel="0" collapsed="false">
      <c r="A634" s="10" t="n">
        <v>2025</v>
      </c>
      <c r="B634" s="28" t="s">
        <v>73</v>
      </c>
      <c r="C634" s="29" t="n">
        <v>45964</v>
      </c>
      <c r="D634" s="30" t="s">
        <v>125</v>
      </c>
      <c r="E634" s="28" t="s">
        <v>1461</v>
      </c>
      <c r="F634" s="30" t="s">
        <v>1462</v>
      </c>
      <c r="G634" s="31" t="n">
        <v>18148</v>
      </c>
      <c r="H634" s="31" t="n">
        <v>5</v>
      </c>
      <c r="I634" s="31" t="n">
        <v>90741</v>
      </c>
      <c r="J634" s="29" t="n">
        <v>45965</v>
      </c>
      <c r="K634" s="31" t="n">
        <v>17273</v>
      </c>
      <c r="L634" s="30" t="s">
        <v>32</v>
      </c>
      <c r="M634" s="10" t="n">
        <v>1</v>
      </c>
      <c r="N634" s="12" t="n">
        <v>-4533</v>
      </c>
      <c r="O634" s="13" t="n">
        <v>-0.0499578849721707</v>
      </c>
      <c r="P634" s="15" t="n">
        <v>-0.0164275878561592</v>
      </c>
      <c r="Q634" s="13" t="n">
        <v>-0.0632643693868182</v>
      </c>
      <c r="R634" s="15" t="n">
        <v>0.0540697674418604</v>
      </c>
      <c r="S634" s="32" t="n">
        <v>49127985060</v>
      </c>
      <c r="T634" s="15" t="n">
        <v>0.0128491620111733</v>
      </c>
      <c r="U634" s="32" t="n">
        <v>10104994132.5</v>
      </c>
      <c r="V634" s="14" t="n">
        <v>4.50558238312204</v>
      </c>
      <c r="W634" s="13" t="n">
        <v>0.0407577497129736</v>
      </c>
      <c r="X634" s="15" t="n">
        <v>0.0667402095973524</v>
      </c>
      <c r="Y634" s="13" t="n">
        <v>0.0278441874619597</v>
      </c>
      <c r="Z634" s="13" t="n">
        <v>0.0442858096927152</v>
      </c>
      <c r="AA634" s="30" t="s">
        <v>97</v>
      </c>
      <c r="AB634" s="28" t="s">
        <v>93</v>
      </c>
      <c r="AC634" s="28" t="s">
        <v>101</v>
      </c>
      <c r="AD634" s="28" t="s">
        <v>107</v>
      </c>
      <c r="AE634" s="28" t="s">
        <v>112</v>
      </c>
      <c r="AF634" s="28" t="s">
        <v>118</v>
      </c>
      <c r="AG634" s="30" t="s">
        <v>122</v>
      </c>
    </row>
    <row r="635" customFormat="false" ht="15" hidden="false" customHeight="false" outlineLevel="0" collapsed="false">
      <c r="A635" s="10" t="n">
        <v>2025</v>
      </c>
      <c r="B635" s="28" t="s">
        <v>73</v>
      </c>
      <c r="C635" s="29" t="n">
        <v>45964</v>
      </c>
      <c r="D635" s="30" t="s">
        <v>125</v>
      </c>
      <c r="E635" s="28" t="s">
        <v>191</v>
      </c>
      <c r="F635" s="30" t="s">
        <v>192</v>
      </c>
      <c r="G635" s="31" t="n">
        <v>33984</v>
      </c>
      <c r="H635" s="31" t="n">
        <v>2</v>
      </c>
      <c r="I635" s="31" t="n">
        <v>67968</v>
      </c>
      <c r="J635" s="29" t="n">
        <v>45966</v>
      </c>
      <c r="K635" s="31" t="n">
        <v>32318</v>
      </c>
      <c r="L635" s="30" t="s">
        <v>32</v>
      </c>
      <c r="M635" s="10" t="n">
        <v>2</v>
      </c>
      <c r="N635" s="12" t="n">
        <v>-3449</v>
      </c>
      <c r="O635" s="13" t="n">
        <v>-0.0507510667535703</v>
      </c>
      <c r="P635" s="15" t="n">
        <v>0.0107712611394497</v>
      </c>
      <c r="Q635" s="13" t="n">
        <v>-0.102517511943138</v>
      </c>
      <c r="R635" s="15" t="n">
        <v>0.0659340659340659</v>
      </c>
      <c r="S635" s="32" t="n">
        <v>42633052000</v>
      </c>
      <c r="T635" s="15" t="n">
        <v>0.0350609756097562</v>
      </c>
      <c r="U635" s="32" t="n">
        <v>9610127902.5</v>
      </c>
      <c r="V635" s="14" t="n">
        <v>4.04875555963948</v>
      </c>
      <c r="W635" s="13" t="n">
        <v>0.0287878787878788</v>
      </c>
      <c r="X635" s="15" t="n">
        <v>0.0294550810014727</v>
      </c>
      <c r="Y635" s="13" t="n">
        <v>0.0278441874619597</v>
      </c>
      <c r="Z635" s="13" t="n">
        <v>0.0442858096927152</v>
      </c>
      <c r="AA635" s="30" t="s">
        <v>97</v>
      </c>
      <c r="AB635" s="28" t="s">
        <v>93</v>
      </c>
      <c r="AC635" s="28" t="s">
        <v>101</v>
      </c>
      <c r="AD635" s="28" t="s">
        <v>107</v>
      </c>
      <c r="AE635" s="28" t="s">
        <v>113</v>
      </c>
      <c r="AF635" s="28" t="s">
        <v>118</v>
      </c>
      <c r="AG635" s="30" t="s">
        <v>122</v>
      </c>
    </row>
    <row r="636" customFormat="false" ht="15" hidden="false" customHeight="false" outlineLevel="0" collapsed="false">
      <c r="A636" s="10" t="n">
        <v>2025</v>
      </c>
      <c r="B636" s="28" t="s">
        <v>73</v>
      </c>
      <c r="C636" s="29" t="n">
        <v>45964</v>
      </c>
      <c r="D636" s="30" t="s">
        <v>125</v>
      </c>
      <c r="E636" s="28" t="s">
        <v>659</v>
      </c>
      <c r="F636" s="30" t="s">
        <v>660</v>
      </c>
      <c r="G636" s="31" t="n">
        <v>27327</v>
      </c>
      <c r="H636" s="31" t="n">
        <v>3</v>
      </c>
      <c r="I636" s="31" t="n">
        <v>81982</v>
      </c>
      <c r="J636" s="29" t="n">
        <v>45968</v>
      </c>
      <c r="K636" s="31" t="n">
        <v>33550</v>
      </c>
      <c r="L636" s="30" t="s">
        <v>31</v>
      </c>
      <c r="M636" s="10" t="n">
        <v>4</v>
      </c>
      <c r="N636" s="12" t="n">
        <v>18490</v>
      </c>
      <c r="O636" s="13" t="n">
        <v>0.225534297387594</v>
      </c>
      <c r="P636" s="15" t="n">
        <v>0.350298053594757</v>
      </c>
      <c r="Q636" s="13" t="n">
        <v>0.0355944421878489</v>
      </c>
      <c r="R636" s="15" t="n">
        <v>0.142259414225942</v>
      </c>
      <c r="S636" s="32" t="n">
        <v>26156648700</v>
      </c>
      <c r="T636" s="15" t="n">
        <v>0.00738007380073791</v>
      </c>
      <c r="U636" s="32" t="n">
        <v>5870983420</v>
      </c>
      <c r="V636" s="14" t="n">
        <v>4.07193337138432</v>
      </c>
      <c r="W636" s="13" t="n">
        <v>0.130434782608696</v>
      </c>
      <c r="X636" s="15" t="n">
        <v>0.0128205128205128</v>
      </c>
      <c r="Y636" s="13" t="n">
        <v>0.0278441874619597</v>
      </c>
      <c r="Z636" s="13" t="n">
        <v>0.0442858096927152</v>
      </c>
      <c r="AA636" s="30" t="s">
        <v>97</v>
      </c>
      <c r="AB636" s="28" t="s">
        <v>93</v>
      </c>
      <c r="AC636" s="28" t="s">
        <v>102</v>
      </c>
      <c r="AD636" s="28" t="s">
        <v>106</v>
      </c>
      <c r="AE636" s="28" t="s">
        <v>112</v>
      </c>
      <c r="AF636" s="28" t="s">
        <v>118</v>
      </c>
      <c r="AG636" s="30" t="s">
        <v>122</v>
      </c>
    </row>
    <row r="637" customFormat="false" ht="15" hidden="false" customHeight="false" outlineLevel="0" collapsed="false">
      <c r="A637" s="10" t="n">
        <v>2025</v>
      </c>
      <c r="B637" s="28" t="s">
        <v>73</v>
      </c>
      <c r="C637" s="29" t="n">
        <v>45965</v>
      </c>
      <c r="D637" s="30" t="s">
        <v>126</v>
      </c>
      <c r="E637" s="28" t="s">
        <v>1079</v>
      </c>
      <c r="F637" s="30" t="s">
        <v>1080</v>
      </c>
      <c r="G637" s="31" t="n">
        <v>55842</v>
      </c>
      <c r="H637" s="31" t="n">
        <v>1</v>
      </c>
      <c r="I637" s="31" t="n">
        <v>55842</v>
      </c>
      <c r="J637" s="29" t="n">
        <v>45966</v>
      </c>
      <c r="K637" s="31" t="n">
        <v>53147</v>
      </c>
      <c r="L637" s="30" t="s">
        <v>32</v>
      </c>
      <c r="M637" s="10" t="n">
        <v>1</v>
      </c>
      <c r="N637" s="12" t="n">
        <v>-2792</v>
      </c>
      <c r="O637" s="13" t="n">
        <v>-0.0499928236438513</v>
      </c>
      <c r="P637" s="15" t="n">
        <v>0.0492979242979243</v>
      </c>
      <c r="Q637" s="13" t="n">
        <v>-0.0512959262959263</v>
      </c>
      <c r="R637" s="15" t="n">
        <v>0.0607734806629836</v>
      </c>
      <c r="S637" s="32" t="n">
        <v>79566566400</v>
      </c>
      <c r="T637" s="15" t="n">
        <v>0.0607734806629836</v>
      </c>
      <c r="U637" s="32" t="n">
        <v>28859802815</v>
      </c>
      <c r="V637" s="14" t="n">
        <v>2.4542762756675</v>
      </c>
      <c r="W637" s="13" t="n">
        <v>0.0646950092421443</v>
      </c>
      <c r="X637" s="15" t="n">
        <v>0.0260416666666665</v>
      </c>
      <c r="Y637" s="13" t="n">
        <v>-0.0237169784953113</v>
      </c>
      <c r="Z637" s="13" t="n">
        <v>0.0277602539391235</v>
      </c>
      <c r="AA637" s="30" t="s">
        <v>97</v>
      </c>
      <c r="AB637" s="28" t="s">
        <v>93</v>
      </c>
      <c r="AC637" s="28" t="s">
        <v>101</v>
      </c>
      <c r="AD637" s="28" t="s">
        <v>108</v>
      </c>
      <c r="AE637" s="28" t="s">
        <v>101</v>
      </c>
      <c r="AF637" s="28" t="s">
        <v>117</v>
      </c>
      <c r="AG637" s="30" t="s">
        <v>122</v>
      </c>
    </row>
    <row r="638" customFormat="false" ht="15" hidden="false" customHeight="false" outlineLevel="0" collapsed="false">
      <c r="A638" s="10" t="n">
        <v>2025</v>
      </c>
      <c r="B638" s="28" t="s">
        <v>73</v>
      </c>
      <c r="C638" s="29" t="n">
        <v>45965</v>
      </c>
      <c r="D638" s="30" t="s">
        <v>126</v>
      </c>
      <c r="E638" s="28" t="s">
        <v>567</v>
      </c>
      <c r="F638" s="30" t="s">
        <v>568</v>
      </c>
      <c r="G638" s="31" t="n">
        <v>47097</v>
      </c>
      <c r="H638" s="31" t="n">
        <v>2</v>
      </c>
      <c r="I638" s="31" t="n">
        <v>94194</v>
      </c>
      <c r="J638" s="29" t="n">
        <v>45972</v>
      </c>
      <c r="K638" s="31" t="n">
        <v>44805</v>
      </c>
      <c r="L638" s="30" t="s">
        <v>32</v>
      </c>
      <c r="M638" s="10" t="n">
        <v>5</v>
      </c>
      <c r="N638" s="12" t="n">
        <v>-4746</v>
      </c>
      <c r="O638" s="13" t="n">
        <v>-0.0503830506369294</v>
      </c>
      <c r="P638" s="15" t="n">
        <v>0.0446514165961562</v>
      </c>
      <c r="Q638" s="13" t="n">
        <v>-0.0689438085824907</v>
      </c>
      <c r="R638" s="15" t="n">
        <v>0.126946107784431</v>
      </c>
      <c r="S638" s="32" t="n">
        <v>48042143350</v>
      </c>
      <c r="T638" s="15" t="n">
        <v>0.00426894343649953</v>
      </c>
      <c r="U638" s="32" t="n">
        <v>9469169552.5</v>
      </c>
      <c r="V638" s="14" t="n">
        <v>4.54831223440743</v>
      </c>
      <c r="W638" s="13" t="n">
        <v>0.148962148962149</v>
      </c>
      <c r="X638" s="15" t="n">
        <v>0.026567481402763</v>
      </c>
      <c r="Y638" s="13" t="n">
        <v>-0.0237169784953113</v>
      </c>
      <c r="Z638" s="13" t="n">
        <v>0.0277602539391235</v>
      </c>
      <c r="AA638" s="30" t="s">
        <v>97</v>
      </c>
      <c r="AB638" s="28" t="s">
        <v>93</v>
      </c>
      <c r="AC638" s="28" t="s">
        <v>102</v>
      </c>
      <c r="AD638" s="28" t="s">
        <v>107</v>
      </c>
      <c r="AE638" s="28" t="s">
        <v>112</v>
      </c>
      <c r="AF638" s="28" t="s">
        <v>118</v>
      </c>
      <c r="AG638" s="30" t="s">
        <v>122</v>
      </c>
    </row>
    <row r="639" customFormat="false" ht="15" hidden="false" customHeight="false" outlineLevel="0" collapsed="false">
      <c r="A639" s="10" t="n">
        <v>2025</v>
      </c>
      <c r="B639" s="28" t="s">
        <v>73</v>
      </c>
      <c r="C639" s="29" t="n">
        <v>45965</v>
      </c>
      <c r="D639" s="30" t="s">
        <v>126</v>
      </c>
      <c r="E639" s="28" t="s">
        <v>1383</v>
      </c>
      <c r="F639" s="30" t="s">
        <v>1384</v>
      </c>
      <c r="G639" s="31" t="n">
        <v>17988</v>
      </c>
      <c r="H639" s="31" t="n">
        <v>5</v>
      </c>
      <c r="I639" s="31" t="n">
        <v>89940</v>
      </c>
      <c r="J639" s="29" t="n">
        <v>45966</v>
      </c>
      <c r="K639" s="31" t="n">
        <v>17123</v>
      </c>
      <c r="L639" s="30" t="s">
        <v>32</v>
      </c>
      <c r="M639" s="10" t="n">
        <v>1</v>
      </c>
      <c r="N639" s="12" t="n">
        <v>-4480</v>
      </c>
      <c r="O639" s="13" t="n">
        <v>-0.0498144545771424</v>
      </c>
      <c r="P639" s="15" t="n">
        <v>0.000668780301501748</v>
      </c>
      <c r="Q639" s="13" t="n">
        <v>-0.0938388267269735</v>
      </c>
      <c r="R639" s="15" t="n">
        <v>0.109259259259259</v>
      </c>
      <c r="S639" s="32" t="n">
        <v>31880289480</v>
      </c>
      <c r="T639" s="15" t="n">
        <v>0.0112549240292628</v>
      </c>
      <c r="U639" s="32" t="n">
        <v>4053737248</v>
      </c>
      <c r="V639" s="14" t="n">
        <v>7.37200934048365</v>
      </c>
      <c r="W639" s="13" t="n">
        <v>0.0924012158054712</v>
      </c>
      <c r="X639" s="15" t="n">
        <v>0.0667779632721202</v>
      </c>
      <c r="Y639" s="13" t="n">
        <v>-0.0237169784953113</v>
      </c>
      <c r="Z639" s="13" t="n">
        <v>0.0277602539391235</v>
      </c>
      <c r="AA639" s="30" t="s">
        <v>97</v>
      </c>
      <c r="AB639" s="28" t="s">
        <v>93</v>
      </c>
      <c r="AC639" s="28" t="s">
        <v>102</v>
      </c>
      <c r="AD639" s="28" t="s">
        <v>107</v>
      </c>
      <c r="AE639" s="28" t="s">
        <v>112</v>
      </c>
      <c r="AF639" s="28" t="s">
        <v>119</v>
      </c>
      <c r="AG639" s="30" t="s">
        <v>122</v>
      </c>
    </row>
    <row r="640" customFormat="false" ht="15" hidden="false" customHeight="false" outlineLevel="0" collapsed="false">
      <c r="A640" s="10" t="n">
        <v>2025</v>
      </c>
      <c r="B640" s="28" t="s">
        <v>73</v>
      </c>
      <c r="C640" s="29" t="n">
        <v>45967</v>
      </c>
      <c r="D640" s="30" t="s">
        <v>128</v>
      </c>
      <c r="E640" s="28" t="s">
        <v>391</v>
      </c>
      <c r="F640" s="28" t="s">
        <v>392</v>
      </c>
      <c r="G640" s="31" t="n">
        <v>14965</v>
      </c>
      <c r="H640" s="31" t="n">
        <v>6</v>
      </c>
      <c r="I640" s="31" t="n">
        <v>89790</v>
      </c>
      <c r="J640" s="29"/>
      <c r="K640" s="31"/>
      <c r="L640" s="30" t="s">
        <v>33</v>
      </c>
      <c r="M640" s="10" t="n">
        <v>37</v>
      </c>
      <c r="N640" s="12" t="n">
        <v>5806</v>
      </c>
      <c r="O640" s="13" t="n">
        <v>0.0671602644846794</v>
      </c>
      <c r="P640" s="15" t="n">
        <v>0.540265754312577</v>
      </c>
      <c r="Q640" s="13" t="n">
        <v>-0.063812441738863</v>
      </c>
      <c r="R640" s="15" t="n">
        <v>0.0346020761245676</v>
      </c>
      <c r="S640" s="32" t="n">
        <v>24154445900</v>
      </c>
      <c r="T640" s="15" t="n">
        <v>0.014246947082768</v>
      </c>
      <c r="U640" s="32" t="n">
        <v>15515828557.5</v>
      </c>
      <c r="V640" s="14" t="n">
        <v>1.48135128761732</v>
      </c>
      <c r="W640" s="13" t="n">
        <v>0.023972602739726</v>
      </c>
      <c r="X640" s="15" t="n">
        <v>0.00602006688963219</v>
      </c>
      <c r="Y640" s="13" t="n">
        <v>0.00550142092987249</v>
      </c>
      <c r="Z640" s="13" t="n">
        <v>-0.0147887513488252</v>
      </c>
      <c r="AA640" s="30" t="s">
        <v>97</v>
      </c>
      <c r="AB640" s="28" t="s">
        <v>94</v>
      </c>
      <c r="AC640" s="28" t="s">
        <v>100</v>
      </c>
      <c r="AD640" s="28" t="s">
        <v>106</v>
      </c>
      <c r="AE640" s="28" t="s">
        <v>112</v>
      </c>
      <c r="AF640" s="28" t="s">
        <v>116</v>
      </c>
      <c r="AG640" s="30" t="s">
        <v>122</v>
      </c>
    </row>
    <row r="641" customFormat="false" ht="15" hidden="false" customHeight="false" outlineLevel="0" collapsed="false">
      <c r="A641" s="10" t="n">
        <v>2025</v>
      </c>
      <c r="B641" s="28" t="s">
        <v>73</v>
      </c>
      <c r="C641" s="29" t="n">
        <v>45967</v>
      </c>
      <c r="D641" s="30" t="s">
        <v>128</v>
      </c>
      <c r="E641" s="28" t="s">
        <v>1123</v>
      </c>
      <c r="F641" s="28" t="s">
        <v>1124</v>
      </c>
      <c r="G641" s="31" t="n">
        <v>15405</v>
      </c>
      <c r="H641" s="31" t="n">
        <v>6</v>
      </c>
      <c r="I641" s="31" t="n">
        <v>92432</v>
      </c>
      <c r="J641" s="29" t="n">
        <v>46002</v>
      </c>
      <c r="K641" s="31" t="n">
        <v>14665</v>
      </c>
      <c r="L641" s="30" t="s">
        <v>32</v>
      </c>
      <c r="M641" s="10" t="n">
        <v>25</v>
      </c>
      <c r="N641" s="12" t="n">
        <v>-4599</v>
      </c>
      <c r="O641" s="13" t="n">
        <v>-0.0497604141472561</v>
      </c>
      <c r="P641" s="15" t="n">
        <v>0.0710537026326501</v>
      </c>
      <c r="Q641" s="13" t="n">
        <v>-0.0477358898411529</v>
      </c>
      <c r="R641" s="15" t="n">
        <v>0.0280561122244489</v>
      </c>
      <c r="S641" s="32" t="n">
        <v>22943119590</v>
      </c>
      <c r="T641" s="15" t="n">
        <v>0.00654022236756058</v>
      </c>
      <c r="U641" s="32" t="n">
        <v>15707380537</v>
      </c>
      <c r="V641" s="14" t="n">
        <v>1.4251315321492</v>
      </c>
      <c r="W641" s="13" t="n">
        <v>0.0131665569453587</v>
      </c>
      <c r="X641" s="15" t="n">
        <v>0.000649772579597086</v>
      </c>
      <c r="Y641" s="13" t="n">
        <v>0.00550142092987249</v>
      </c>
      <c r="Z641" s="13" t="n">
        <v>-0.0147887513488252</v>
      </c>
      <c r="AA641" s="30" t="s">
        <v>97</v>
      </c>
      <c r="AB641" s="28" t="s">
        <v>94</v>
      </c>
      <c r="AC641" s="28" t="s">
        <v>99</v>
      </c>
      <c r="AD641" s="28" t="s">
        <v>106</v>
      </c>
      <c r="AE641" s="28" t="s">
        <v>112</v>
      </c>
      <c r="AF641" s="28" t="s">
        <v>116</v>
      </c>
      <c r="AG641" s="30" t="s">
        <v>122</v>
      </c>
    </row>
    <row r="642" customFormat="false" ht="15" hidden="false" customHeight="false" outlineLevel="0" collapsed="false">
      <c r="A642" s="10" t="n">
        <v>2025</v>
      </c>
      <c r="B642" s="28" t="s">
        <v>73</v>
      </c>
      <c r="C642" s="29" t="n">
        <v>45967</v>
      </c>
      <c r="D642" s="30" t="s">
        <v>128</v>
      </c>
      <c r="E642" s="28" t="s">
        <v>785</v>
      </c>
      <c r="F642" s="30" t="s">
        <v>786</v>
      </c>
      <c r="G642" s="31" t="n">
        <v>30731</v>
      </c>
      <c r="H642" s="31" t="n">
        <v>3</v>
      </c>
      <c r="I642" s="31" t="n">
        <v>92192</v>
      </c>
      <c r="J642" s="29" t="n">
        <v>45987</v>
      </c>
      <c r="K642" s="31" t="n">
        <v>29221</v>
      </c>
      <c r="L642" s="30" t="s">
        <v>32</v>
      </c>
      <c r="M642" s="10" t="n">
        <v>14</v>
      </c>
      <c r="N642" s="12" t="n">
        <v>-4688</v>
      </c>
      <c r="O642" s="13" t="n">
        <v>-0.0508538315918609</v>
      </c>
      <c r="P642" s="15" t="n">
        <v>0.122655845782882</v>
      </c>
      <c r="Q642" s="13" t="n">
        <v>-0.132789035069165</v>
      </c>
      <c r="R642" s="15" t="n">
        <v>0.0828924162257496</v>
      </c>
      <c r="S642" s="32" t="n">
        <v>21346416100</v>
      </c>
      <c r="T642" s="15" t="n">
        <v>0.00655737704918025</v>
      </c>
      <c r="U642" s="32" t="n">
        <v>6257897235</v>
      </c>
      <c r="V642" s="14" t="n">
        <v>3.23894977278492</v>
      </c>
      <c r="W642" s="13" t="n">
        <v>0.0696864111498259</v>
      </c>
      <c r="X642" s="15" t="n">
        <v>0.0114006514657981</v>
      </c>
      <c r="Y642" s="13" t="n">
        <v>0.00550142092987249</v>
      </c>
      <c r="Z642" s="13" t="n">
        <v>-0.0147887513488252</v>
      </c>
      <c r="AA642" s="30" t="s">
        <v>97</v>
      </c>
      <c r="AB642" s="28" t="s">
        <v>94</v>
      </c>
      <c r="AC642" s="28" t="s">
        <v>101</v>
      </c>
      <c r="AD642" s="28" t="s">
        <v>106</v>
      </c>
      <c r="AE642" s="28" t="s">
        <v>112</v>
      </c>
      <c r="AF642" s="28" t="s">
        <v>118</v>
      </c>
      <c r="AG642" s="30" t="s">
        <v>122</v>
      </c>
    </row>
    <row r="643" customFormat="false" ht="15" hidden="false" customHeight="false" outlineLevel="0" collapsed="false">
      <c r="A643" s="10" t="n">
        <v>2025</v>
      </c>
      <c r="B643" s="28" t="s">
        <v>73</v>
      </c>
      <c r="C643" s="29" t="n">
        <v>45972</v>
      </c>
      <c r="D643" s="30" t="s">
        <v>126</v>
      </c>
      <c r="E643" s="28" t="s">
        <v>483</v>
      </c>
      <c r="F643" s="28" t="s">
        <v>484</v>
      </c>
      <c r="G643" s="31" t="n">
        <v>72673</v>
      </c>
      <c r="H643" s="31" t="n">
        <v>1</v>
      </c>
      <c r="I643" s="31" t="n">
        <v>72673</v>
      </c>
      <c r="J643" s="29" t="n">
        <v>46021</v>
      </c>
      <c r="K643" s="31" t="n">
        <v>69131</v>
      </c>
      <c r="L643" s="30" t="s">
        <v>32</v>
      </c>
      <c r="M643" s="10" t="n">
        <v>34</v>
      </c>
      <c r="N643" s="12" t="n">
        <v>-3667</v>
      </c>
      <c r="O643" s="13" t="n">
        <v>-0.0504559725398566</v>
      </c>
      <c r="P643" s="15" t="n">
        <v>0.128348235786252</v>
      </c>
      <c r="Q643" s="13" t="n">
        <v>-0.0629205505238561</v>
      </c>
      <c r="R643" s="15" t="n">
        <v>0.139717425431711</v>
      </c>
      <c r="S643" s="32" t="n">
        <v>34687191000</v>
      </c>
      <c r="T643" s="15" t="n">
        <v>0.0983358547655069</v>
      </c>
      <c r="U643" s="32" t="n">
        <v>5440617480</v>
      </c>
      <c r="V643" s="14" t="n">
        <v>5.54141228102732</v>
      </c>
      <c r="W643" s="13" t="n">
        <v>0.103343465045593</v>
      </c>
      <c r="X643" s="15" t="n">
        <v>0.00550964187327829</v>
      </c>
      <c r="Y643" s="13" t="n">
        <v>0.00813848435152376</v>
      </c>
      <c r="Z643" s="13" t="n">
        <v>-0.00372415533245651</v>
      </c>
      <c r="AA643" s="30" t="s">
        <v>97</v>
      </c>
      <c r="AB643" s="28" t="s">
        <v>94</v>
      </c>
      <c r="AC643" s="28" t="s">
        <v>102</v>
      </c>
      <c r="AD643" s="28" t="s">
        <v>107</v>
      </c>
      <c r="AE643" s="28" t="s">
        <v>101</v>
      </c>
      <c r="AF643" s="28" t="s">
        <v>119</v>
      </c>
      <c r="AG643" s="30" t="s">
        <v>122</v>
      </c>
    </row>
    <row r="644" customFormat="false" ht="15" hidden="false" customHeight="false" outlineLevel="0" collapsed="false">
      <c r="A644" s="10" t="n">
        <v>2025</v>
      </c>
      <c r="B644" s="28" t="s">
        <v>73</v>
      </c>
      <c r="C644" s="29" t="n">
        <v>45972</v>
      </c>
      <c r="D644" s="30" t="s">
        <v>126</v>
      </c>
      <c r="E644" s="28" t="s">
        <v>245</v>
      </c>
      <c r="F644" s="30" t="s">
        <v>246</v>
      </c>
      <c r="G644" s="31" t="n">
        <v>76977</v>
      </c>
      <c r="H644" s="31" t="n">
        <v>1</v>
      </c>
      <c r="I644" s="31" t="n">
        <v>76977</v>
      </c>
      <c r="J644" s="29" t="n">
        <v>46006</v>
      </c>
      <c r="K644" s="31" t="n">
        <v>92400</v>
      </c>
      <c r="L644" s="30" t="s">
        <v>31</v>
      </c>
      <c r="M644" s="10" t="n">
        <v>24</v>
      </c>
      <c r="N644" s="12" t="n">
        <v>15259</v>
      </c>
      <c r="O644" s="13" t="n">
        <v>0.198229513854156</v>
      </c>
      <c r="P644" s="15" t="n">
        <v>0.213351018292501</v>
      </c>
      <c r="Q644" s="13" t="n">
        <v>0.00549645413104449</v>
      </c>
      <c r="R644" s="15" t="n">
        <v>0.0294511378848728</v>
      </c>
      <c r="S644" s="32" t="n">
        <v>31870589800</v>
      </c>
      <c r="T644" s="15" t="n">
        <v>0.0198938992042441</v>
      </c>
      <c r="U644" s="32" t="n">
        <v>10386435115</v>
      </c>
      <c r="V644" s="14" t="n">
        <v>2.92624064901733</v>
      </c>
      <c r="W644" s="13" t="n">
        <v>0.0391891891891891</v>
      </c>
      <c r="X644" s="15" t="n">
        <v>0.0221066319895968</v>
      </c>
      <c r="Y644" s="13" t="n">
        <v>0.00813848435152376</v>
      </c>
      <c r="Z644" s="13" t="n">
        <v>-0.00372415533245651</v>
      </c>
      <c r="AA644" s="30" t="s">
        <v>97</v>
      </c>
      <c r="AB644" s="28" t="s">
        <v>94</v>
      </c>
      <c r="AC644" s="28" t="s">
        <v>99</v>
      </c>
      <c r="AD644" s="28" t="s">
        <v>107</v>
      </c>
      <c r="AE644" s="28" t="s">
        <v>112</v>
      </c>
      <c r="AF644" s="28" t="s">
        <v>117</v>
      </c>
      <c r="AG644" s="30" t="s">
        <v>122</v>
      </c>
    </row>
    <row r="645" customFormat="false" ht="15" hidden="false" customHeight="false" outlineLevel="0" collapsed="false">
      <c r="A645" s="10" t="n">
        <v>2025</v>
      </c>
      <c r="B645" s="28" t="s">
        <v>73</v>
      </c>
      <c r="C645" s="29" t="n">
        <v>45972</v>
      </c>
      <c r="D645" s="30" t="s">
        <v>126</v>
      </c>
      <c r="E645" s="28" t="s">
        <v>219</v>
      </c>
      <c r="F645" s="30" t="s">
        <v>220</v>
      </c>
      <c r="G645" s="31" t="n">
        <v>22072</v>
      </c>
      <c r="H645" s="31" t="n">
        <v>4</v>
      </c>
      <c r="I645" s="31" t="n">
        <v>88288</v>
      </c>
      <c r="J645" s="29" t="n">
        <v>45974</v>
      </c>
      <c r="K645" s="31" t="n">
        <v>20979</v>
      </c>
      <c r="L645" s="30" t="s">
        <v>32</v>
      </c>
      <c r="M645" s="10" t="n">
        <v>2</v>
      </c>
      <c r="N645" s="12" t="n">
        <v>-4524</v>
      </c>
      <c r="O645" s="13" t="n">
        <v>-0.051240195518767</v>
      </c>
      <c r="P645" s="15" t="n">
        <v>0.0646949422459626</v>
      </c>
      <c r="Q645" s="13" t="n">
        <v>-0.0952358299297075</v>
      </c>
      <c r="R645" s="15" t="n">
        <v>0.0255813953488373</v>
      </c>
      <c r="S645" s="32" t="n">
        <v>25192764450</v>
      </c>
      <c r="T645" s="15" t="n">
        <v>0.0137931034482759</v>
      </c>
      <c r="U645" s="32" t="n">
        <v>19329143369.5</v>
      </c>
      <c r="V645" s="14" t="n">
        <v>1.17244149998923</v>
      </c>
      <c r="W645" s="13" t="n">
        <v>0.0022727272727272</v>
      </c>
      <c r="X645" s="15" t="n">
        <v>0.0204081632653062</v>
      </c>
      <c r="Y645" s="13" t="n">
        <v>0.00813848435152376</v>
      </c>
      <c r="Z645" s="13" t="n">
        <v>-0.00372415533245651</v>
      </c>
      <c r="AA645" s="30" t="s">
        <v>97</v>
      </c>
      <c r="AB645" s="28" t="s">
        <v>94</v>
      </c>
      <c r="AC645" s="28" t="s">
        <v>99</v>
      </c>
      <c r="AD645" s="28" t="s">
        <v>106</v>
      </c>
      <c r="AE645" s="28" t="s">
        <v>112</v>
      </c>
      <c r="AF645" s="28" t="s">
        <v>116</v>
      </c>
      <c r="AG645" s="30" t="s">
        <v>122</v>
      </c>
    </row>
    <row r="646" customFormat="false" ht="15" hidden="false" customHeight="false" outlineLevel="0" collapsed="false">
      <c r="A646" s="10" t="n">
        <v>2025</v>
      </c>
      <c r="B646" s="28" t="s">
        <v>73</v>
      </c>
      <c r="C646" s="29" t="n">
        <v>45973</v>
      </c>
      <c r="D646" s="30" t="s">
        <v>127</v>
      </c>
      <c r="E646" s="28" t="s">
        <v>1463</v>
      </c>
      <c r="F646" s="30" t="s">
        <v>1464</v>
      </c>
      <c r="G646" s="31" t="n">
        <v>41191</v>
      </c>
      <c r="H646" s="31" t="n">
        <v>2</v>
      </c>
      <c r="I646" s="31" t="n">
        <v>82382</v>
      </c>
      <c r="J646" s="29" t="n">
        <v>45985</v>
      </c>
      <c r="K646" s="31" t="n">
        <v>39211</v>
      </c>
      <c r="L646" s="30" t="s">
        <v>32</v>
      </c>
      <c r="M646" s="10" t="n">
        <v>8</v>
      </c>
      <c r="N646" s="12" t="n">
        <v>-4103</v>
      </c>
      <c r="O646" s="13" t="n">
        <v>-0.0497989594852292</v>
      </c>
      <c r="P646" s="15" t="n">
        <v>0.124027855498087</v>
      </c>
      <c r="Q646" s="13" t="n">
        <v>-0.0483392670512961</v>
      </c>
      <c r="R646" s="15" t="n">
        <v>0.1398891966759</v>
      </c>
      <c r="S646" s="32" t="n">
        <v>26067084750</v>
      </c>
      <c r="T646" s="15" t="n">
        <v>0.0900662251655628</v>
      </c>
      <c r="U646" s="32" t="n">
        <v>4506631155</v>
      </c>
      <c r="V646" s="14" t="n">
        <v>5.07451172649474</v>
      </c>
      <c r="W646" s="13" t="n">
        <v>0.143055555555556</v>
      </c>
      <c r="X646" s="15" t="n">
        <v>0</v>
      </c>
      <c r="Y646" s="13" t="n">
        <v>0.0107150075857383</v>
      </c>
      <c r="Z646" s="13" t="n">
        <v>0.0364522202965723</v>
      </c>
      <c r="AA646" s="30" t="s">
        <v>97</v>
      </c>
      <c r="AB646" s="28" t="s">
        <v>93</v>
      </c>
      <c r="AC646" s="28" t="s">
        <v>102</v>
      </c>
      <c r="AD646" s="28" t="s">
        <v>106</v>
      </c>
      <c r="AE646" s="28" t="s">
        <v>101</v>
      </c>
      <c r="AF646" s="28" t="s">
        <v>119</v>
      </c>
      <c r="AG646" s="30" t="s">
        <v>122</v>
      </c>
    </row>
    <row r="647" customFormat="false" ht="15" hidden="false" customHeight="false" outlineLevel="0" collapsed="false">
      <c r="A647" s="10" t="n">
        <v>2025</v>
      </c>
      <c r="B647" s="28" t="s">
        <v>73</v>
      </c>
      <c r="C647" s="29" t="n">
        <v>45974</v>
      </c>
      <c r="D647" s="30" t="s">
        <v>128</v>
      </c>
      <c r="E647" s="28" t="s">
        <v>1397</v>
      </c>
      <c r="F647" s="30" t="s">
        <v>1398</v>
      </c>
      <c r="G647" s="31" t="n">
        <v>17568</v>
      </c>
      <c r="H647" s="31" t="n">
        <v>5</v>
      </c>
      <c r="I647" s="31" t="n">
        <v>87838</v>
      </c>
      <c r="J647" s="29" t="n">
        <v>45985</v>
      </c>
      <c r="K647" s="31" t="n">
        <v>16723</v>
      </c>
      <c r="L647" s="30" t="s">
        <v>32</v>
      </c>
      <c r="M647" s="10" t="n">
        <v>7</v>
      </c>
      <c r="N647" s="12" t="n">
        <v>-4373</v>
      </c>
      <c r="O647" s="13" t="n">
        <v>-0.0497803342811037</v>
      </c>
      <c r="P647" s="15" t="n">
        <v>0.11797034873958</v>
      </c>
      <c r="Q647" s="13" t="n">
        <v>-0.0545067468144391</v>
      </c>
      <c r="R647" s="15" t="n">
        <v>0.0305343511450382</v>
      </c>
      <c r="S647" s="32" t="n">
        <v>25323070500</v>
      </c>
      <c r="T647" s="15" t="n">
        <v>0.0257159555815312</v>
      </c>
      <c r="U647" s="32" t="n">
        <v>12061710167.5</v>
      </c>
      <c r="V647" s="14" t="n">
        <v>1.88926006501267</v>
      </c>
      <c r="W647" s="13" t="n">
        <v>0.0103626943005182</v>
      </c>
      <c r="X647" s="15" t="n">
        <v>0.0341880341880343</v>
      </c>
      <c r="Y647" s="13" t="n">
        <v>0.00487665014613081</v>
      </c>
      <c r="Z647" s="13" t="n">
        <v>0.035808218157434</v>
      </c>
      <c r="AA647" s="30" t="s">
        <v>97</v>
      </c>
      <c r="AB647" s="28" t="s">
        <v>93</v>
      </c>
      <c r="AC647" s="28" t="s">
        <v>100</v>
      </c>
      <c r="AD647" s="28" t="s">
        <v>106</v>
      </c>
      <c r="AE647" s="28" t="s">
        <v>113</v>
      </c>
      <c r="AF647" s="28" t="s">
        <v>116</v>
      </c>
      <c r="AG647" s="30" t="s">
        <v>122</v>
      </c>
    </row>
    <row r="648" customFormat="false" ht="15" hidden="false" customHeight="false" outlineLevel="0" collapsed="false">
      <c r="A648" s="10" t="n">
        <v>2025</v>
      </c>
      <c r="B648" s="28" t="s">
        <v>73</v>
      </c>
      <c r="C648" s="29" t="n">
        <v>45974</v>
      </c>
      <c r="D648" s="30" t="s">
        <v>128</v>
      </c>
      <c r="E648" s="28" t="s">
        <v>239</v>
      </c>
      <c r="F648" s="28" t="s">
        <v>240</v>
      </c>
      <c r="G648" s="31" t="n">
        <v>50751</v>
      </c>
      <c r="H648" s="31" t="n">
        <v>1</v>
      </c>
      <c r="I648" s="31" t="n">
        <v>50751</v>
      </c>
      <c r="J648" s="29"/>
      <c r="K648" s="31"/>
      <c r="L648" s="30" t="s">
        <v>33</v>
      </c>
      <c r="M648" s="10" t="n">
        <v>32</v>
      </c>
      <c r="N648" s="12" t="n">
        <v>1826</v>
      </c>
      <c r="O648" s="13" t="n">
        <v>0.0384093224329911</v>
      </c>
      <c r="P648" s="15" t="n">
        <v>0.367468823090125</v>
      </c>
      <c r="Q648" s="13" t="n">
        <v>-0.0364664920877938</v>
      </c>
      <c r="R648" s="15" t="n">
        <v>0.025278058645096</v>
      </c>
      <c r="S648" s="32" t="n">
        <v>23429991000</v>
      </c>
      <c r="T648" s="15" t="n">
        <v>0.00197628458498023</v>
      </c>
      <c r="U648" s="32" t="n">
        <v>18299946475</v>
      </c>
      <c r="V648" s="14" t="n">
        <v>1.24733447136331</v>
      </c>
      <c r="W648" s="13" t="n">
        <v>0.028397565922921</v>
      </c>
      <c r="X648" s="15" t="n">
        <v>0</v>
      </c>
      <c r="Y648" s="13" t="n">
        <v>0.00487665014613081</v>
      </c>
      <c r="Z648" s="13" t="n">
        <v>0.035808218157434</v>
      </c>
      <c r="AA648" s="30" t="s">
        <v>97</v>
      </c>
      <c r="AB648" s="28" t="s">
        <v>93</v>
      </c>
      <c r="AC648" s="28" t="s">
        <v>99</v>
      </c>
      <c r="AD648" s="28" t="s">
        <v>106</v>
      </c>
      <c r="AE648" s="28" t="s">
        <v>112</v>
      </c>
      <c r="AF648" s="28" t="s">
        <v>116</v>
      </c>
      <c r="AG648" s="30" t="s">
        <v>122</v>
      </c>
    </row>
    <row r="649" customFormat="false" ht="15" hidden="false" customHeight="false" outlineLevel="0" collapsed="false">
      <c r="A649" s="10" t="n">
        <v>2025</v>
      </c>
      <c r="B649" s="28" t="s">
        <v>73</v>
      </c>
      <c r="C649" s="29" t="n">
        <v>45975</v>
      </c>
      <c r="D649" s="30" t="s">
        <v>129</v>
      </c>
      <c r="E649" s="28" t="s">
        <v>1025</v>
      </c>
      <c r="F649" s="30" t="s">
        <v>1026</v>
      </c>
      <c r="G649" s="31" t="n">
        <v>6163</v>
      </c>
      <c r="H649" s="31" t="n">
        <v>16</v>
      </c>
      <c r="I649" s="31" t="n">
        <v>98615</v>
      </c>
      <c r="J649" s="29" t="n">
        <v>45985</v>
      </c>
      <c r="K649" s="31" t="n">
        <v>7400</v>
      </c>
      <c r="L649" s="30" t="s">
        <v>31</v>
      </c>
      <c r="M649" s="10" t="n">
        <v>6</v>
      </c>
      <c r="N649" s="12" t="n">
        <v>19575</v>
      </c>
      <c r="O649" s="13" t="n">
        <v>0.198499800019298</v>
      </c>
      <c r="P649" s="15" t="n">
        <v>0.240946553446554</v>
      </c>
      <c r="Q649" s="13" t="n">
        <v>0.00680569430569444</v>
      </c>
      <c r="R649" s="15" t="n">
        <v>0.0339256865912763</v>
      </c>
      <c r="S649" s="32" t="n">
        <v>89562208000</v>
      </c>
      <c r="T649" s="15" t="n">
        <v>0.0289389067524115</v>
      </c>
      <c r="U649" s="32" t="n">
        <v>19539971896.5</v>
      </c>
      <c r="V649" s="14" t="n">
        <v>4.3573877522552</v>
      </c>
      <c r="W649" s="13" t="n">
        <v>0.0191082802547771</v>
      </c>
      <c r="X649" s="15" t="n">
        <v>0.0531250000000001</v>
      </c>
      <c r="Y649" s="13" t="n">
        <v>-0.0381381230173858</v>
      </c>
      <c r="Z649" s="13" t="n">
        <v>0.0146215248270001</v>
      </c>
      <c r="AA649" s="30" t="s">
        <v>96</v>
      </c>
      <c r="AB649" s="28" t="s">
        <v>93</v>
      </c>
      <c r="AC649" s="28" t="s">
        <v>100</v>
      </c>
      <c r="AD649" s="28" t="s">
        <v>108</v>
      </c>
      <c r="AE649" s="28" t="s">
        <v>113</v>
      </c>
      <c r="AF649" s="28" t="s">
        <v>118</v>
      </c>
      <c r="AG649" s="30" t="s">
        <v>122</v>
      </c>
    </row>
    <row r="650" customFormat="false" ht="15" hidden="false" customHeight="false" outlineLevel="0" collapsed="false">
      <c r="A650" s="10" t="n">
        <v>2025</v>
      </c>
      <c r="B650" s="28" t="s">
        <v>73</v>
      </c>
      <c r="C650" s="29" t="n">
        <v>45978</v>
      </c>
      <c r="D650" s="30" t="s">
        <v>125</v>
      </c>
      <c r="E650" s="28" t="s">
        <v>437</v>
      </c>
      <c r="F650" s="30" t="s">
        <v>438</v>
      </c>
      <c r="G650" s="31" t="n">
        <v>20621</v>
      </c>
      <c r="H650" s="31" t="n">
        <v>4</v>
      </c>
      <c r="I650" s="31" t="n">
        <v>82482</v>
      </c>
      <c r="J650" s="29" t="n">
        <v>45980</v>
      </c>
      <c r="K650" s="31" t="n">
        <v>19630</v>
      </c>
      <c r="L650" s="30" t="s">
        <v>32</v>
      </c>
      <c r="M650" s="10" t="n">
        <v>2</v>
      </c>
      <c r="N650" s="12" t="n">
        <v>-4103</v>
      </c>
      <c r="O650" s="13" t="n">
        <v>-0.0497431290796583</v>
      </c>
      <c r="P650" s="15" t="n">
        <v>0.0765933096030185</v>
      </c>
      <c r="Q650" s="13" t="n">
        <v>-0.0829558790723839</v>
      </c>
      <c r="R650" s="15" t="n">
        <v>0.126298523783488</v>
      </c>
      <c r="S650" s="32" t="n">
        <v>67702909400</v>
      </c>
      <c r="T650" s="15" t="n">
        <v>0.0547875064004095</v>
      </c>
      <c r="U650" s="32" t="n">
        <v>18960413842</v>
      </c>
      <c r="V650" s="14" t="n">
        <v>3.21614139342227</v>
      </c>
      <c r="W650" s="13" t="n">
        <v>0.0986666666666667</v>
      </c>
      <c r="X650" s="15" t="n">
        <v>0.00485436893203883</v>
      </c>
      <c r="Y650" s="13" t="n">
        <v>0.0193639896599087</v>
      </c>
      <c r="Z650" s="13" t="n">
        <v>0.00393053195981574</v>
      </c>
      <c r="AA650" s="30" t="s">
        <v>97</v>
      </c>
      <c r="AB650" s="28" t="s">
        <v>93</v>
      </c>
      <c r="AC650" s="28" t="s">
        <v>102</v>
      </c>
      <c r="AD650" s="28" t="s">
        <v>108</v>
      </c>
      <c r="AE650" s="28" t="s">
        <v>101</v>
      </c>
      <c r="AF650" s="28" t="s">
        <v>118</v>
      </c>
      <c r="AG650" s="30" t="s">
        <v>122</v>
      </c>
    </row>
    <row r="651" customFormat="false" ht="15" hidden="false" customHeight="false" outlineLevel="0" collapsed="false">
      <c r="A651" s="10" t="n">
        <v>2025</v>
      </c>
      <c r="B651" s="28" t="s">
        <v>73</v>
      </c>
      <c r="C651" s="29" t="n">
        <v>45978</v>
      </c>
      <c r="D651" s="30" t="s">
        <v>125</v>
      </c>
      <c r="E651" s="28" t="s">
        <v>217</v>
      </c>
      <c r="F651" s="28" t="s">
        <v>218</v>
      </c>
      <c r="G651" s="31" t="n">
        <v>83283</v>
      </c>
      <c r="H651" s="31" t="n">
        <v>1</v>
      </c>
      <c r="I651" s="31" t="n">
        <v>83283</v>
      </c>
      <c r="J651" s="29" t="n">
        <v>45986</v>
      </c>
      <c r="K651" s="31" t="n">
        <v>100000</v>
      </c>
      <c r="L651" s="30" t="s">
        <v>31</v>
      </c>
      <c r="M651" s="10" t="n">
        <v>6</v>
      </c>
      <c r="N651" s="12" t="n">
        <v>16539</v>
      </c>
      <c r="O651" s="13" t="n">
        <v>0.19859116268347</v>
      </c>
      <c r="P651" s="15" t="n">
        <v>0.362819872435257</v>
      </c>
      <c r="Q651" s="13" t="n">
        <v>-0.0466264504726043</v>
      </c>
      <c r="R651" s="15" t="n">
        <v>0.124324324324324</v>
      </c>
      <c r="S651" s="32" t="n">
        <v>32163206400</v>
      </c>
      <c r="T651" s="15" t="n">
        <v>0.0208588957055216</v>
      </c>
      <c r="U651" s="32" t="n">
        <v>16028565945</v>
      </c>
      <c r="V651" s="14" t="n">
        <v>1.88979345714189</v>
      </c>
      <c r="W651" s="13" t="n">
        <v>0.0947368421052632</v>
      </c>
      <c r="X651" s="15" t="n">
        <v>0.00360576923076916</v>
      </c>
      <c r="Y651" s="13" t="n">
        <v>0.0193639896599087</v>
      </c>
      <c r="Z651" s="13" t="n">
        <v>0.00393053195981574</v>
      </c>
      <c r="AA651" s="30" t="s">
        <v>97</v>
      </c>
      <c r="AB651" s="28" t="s">
        <v>93</v>
      </c>
      <c r="AC651" s="28" t="s">
        <v>102</v>
      </c>
      <c r="AD651" s="28" t="s">
        <v>107</v>
      </c>
      <c r="AE651" s="28" t="s">
        <v>113</v>
      </c>
      <c r="AF651" s="28" t="s">
        <v>116</v>
      </c>
      <c r="AG651" s="30" t="s">
        <v>122</v>
      </c>
    </row>
    <row r="652" customFormat="false" ht="15" hidden="false" customHeight="false" outlineLevel="0" collapsed="false">
      <c r="A652" s="10" t="n">
        <v>2025</v>
      </c>
      <c r="B652" s="28" t="s">
        <v>73</v>
      </c>
      <c r="C652" s="29" t="n">
        <v>45978</v>
      </c>
      <c r="D652" s="30" t="s">
        <v>125</v>
      </c>
      <c r="E652" s="28" t="s">
        <v>361</v>
      </c>
      <c r="F652" s="30" t="s">
        <v>362</v>
      </c>
      <c r="G652" s="31" t="n">
        <v>94695</v>
      </c>
      <c r="H652" s="31" t="n">
        <v>1</v>
      </c>
      <c r="I652" s="31" t="n">
        <v>94695</v>
      </c>
      <c r="J652" s="29" t="n">
        <v>46002</v>
      </c>
      <c r="K652" s="31" t="n">
        <v>90110</v>
      </c>
      <c r="L652" s="30" t="s">
        <v>32</v>
      </c>
      <c r="M652" s="10" t="n">
        <v>18</v>
      </c>
      <c r="N652" s="12" t="n">
        <v>-4748</v>
      </c>
      <c r="O652" s="13" t="n">
        <v>-0.050136812025184</v>
      </c>
      <c r="P652" s="15" t="n">
        <v>0.0518023203012634</v>
      </c>
      <c r="Q652" s="13" t="n">
        <v>-0.0516882694472546</v>
      </c>
      <c r="R652" s="15" t="n">
        <v>0.0327510917030567</v>
      </c>
      <c r="S652" s="32" t="n">
        <v>21273269600</v>
      </c>
      <c r="T652" s="15" t="n">
        <v>0.00424628450106157</v>
      </c>
      <c r="U652" s="32" t="n">
        <v>31479935395</v>
      </c>
      <c r="V652" s="14" t="n">
        <v>0.634925026946254</v>
      </c>
      <c r="W652" s="13" t="n">
        <v>0.0271444082519001</v>
      </c>
      <c r="X652" s="15" t="n">
        <v>0.0095137420718816</v>
      </c>
      <c r="Y652" s="13" t="n">
        <v>0.0193639896599087</v>
      </c>
      <c r="Z652" s="13" t="n">
        <v>0.00393053195981574</v>
      </c>
      <c r="AA652" s="30" t="s">
        <v>97</v>
      </c>
      <c r="AB652" s="28" t="s">
        <v>93</v>
      </c>
      <c r="AC652" s="28" t="s">
        <v>100</v>
      </c>
      <c r="AD652" s="28" t="s">
        <v>106</v>
      </c>
      <c r="AE652" s="28" t="s">
        <v>112</v>
      </c>
      <c r="AF652" s="28" t="s">
        <v>116</v>
      </c>
      <c r="AG652" s="30" t="s">
        <v>122</v>
      </c>
    </row>
    <row r="653" customFormat="false" ht="15" hidden="false" customHeight="false" outlineLevel="0" collapsed="false">
      <c r="A653" s="10" t="n">
        <v>2025</v>
      </c>
      <c r="B653" s="28" t="s">
        <v>73</v>
      </c>
      <c r="C653" s="29" t="n">
        <v>45981</v>
      </c>
      <c r="D653" s="30" t="s">
        <v>128</v>
      </c>
      <c r="E653" s="28" t="s">
        <v>1465</v>
      </c>
      <c r="F653" s="30" t="s">
        <v>1466</v>
      </c>
      <c r="G653" s="31" t="n">
        <v>10821</v>
      </c>
      <c r="H653" s="31" t="n">
        <v>9</v>
      </c>
      <c r="I653" s="31" t="n">
        <v>97387</v>
      </c>
      <c r="J653" s="29" t="n">
        <v>45982</v>
      </c>
      <c r="K653" s="31" t="n">
        <v>10300</v>
      </c>
      <c r="L653" s="30" t="s">
        <v>32</v>
      </c>
      <c r="M653" s="10" t="n">
        <v>1</v>
      </c>
      <c r="N653" s="12" t="n">
        <v>-4858</v>
      </c>
      <c r="O653" s="13" t="n">
        <v>-0.049879594041481</v>
      </c>
      <c r="P653" s="15" t="n">
        <v>0.0119390322905586</v>
      </c>
      <c r="Q653" s="13" t="n">
        <v>-0.0971101054357298</v>
      </c>
      <c r="R653" s="15" t="n">
        <v>0.166127292340885</v>
      </c>
      <c r="S653" s="32" t="n">
        <v>23233770850</v>
      </c>
      <c r="T653" s="15" t="n">
        <v>0.0227057710501419</v>
      </c>
      <c r="U653" s="32" t="n">
        <v>3075180437.5</v>
      </c>
      <c r="V653" s="14" t="n">
        <v>6.8051451980774</v>
      </c>
      <c r="W653" s="13" t="n">
        <v>0.161117078410312</v>
      </c>
      <c r="X653" s="15" t="n">
        <v>0.00832562442183171</v>
      </c>
      <c r="Y653" s="13" t="n">
        <v>0.0191728739715638</v>
      </c>
      <c r="Z653" s="13" t="n">
        <v>-0.0397493903798707</v>
      </c>
      <c r="AA653" s="30" t="s">
        <v>96</v>
      </c>
      <c r="AB653" s="28" t="s">
        <v>94</v>
      </c>
      <c r="AC653" s="28" t="s">
        <v>103</v>
      </c>
      <c r="AD653" s="28" t="s">
        <v>106</v>
      </c>
      <c r="AE653" s="28" t="s">
        <v>113</v>
      </c>
      <c r="AF653" s="28" t="s">
        <v>119</v>
      </c>
      <c r="AG653" s="30" t="s">
        <v>122</v>
      </c>
    </row>
    <row r="654" customFormat="false" ht="15" hidden="false" customHeight="false" outlineLevel="0" collapsed="false">
      <c r="A654" s="10" t="n">
        <v>2025</v>
      </c>
      <c r="B654" s="28" t="s">
        <v>73</v>
      </c>
      <c r="C654" s="29" t="n">
        <v>45985</v>
      </c>
      <c r="D654" s="30" t="s">
        <v>125</v>
      </c>
      <c r="E654" s="28" t="s">
        <v>493</v>
      </c>
      <c r="F654" s="30" t="s">
        <v>494</v>
      </c>
      <c r="G654" s="31" t="n">
        <v>80580</v>
      </c>
      <c r="H654" s="31" t="n">
        <v>1</v>
      </c>
      <c r="I654" s="31" t="n">
        <v>80580</v>
      </c>
      <c r="J654" s="29" t="n">
        <v>45992</v>
      </c>
      <c r="K654" s="31" t="n">
        <v>96700</v>
      </c>
      <c r="L654" s="30" t="s">
        <v>31</v>
      </c>
      <c r="M654" s="10" t="n">
        <v>5</v>
      </c>
      <c r="N654" s="12" t="n">
        <v>15948</v>
      </c>
      <c r="O654" s="13" t="n">
        <v>0.197912124211193</v>
      </c>
      <c r="P654" s="15" t="n">
        <v>0.205006173950274</v>
      </c>
      <c r="Q654" s="13" t="n">
        <v>0.00148298906062894</v>
      </c>
      <c r="R654" s="15" t="n">
        <v>0.0509138381201044</v>
      </c>
      <c r="S654" s="32" t="n">
        <v>35245234500</v>
      </c>
      <c r="T654" s="15" t="n">
        <v>0.00877192982456143</v>
      </c>
      <c r="U654" s="32" t="n">
        <v>21295147575</v>
      </c>
      <c r="V654" s="14" t="n">
        <v>1.50984914750728</v>
      </c>
      <c r="W654" s="13" t="n">
        <v>0.0387096774193549</v>
      </c>
      <c r="X654" s="15" t="n">
        <v>0.0596273291925467</v>
      </c>
      <c r="Y654" s="13" t="n">
        <v>-0.0018685476713225</v>
      </c>
      <c r="Z654" s="13" t="n">
        <v>-0.0594705630616862</v>
      </c>
      <c r="AA654" s="30" t="s">
        <v>96</v>
      </c>
      <c r="AB654" s="28" t="s">
        <v>94</v>
      </c>
      <c r="AC654" s="28" t="s">
        <v>101</v>
      </c>
      <c r="AD654" s="28" t="s">
        <v>107</v>
      </c>
      <c r="AE654" s="28" t="s">
        <v>112</v>
      </c>
      <c r="AF654" s="28" t="s">
        <v>116</v>
      </c>
      <c r="AG654" s="30" t="s">
        <v>122</v>
      </c>
    </row>
    <row r="655" customFormat="false" ht="15" hidden="false" customHeight="false" outlineLevel="0" collapsed="false">
      <c r="A655" s="10" t="n">
        <v>2025</v>
      </c>
      <c r="B655" s="28" t="s">
        <v>73</v>
      </c>
      <c r="C655" s="29" t="n">
        <v>45989</v>
      </c>
      <c r="D655" s="30" t="s">
        <v>129</v>
      </c>
      <c r="E655" s="28" t="s">
        <v>373</v>
      </c>
      <c r="F655" s="30" t="s">
        <v>374</v>
      </c>
      <c r="G655" s="31" t="n">
        <v>27828</v>
      </c>
      <c r="H655" s="31" t="n">
        <v>3</v>
      </c>
      <c r="I655" s="31" t="n">
        <v>83483</v>
      </c>
      <c r="J655" s="29" t="n">
        <v>46007</v>
      </c>
      <c r="K655" s="31" t="n">
        <v>26474</v>
      </c>
      <c r="L655" s="30" t="s">
        <v>32</v>
      </c>
      <c r="M655" s="10" t="n">
        <v>12</v>
      </c>
      <c r="N655" s="12" t="n">
        <v>-4206</v>
      </c>
      <c r="O655" s="13" t="n">
        <v>-0.050386859363658</v>
      </c>
      <c r="P655" s="15" t="n">
        <v>0.13914862116301</v>
      </c>
      <c r="Q655" s="13" t="n">
        <v>-0.0531051682130818</v>
      </c>
      <c r="R655" s="15" t="n">
        <v>0.155925155925156</v>
      </c>
      <c r="S655" s="32" t="n">
        <v>42313379200</v>
      </c>
      <c r="T655" s="15" t="n">
        <v>0.053030303030303</v>
      </c>
      <c r="U655" s="32" t="n">
        <v>6152742105</v>
      </c>
      <c r="V655" s="14" t="n">
        <v>5.89553565583914</v>
      </c>
      <c r="W655" s="13" t="n">
        <v>0.139344262295082</v>
      </c>
      <c r="X655" s="15" t="n">
        <v>0.0197841726618706</v>
      </c>
      <c r="Y655" s="13" t="n">
        <v>-0.0151295113258136</v>
      </c>
      <c r="Z655" s="13" t="n">
        <v>0.0190306389913995</v>
      </c>
      <c r="AA655" s="30" t="s">
        <v>96</v>
      </c>
      <c r="AB655" s="28" t="s">
        <v>93</v>
      </c>
      <c r="AC655" s="28" t="s">
        <v>103</v>
      </c>
      <c r="AD655" s="28" t="s">
        <v>107</v>
      </c>
      <c r="AE655" s="28" t="s">
        <v>101</v>
      </c>
      <c r="AF655" s="28" t="s">
        <v>119</v>
      </c>
      <c r="AG655" s="30" t="s">
        <v>122</v>
      </c>
    </row>
    <row r="656" customFormat="false" ht="15" hidden="false" customHeight="false" outlineLevel="0" collapsed="false">
      <c r="A656" s="10" t="n">
        <v>2025</v>
      </c>
      <c r="B656" s="28" t="s">
        <v>74</v>
      </c>
      <c r="C656" s="29" t="n">
        <v>45994</v>
      </c>
      <c r="D656" s="30" t="s">
        <v>127</v>
      </c>
      <c r="E656" s="28" t="s">
        <v>961</v>
      </c>
      <c r="F656" s="30" t="s">
        <v>962</v>
      </c>
      <c r="G656" s="31" t="n">
        <v>10440</v>
      </c>
      <c r="H656" s="31" t="n">
        <v>9</v>
      </c>
      <c r="I656" s="31" t="n">
        <v>93964</v>
      </c>
      <c r="J656" s="29" t="n">
        <v>45996</v>
      </c>
      <c r="K656" s="31" t="n">
        <v>9930</v>
      </c>
      <c r="L656" s="30" t="s">
        <v>32</v>
      </c>
      <c r="M656" s="10" t="n">
        <v>2</v>
      </c>
      <c r="N656" s="12" t="n">
        <v>-4755</v>
      </c>
      <c r="O656" s="13" t="n">
        <v>-0.0506033433009942</v>
      </c>
      <c r="P656" s="15" t="n">
        <v>0.0574277113107411</v>
      </c>
      <c r="Q656" s="13" t="n">
        <v>-0.0718773077354092</v>
      </c>
      <c r="R656" s="15" t="n">
        <v>0.0471887550200802</v>
      </c>
      <c r="S656" s="32" t="n">
        <v>157272509800</v>
      </c>
      <c r="T656" s="15" t="n">
        <v>0.0471887550200802</v>
      </c>
      <c r="U656" s="32" t="n">
        <v>30662875096</v>
      </c>
      <c r="V656" s="14" t="n">
        <v>4.5410715106899</v>
      </c>
      <c r="W656" s="13" t="n">
        <v>0.0440440440440439</v>
      </c>
      <c r="X656" s="15" t="n">
        <v>0.0584851390220518</v>
      </c>
      <c r="Y656" s="13" t="n">
        <v>0.0103556257556454</v>
      </c>
      <c r="Z656" s="13" t="n">
        <v>0.0190437959337217</v>
      </c>
      <c r="AA656" s="30" t="s">
        <v>97</v>
      </c>
      <c r="AB656" s="28" t="s">
        <v>93</v>
      </c>
      <c r="AC656" s="28" t="s">
        <v>100</v>
      </c>
      <c r="AD656" s="28" t="s">
        <v>109</v>
      </c>
      <c r="AE656" s="28" t="s">
        <v>113</v>
      </c>
      <c r="AF656" s="28" t="s">
        <v>118</v>
      </c>
      <c r="AG656" s="30" t="s">
        <v>122</v>
      </c>
    </row>
    <row r="657" customFormat="false" ht="15" hidden="false" customHeight="false" outlineLevel="0" collapsed="false">
      <c r="A657" s="10" t="n">
        <v>2025</v>
      </c>
      <c r="B657" s="28" t="s">
        <v>74</v>
      </c>
      <c r="C657" s="29" t="n">
        <v>45994</v>
      </c>
      <c r="D657" s="30" t="s">
        <v>127</v>
      </c>
      <c r="E657" s="28" t="s">
        <v>807</v>
      </c>
      <c r="F657" s="30" t="s">
        <v>808</v>
      </c>
      <c r="G657" s="31" t="n">
        <v>50150</v>
      </c>
      <c r="H657" s="31" t="n">
        <v>1</v>
      </c>
      <c r="I657" s="31" t="n">
        <v>50150</v>
      </c>
      <c r="J657" s="29" t="n">
        <v>45996</v>
      </c>
      <c r="K657" s="31" t="n">
        <v>60200</v>
      </c>
      <c r="L657" s="30" t="s">
        <v>31</v>
      </c>
      <c r="M657" s="10" t="n">
        <v>2</v>
      </c>
      <c r="N657" s="12" t="n">
        <v>9943</v>
      </c>
      <c r="O657" s="13" t="n">
        <v>0.198265755900786</v>
      </c>
      <c r="P657" s="15" t="n">
        <v>0.21236049379762</v>
      </c>
      <c r="Q657" s="13" t="n">
        <v>-0.00797804989421735</v>
      </c>
      <c r="R657" s="15" t="n">
        <v>0.068230277185501</v>
      </c>
      <c r="S657" s="32" t="n">
        <v>73759374300</v>
      </c>
      <c r="T657" s="15" t="n">
        <v>0.068230277185501</v>
      </c>
      <c r="U657" s="32" t="n">
        <v>33842083740</v>
      </c>
      <c r="V657" s="14" t="n">
        <v>1.88738673542526</v>
      </c>
      <c r="W657" s="13" t="n">
        <v>0.0394190871369295</v>
      </c>
      <c r="X657" s="15" t="n">
        <v>0.0199600798403194</v>
      </c>
      <c r="Y657" s="13" t="n">
        <v>0.0103556257556454</v>
      </c>
      <c r="Z657" s="13" t="n">
        <v>0.0190437959337217</v>
      </c>
      <c r="AA657" s="30" t="s">
        <v>97</v>
      </c>
      <c r="AB657" s="28" t="s">
        <v>93</v>
      </c>
      <c r="AC657" s="28" t="s">
        <v>101</v>
      </c>
      <c r="AD657" s="28" t="s">
        <v>108</v>
      </c>
      <c r="AE657" s="28" t="s">
        <v>101</v>
      </c>
      <c r="AF657" s="28" t="s">
        <v>116</v>
      </c>
      <c r="AG657" s="30" t="s">
        <v>122</v>
      </c>
    </row>
    <row r="658" customFormat="false" ht="15" hidden="false" customHeight="false" outlineLevel="0" collapsed="false">
      <c r="A658" s="10" t="n">
        <v>2025</v>
      </c>
      <c r="B658" s="28" t="s">
        <v>74</v>
      </c>
      <c r="C658" s="29" t="n">
        <v>45994</v>
      </c>
      <c r="D658" s="30" t="s">
        <v>127</v>
      </c>
      <c r="E658" s="28" t="s">
        <v>1467</v>
      </c>
      <c r="F658" s="30" t="s">
        <v>1468</v>
      </c>
      <c r="G658" s="31" t="n">
        <v>5736</v>
      </c>
      <c r="H658" s="31" t="n">
        <v>17</v>
      </c>
      <c r="I658" s="31" t="n">
        <v>97507</v>
      </c>
      <c r="J658" s="29" t="n">
        <v>46001</v>
      </c>
      <c r="K658" s="31" t="n">
        <v>5455</v>
      </c>
      <c r="L658" s="30" t="s">
        <v>32</v>
      </c>
      <c r="M658" s="10" t="n">
        <v>5</v>
      </c>
      <c r="N658" s="12" t="n">
        <v>-4948</v>
      </c>
      <c r="O658" s="13" t="n">
        <v>-0.0507433841028082</v>
      </c>
      <c r="P658" s="15" t="n">
        <v>0.0565350879487006</v>
      </c>
      <c r="Q658" s="13" t="n">
        <v>-0.0620200044283813</v>
      </c>
      <c r="R658" s="15" t="n">
        <v>0.0513761467889908</v>
      </c>
      <c r="S658" s="32" t="n">
        <v>33272499870</v>
      </c>
      <c r="T658" s="15" t="n">
        <v>0.00702987697715285</v>
      </c>
      <c r="U658" s="32" t="n">
        <v>25170571349.5</v>
      </c>
      <c r="V658" s="14" t="n">
        <v>1.26883477473886</v>
      </c>
      <c r="W658" s="13" t="n">
        <v>0.0494505494505495</v>
      </c>
      <c r="X658" s="15" t="n">
        <v>0.0383944153577662</v>
      </c>
      <c r="Y658" s="13" t="n">
        <v>0.0103556257556454</v>
      </c>
      <c r="Z658" s="13" t="n">
        <v>0.0190437959337217</v>
      </c>
      <c r="AA658" s="30" t="s">
        <v>97</v>
      </c>
      <c r="AB658" s="28" t="s">
        <v>93</v>
      </c>
      <c r="AC658" s="28" t="s">
        <v>101</v>
      </c>
      <c r="AD658" s="28" t="s">
        <v>107</v>
      </c>
      <c r="AE658" s="28" t="s">
        <v>112</v>
      </c>
      <c r="AF658" s="28" t="s">
        <v>116</v>
      </c>
      <c r="AG658" s="30" t="s">
        <v>122</v>
      </c>
    </row>
    <row r="659" customFormat="false" ht="15" hidden="false" customHeight="false" outlineLevel="0" collapsed="false">
      <c r="A659" s="10" t="n">
        <v>2025</v>
      </c>
      <c r="B659" s="28" t="s">
        <v>74</v>
      </c>
      <c r="C659" s="29" t="n">
        <v>45994</v>
      </c>
      <c r="D659" s="30" t="s">
        <v>127</v>
      </c>
      <c r="E659" s="28" t="s">
        <v>323</v>
      </c>
      <c r="F659" s="30" t="s">
        <v>324</v>
      </c>
      <c r="G659" s="31" t="n">
        <v>6206</v>
      </c>
      <c r="H659" s="31" t="n">
        <v>16</v>
      </c>
      <c r="I659" s="31" t="n">
        <v>99299</v>
      </c>
      <c r="J659" s="29" t="n">
        <v>45995</v>
      </c>
      <c r="K659" s="31" t="n">
        <v>5904</v>
      </c>
      <c r="L659" s="30" t="s">
        <v>32</v>
      </c>
      <c r="M659" s="10" t="n">
        <v>1</v>
      </c>
      <c r="N659" s="12" t="n">
        <v>-5005</v>
      </c>
      <c r="O659" s="13" t="n">
        <v>-0.0503984206922108</v>
      </c>
      <c r="P659" s="15" t="n">
        <v>0.0183365022074702</v>
      </c>
      <c r="Q659" s="13" t="n">
        <v>-0.0493377590151782</v>
      </c>
      <c r="R659" s="15" t="n">
        <v>0.0954063604240283</v>
      </c>
      <c r="S659" s="32" t="n">
        <v>32913214600</v>
      </c>
      <c r="T659" s="15" t="n">
        <v>0.083916083916084</v>
      </c>
      <c r="U659" s="32" t="n">
        <v>3877885166</v>
      </c>
      <c r="V659" s="14" t="n">
        <v>7.35719965951049</v>
      </c>
      <c r="W659" s="13" t="n">
        <v>0.0896309314586994</v>
      </c>
      <c r="X659" s="15" t="n">
        <v>0.0290322580645162</v>
      </c>
      <c r="Y659" s="13" t="n">
        <v>0.0103556257556454</v>
      </c>
      <c r="Z659" s="13" t="n">
        <v>0.0190437959337217</v>
      </c>
      <c r="AA659" s="30" t="s">
        <v>97</v>
      </c>
      <c r="AB659" s="28" t="s">
        <v>93</v>
      </c>
      <c r="AC659" s="28" t="s">
        <v>101</v>
      </c>
      <c r="AD659" s="28" t="s">
        <v>107</v>
      </c>
      <c r="AE659" s="28" t="s">
        <v>101</v>
      </c>
      <c r="AF659" s="28" t="s">
        <v>119</v>
      </c>
      <c r="AG659" s="30" t="s">
        <v>122</v>
      </c>
    </row>
    <row r="660" customFormat="false" ht="15" hidden="false" customHeight="false" outlineLevel="0" collapsed="false">
      <c r="A660" s="10" t="n">
        <v>2025</v>
      </c>
      <c r="B660" s="28" t="s">
        <v>74</v>
      </c>
      <c r="C660" s="29" t="n">
        <v>45994</v>
      </c>
      <c r="D660" s="30" t="s">
        <v>127</v>
      </c>
      <c r="E660" s="28" t="s">
        <v>983</v>
      </c>
      <c r="F660" s="30" t="s">
        <v>984</v>
      </c>
      <c r="G660" s="31" t="n">
        <v>34234</v>
      </c>
      <c r="H660" s="31" t="n">
        <v>2</v>
      </c>
      <c r="I660" s="31" t="n">
        <v>68468</v>
      </c>
      <c r="J660" s="29" t="n">
        <v>46009</v>
      </c>
      <c r="K660" s="31" t="n">
        <v>32567</v>
      </c>
      <c r="L660" s="30" t="s">
        <v>32</v>
      </c>
      <c r="M660" s="10" t="n">
        <v>11</v>
      </c>
      <c r="N660" s="12" t="n">
        <v>-3451</v>
      </c>
      <c r="O660" s="13" t="n">
        <v>-0.0504078184972921</v>
      </c>
      <c r="P660" s="15" t="n">
        <v>0.196172248803828</v>
      </c>
      <c r="Q660" s="13" t="n">
        <v>-0.0506569453937874</v>
      </c>
      <c r="R660" s="15" t="n">
        <v>0.0571870170015456</v>
      </c>
      <c r="S660" s="32" t="n">
        <v>26810337600</v>
      </c>
      <c r="T660" s="15" t="n">
        <v>0.0332326283987916</v>
      </c>
      <c r="U660" s="32" t="n">
        <v>11188576345</v>
      </c>
      <c r="V660" s="14" t="n">
        <v>2.18496995599418</v>
      </c>
      <c r="W660" s="13" t="n">
        <v>0.0426829268292683</v>
      </c>
      <c r="X660" s="15" t="n">
        <v>0.0160818713450293</v>
      </c>
      <c r="Y660" s="13" t="n">
        <v>0.0103556257556454</v>
      </c>
      <c r="Z660" s="13" t="n">
        <v>0.0190437959337217</v>
      </c>
      <c r="AA660" s="30" t="s">
        <v>97</v>
      </c>
      <c r="AB660" s="28" t="s">
        <v>93</v>
      </c>
      <c r="AC660" s="28" t="s">
        <v>101</v>
      </c>
      <c r="AD660" s="28" t="s">
        <v>106</v>
      </c>
      <c r="AE660" s="28" t="s">
        <v>113</v>
      </c>
      <c r="AF660" s="28" t="s">
        <v>117</v>
      </c>
      <c r="AG660" s="30" t="s">
        <v>122</v>
      </c>
    </row>
    <row r="661" customFormat="false" ht="15" hidden="false" customHeight="false" outlineLevel="0" collapsed="false">
      <c r="A661" s="10" t="n">
        <v>2025</v>
      </c>
      <c r="B661" s="28" t="s">
        <v>74</v>
      </c>
      <c r="C661" s="29" t="n">
        <v>45994</v>
      </c>
      <c r="D661" s="30" t="s">
        <v>127</v>
      </c>
      <c r="E661" s="28" t="s">
        <v>751</v>
      </c>
      <c r="F661" s="30" t="s">
        <v>752</v>
      </c>
      <c r="G661" s="31" t="n">
        <v>22422</v>
      </c>
      <c r="H661" s="31" t="n">
        <v>4</v>
      </c>
      <c r="I661" s="31" t="n">
        <v>89690</v>
      </c>
      <c r="J661" s="29"/>
      <c r="K661" s="31"/>
      <c r="L661" s="30" t="s">
        <v>33</v>
      </c>
      <c r="M661" s="10" t="n">
        <v>18</v>
      </c>
      <c r="N661" s="12" t="n">
        <v>36020</v>
      </c>
      <c r="O661" s="13" t="n">
        <v>0.404845154845155</v>
      </c>
      <c r="P661" s="15" t="n">
        <v>0.431604110175539</v>
      </c>
      <c r="Q661" s="13" t="n">
        <v>-0.0366776081061795</v>
      </c>
      <c r="R661" s="15" t="n">
        <v>0.0135746606334841</v>
      </c>
      <c r="S661" s="32" t="n">
        <v>23100291200</v>
      </c>
      <c r="T661" s="15" t="n">
        <v>0.00448430493273544</v>
      </c>
      <c r="U661" s="32" t="n">
        <v>21896504872.5</v>
      </c>
      <c r="V661" s="14" t="n">
        <v>1.02545268255537</v>
      </c>
      <c r="W661" s="13" t="n">
        <v>0.00900900900900892</v>
      </c>
      <c r="X661" s="15" t="n">
        <v>0</v>
      </c>
      <c r="Y661" s="13" t="n">
        <v>0.0103556257556454</v>
      </c>
      <c r="Z661" s="13" t="n">
        <v>0.0190437959337217</v>
      </c>
      <c r="AA661" s="30" t="s">
        <v>97</v>
      </c>
      <c r="AB661" s="28" t="s">
        <v>93</v>
      </c>
      <c r="AC661" s="28" t="s">
        <v>99</v>
      </c>
      <c r="AD661" s="28" t="s">
        <v>106</v>
      </c>
      <c r="AE661" s="28" t="s">
        <v>112</v>
      </c>
      <c r="AF661" s="28" t="s">
        <v>116</v>
      </c>
      <c r="AG661" s="30" t="s">
        <v>122</v>
      </c>
    </row>
    <row r="662" customFormat="false" ht="15" hidden="false" customHeight="false" outlineLevel="0" collapsed="false">
      <c r="A662" s="10" t="n">
        <v>2025</v>
      </c>
      <c r="B662" s="28" t="s">
        <v>74</v>
      </c>
      <c r="C662" s="29" t="n">
        <v>45994</v>
      </c>
      <c r="D662" s="30" t="s">
        <v>127</v>
      </c>
      <c r="E662" s="28" t="s">
        <v>835</v>
      </c>
      <c r="F662" s="30" t="s">
        <v>836</v>
      </c>
      <c r="G662" s="31" t="n">
        <v>23523</v>
      </c>
      <c r="H662" s="31" t="n">
        <v>4</v>
      </c>
      <c r="I662" s="31" t="n">
        <v>94094</v>
      </c>
      <c r="J662" s="29" t="n">
        <v>46002</v>
      </c>
      <c r="K662" s="31" t="n">
        <v>22378</v>
      </c>
      <c r="L662" s="30" t="s">
        <v>32</v>
      </c>
      <c r="M662" s="10" t="n">
        <v>6</v>
      </c>
      <c r="N662" s="12" t="n">
        <v>-4745</v>
      </c>
      <c r="O662" s="13" t="n">
        <v>-0.0504326127064424</v>
      </c>
      <c r="P662" s="15" t="n">
        <v>0.0733946904159673</v>
      </c>
      <c r="Q662" s="13" t="n">
        <v>-0.062639488171403</v>
      </c>
      <c r="R662" s="15" t="n">
        <v>0.0538116591928251</v>
      </c>
      <c r="S662" s="32" t="n">
        <v>20892416500</v>
      </c>
      <c r="T662" s="15" t="n">
        <v>0.0375275938189845</v>
      </c>
      <c r="U662" s="32" t="n">
        <v>14087652370</v>
      </c>
      <c r="V662" s="14" t="n">
        <v>1.32756715623473</v>
      </c>
      <c r="W662" s="13" t="n">
        <v>0.0538116591928251</v>
      </c>
      <c r="X662" s="15" t="n">
        <v>0.00851063829787235</v>
      </c>
      <c r="Y662" s="13" t="n">
        <v>0.0103556257556454</v>
      </c>
      <c r="Z662" s="13" t="n">
        <v>0.0190437959337217</v>
      </c>
      <c r="AA662" s="30" t="s">
        <v>97</v>
      </c>
      <c r="AB662" s="28" t="s">
        <v>93</v>
      </c>
      <c r="AC662" s="28" t="s">
        <v>101</v>
      </c>
      <c r="AD662" s="28" t="s">
        <v>106</v>
      </c>
      <c r="AE662" s="28" t="s">
        <v>113</v>
      </c>
      <c r="AF662" s="28" t="s">
        <v>116</v>
      </c>
      <c r="AG662" s="30" t="s">
        <v>122</v>
      </c>
    </row>
    <row r="663" customFormat="false" ht="15" hidden="false" customHeight="false" outlineLevel="0" collapsed="false">
      <c r="A663" s="10" t="n">
        <v>2025</v>
      </c>
      <c r="B663" s="28" t="s">
        <v>74</v>
      </c>
      <c r="C663" s="29" t="n">
        <v>45995</v>
      </c>
      <c r="D663" s="30" t="s">
        <v>128</v>
      </c>
      <c r="E663" s="28" t="s">
        <v>969</v>
      </c>
      <c r="F663" s="28" t="s">
        <v>970</v>
      </c>
      <c r="G663" s="31" t="n">
        <v>62963</v>
      </c>
      <c r="H663" s="31" t="n">
        <v>1</v>
      </c>
      <c r="I663" s="31" t="n">
        <v>62963</v>
      </c>
      <c r="J663" s="29"/>
      <c r="K663" s="31"/>
      <c r="L663" s="30" t="s">
        <v>33</v>
      </c>
      <c r="M663" s="10" t="n">
        <v>17</v>
      </c>
      <c r="N663" s="12" t="n">
        <v>6275</v>
      </c>
      <c r="O663" s="13" t="n">
        <v>0.102236396354044</v>
      </c>
      <c r="P663" s="15" t="n">
        <v>1.43476714064949</v>
      </c>
      <c r="Q663" s="13" t="n">
        <v>-0.120116767175591</v>
      </c>
      <c r="R663" s="15" t="n">
        <v>0.0697278911564625</v>
      </c>
      <c r="S663" s="32" t="n">
        <v>253111487000</v>
      </c>
      <c r="T663" s="15" t="n">
        <v>0.0642978003384094</v>
      </c>
      <c r="U663" s="32" t="n">
        <v>45190655465</v>
      </c>
      <c r="V663" s="14" t="n">
        <v>5.09091916594059</v>
      </c>
      <c r="W663" s="13" t="n">
        <v>0.0661016949152542</v>
      </c>
      <c r="X663" s="15" t="n">
        <v>0.0397456279809221</v>
      </c>
      <c r="Y663" s="13" t="n">
        <v>-0.00192998538265243</v>
      </c>
      <c r="Z663" s="13" t="n">
        <v>0.0104341457419406</v>
      </c>
      <c r="AA663" s="30" t="s">
        <v>97</v>
      </c>
      <c r="AB663" s="28" t="s">
        <v>93</v>
      </c>
      <c r="AC663" s="28" t="s">
        <v>101</v>
      </c>
      <c r="AD663" s="28" t="s">
        <v>110</v>
      </c>
      <c r="AE663" s="28" t="s">
        <v>101</v>
      </c>
      <c r="AF663" s="28" t="s">
        <v>119</v>
      </c>
      <c r="AG663" s="30" t="s">
        <v>122</v>
      </c>
    </row>
    <row r="664" customFormat="false" ht="15" hidden="false" customHeight="false" outlineLevel="0" collapsed="false">
      <c r="A664" s="10" t="n">
        <v>2025</v>
      </c>
      <c r="B664" s="28" t="s">
        <v>74</v>
      </c>
      <c r="C664" s="29" t="n">
        <v>45995</v>
      </c>
      <c r="D664" s="30" t="s">
        <v>128</v>
      </c>
      <c r="E664" s="28" t="s">
        <v>311</v>
      </c>
      <c r="F664" s="30" t="s">
        <v>312</v>
      </c>
      <c r="G664" s="31" t="n">
        <v>82783</v>
      </c>
      <c r="H664" s="31" t="n">
        <v>1</v>
      </c>
      <c r="I664" s="31" t="n">
        <v>82783</v>
      </c>
      <c r="J664" s="29" t="n">
        <v>46009</v>
      </c>
      <c r="K664" s="31" t="n">
        <v>77223</v>
      </c>
      <c r="L664" s="30" t="s">
        <v>32</v>
      </c>
      <c r="M664" s="10" t="n">
        <v>10</v>
      </c>
      <c r="N664" s="12" t="n">
        <v>-5700</v>
      </c>
      <c r="O664" s="13" t="n">
        <v>-0.0688529712125843</v>
      </c>
      <c r="P664" s="15" t="n">
        <v>0.0557761464653848</v>
      </c>
      <c r="Q664" s="13" t="n">
        <v>-0.068645985211886</v>
      </c>
      <c r="R664" s="15" t="n">
        <v>0.0782268578878749</v>
      </c>
      <c r="S664" s="32" t="n">
        <v>185825990300</v>
      </c>
      <c r="T664" s="15" t="n">
        <v>0.0197287299630087</v>
      </c>
      <c r="U664" s="32" t="n">
        <v>21161289025</v>
      </c>
      <c r="V664" s="14" t="n">
        <v>8.08249799690115</v>
      </c>
      <c r="W664" s="13" t="n">
        <v>0.0247831474597273</v>
      </c>
      <c r="X664" s="15" t="n">
        <v>0.0435308343409915</v>
      </c>
      <c r="Y664" s="13" t="n">
        <v>-0.00192998538265243</v>
      </c>
      <c r="Z664" s="13" t="n">
        <v>0.0104341457419406</v>
      </c>
      <c r="AA664" s="30" t="s">
        <v>97</v>
      </c>
      <c r="AB664" s="28" t="s">
        <v>93</v>
      </c>
      <c r="AC664" s="28" t="s">
        <v>101</v>
      </c>
      <c r="AD664" s="28" t="s">
        <v>109</v>
      </c>
      <c r="AE664" s="28" t="s">
        <v>112</v>
      </c>
      <c r="AF664" s="28" t="s">
        <v>119</v>
      </c>
      <c r="AG664" s="30" t="s">
        <v>122</v>
      </c>
    </row>
    <row r="665" customFormat="false" ht="15" hidden="false" customHeight="false" outlineLevel="0" collapsed="false">
      <c r="A665" s="10" t="n">
        <v>2025</v>
      </c>
      <c r="B665" s="28" t="s">
        <v>74</v>
      </c>
      <c r="C665" s="29" t="n">
        <v>45995</v>
      </c>
      <c r="D665" s="30" t="s">
        <v>128</v>
      </c>
      <c r="E665" s="28" t="s">
        <v>293</v>
      </c>
      <c r="F665" s="30" t="s">
        <v>294</v>
      </c>
      <c r="G665" s="31" t="n">
        <v>80480</v>
      </c>
      <c r="H665" s="31" t="n">
        <v>1</v>
      </c>
      <c r="I665" s="31" t="n">
        <v>80480</v>
      </c>
      <c r="J665" s="29" t="n">
        <v>45996</v>
      </c>
      <c r="K665" s="31" t="n">
        <v>76523</v>
      </c>
      <c r="L665" s="30" t="s">
        <v>32</v>
      </c>
      <c r="M665" s="10" t="n">
        <v>1</v>
      </c>
      <c r="N665" s="12" t="n">
        <v>-4095</v>
      </c>
      <c r="O665" s="13" t="n">
        <v>-0.0508861246961993</v>
      </c>
      <c r="P665" s="15" t="n">
        <v>0.00769876889279875</v>
      </c>
      <c r="Q665" s="13" t="n">
        <v>-0.0817640071371414</v>
      </c>
      <c r="R665" s="15" t="n">
        <v>0.0307692307692307</v>
      </c>
      <c r="S665" s="32" t="n">
        <v>154855384800</v>
      </c>
      <c r="T665" s="15" t="n">
        <v>0.00249376558603487</v>
      </c>
      <c r="U665" s="32" t="n">
        <v>42557715445</v>
      </c>
      <c r="V665" s="14" t="n">
        <v>3.29583965828411</v>
      </c>
      <c r="W665" s="13" t="n">
        <v>-0.00985221674876846</v>
      </c>
      <c r="X665" s="15" t="n">
        <v>0.044776119402985</v>
      </c>
      <c r="Y665" s="13" t="n">
        <v>-0.00192998538265243</v>
      </c>
      <c r="Z665" s="13" t="n">
        <v>0.0104341457419406</v>
      </c>
      <c r="AA665" s="30" t="s">
        <v>97</v>
      </c>
      <c r="AB665" s="28" t="s">
        <v>93</v>
      </c>
      <c r="AC665" s="28" t="s">
        <v>100</v>
      </c>
      <c r="AD665" s="28" t="s">
        <v>109</v>
      </c>
      <c r="AE665" s="28" t="s">
        <v>112</v>
      </c>
      <c r="AF665" s="28" t="s">
        <v>118</v>
      </c>
      <c r="AG665" s="30" t="s">
        <v>123</v>
      </c>
    </row>
    <row r="666" customFormat="false" ht="15" hidden="false" customHeight="false" outlineLevel="0" collapsed="false">
      <c r="A666" s="10" t="n">
        <v>2025</v>
      </c>
      <c r="B666" s="28" t="s">
        <v>74</v>
      </c>
      <c r="C666" s="29" t="n">
        <v>45995</v>
      </c>
      <c r="D666" s="30" t="s">
        <v>128</v>
      </c>
      <c r="E666" s="28" t="s">
        <v>1469</v>
      </c>
      <c r="F666" s="30" t="s">
        <v>1470</v>
      </c>
      <c r="G666" s="31" t="n">
        <v>13003</v>
      </c>
      <c r="H666" s="31" t="n">
        <v>7</v>
      </c>
      <c r="I666" s="31" t="n">
        <v>91021</v>
      </c>
      <c r="J666" s="29" t="n">
        <v>45999</v>
      </c>
      <c r="K666" s="31" t="n">
        <v>12378</v>
      </c>
      <c r="L666" s="30" t="s">
        <v>32</v>
      </c>
      <c r="M666" s="10" t="n">
        <v>2</v>
      </c>
      <c r="N666" s="12" t="n">
        <v>-4534</v>
      </c>
      <c r="O666" s="13" t="n">
        <v>-0.0498157350732407</v>
      </c>
      <c r="P666" s="15" t="n">
        <v>0.0136130228508984</v>
      </c>
      <c r="Q666" s="13" t="n">
        <v>-0.0540637191907398</v>
      </c>
      <c r="R666" s="15" t="n">
        <v>0.0442122186495177</v>
      </c>
      <c r="S666" s="32" t="n">
        <v>44081305200</v>
      </c>
      <c r="T666" s="15" t="n">
        <v>0.0350597609561754</v>
      </c>
      <c r="U666" s="32" t="n">
        <v>6388175190</v>
      </c>
      <c r="V666" s="14" t="n">
        <v>6.36396446473324</v>
      </c>
      <c r="W666" s="13" t="n">
        <v>0.0196232339089482</v>
      </c>
      <c r="X666" s="15" t="n">
        <v>0.0377213240954581</v>
      </c>
      <c r="Y666" s="13" t="n">
        <v>-0.00192998538265243</v>
      </c>
      <c r="Z666" s="13" t="n">
        <v>0.0104341457419406</v>
      </c>
      <c r="AA666" s="30" t="s">
        <v>97</v>
      </c>
      <c r="AB666" s="28" t="s">
        <v>93</v>
      </c>
      <c r="AC666" s="28" t="s">
        <v>100</v>
      </c>
      <c r="AD666" s="28" t="s">
        <v>107</v>
      </c>
      <c r="AE666" s="28" t="s">
        <v>113</v>
      </c>
      <c r="AF666" s="28" t="s">
        <v>119</v>
      </c>
      <c r="AG666" s="30" t="s">
        <v>122</v>
      </c>
    </row>
    <row r="667" customFormat="false" ht="15" hidden="false" customHeight="false" outlineLevel="0" collapsed="false">
      <c r="A667" s="10" t="n">
        <v>2025</v>
      </c>
      <c r="B667" s="28" t="s">
        <v>74</v>
      </c>
      <c r="C667" s="29" t="n">
        <v>45995</v>
      </c>
      <c r="D667" s="30" t="s">
        <v>128</v>
      </c>
      <c r="E667" s="28" t="s">
        <v>599</v>
      </c>
      <c r="F667" s="30" t="s">
        <v>600</v>
      </c>
      <c r="G667" s="31" t="n">
        <v>61261</v>
      </c>
      <c r="H667" s="31" t="n">
        <v>1</v>
      </c>
      <c r="I667" s="31" t="n">
        <v>61261</v>
      </c>
      <c r="J667" s="29" t="n">
        <v>45999</v>
      </c>
      <c r="K667" s="31" t="n">
        <v>58242</v>
      </c>
      <c r="L667" s="30" t="s">
        <v>32</v>
      </c>
      <c r="M667" s="10" t="n">
        <v>2</v>
      </c>
      <c r="N667" s="12" t="n">
        <v>-3125</v>
      </c>
      <c r="O667" s="13" t="n">
        <v>-0.051007619586296</v>
      </c>
      <c r="P667" s="15" t="n">
        <v>0.0332804450451512</v>
      </c>
      <c r="Q667" s="13" t="n">
        <v>-0.0499696382049322</v>
      </c>
      <c r="R667" s="15" t="n">
        <v>0.0461538461538462</v>
      </c>
      <c r="S667" s="32" t="n">
        <v>43605122400</v>
      </c>
      <c r="T667" s="15" t="n">
        <v>0.0390492359932089</v>
      </c>
      <c r="U667" s="32" t="n">
        <v>12595895565</v>
      </c>
      <c r="V667" s="14" t="n">
        <v>2.95533556859771</v>
      </c>
      <c r="W667" s="13" t="n">
        <v>-0.0192307692307693</v>
      </c>
      <c r="X667" s="15" t="n">
        <v>0.0490196078431373</v>
      </c>
      <c r="Y667" s="13" t="n">
        <v>-0.00192998538265243</v>
      </c>
      <c r="Z667" s="13" t="n">
        <v>0.0104341457419406</v>
      </c>
      <c r="AA667" s="30" t="s">
        <v>97</v>
      </c>
      <c r="AB667" s="28" t="s">
        <v>93</v>
      </c>
      <c r="AC667" s="28" t="s">
        <v>100</v>
      </c>
      <c r="AD667" s="28" t="s">
        <v>107</v>
      </c>
      <c r="AE667" s="28" t="s">
        <v>113</v>
      </c>
      <c r="AF667" s="28" t="s">
        <v>117</v>
      </c>
      <c r="AG667" s="30" t="s">
        <v>123</v>
      </c>
    </row>
    <row r="668" customFormat="false" ht="15" hidden="false" customHeight="false" outlineLevel="0" collapsed="false">
      <c r="A668" s="10" t="n">
        <v>2025</v>
      </c>
      <c r="B668" s="28" t="s">
        <v>74</v>
      </c>
      <c r="C668" s="29" t="n">
        <v>45995</v>
      </c>
      <c r="D668" s="30" t="s">
        <v>128</v>
      </c>
      <c r="E668" s="28" t="s">
        <v>719</v>
      </c>
      <c r="F668" s="30" t="s">
        <v>720</v>
      </c>
      <c r="G668" s="31" t="n">
        <v>86887</v>
      </c>
      <c r="H668" s="31" t="n">
        <v>1</v>
      </c>
      <c r="I668" s="31" t="n">
        <v>86887</v>
      </c>
      <c r="J668" s="29" t="n">
        <v>45996</v>
      </c>
      <c r="K668" s="31" t="n">
        <v>82717</v>
      </c>
      <c r="L668" s="30" t="s">
        <v>32</v>
      </c>
      <c r="M668" s="10" t="n">
        <v>1</v>
      </c>
      <c r="N668" s="12" t="n">
        <v>-4319</v>
      </c>
      <c r="O668" s="13" t="n">
        <v>-0.0497096958341196</v>
      </c>
      <c r="P668" s="15" t="n">
        <v>0.0243213008189969</v>
      </c>
      <c r="Q668" s="13" t="n">
        <v>-0.0539414502548142</v>
      </c>
      <c r="R668" s="15" t="n">
        <v>0.00930232558139532</v>
      </c>
      <c r="S668" s="32" t="n">
        <v>27994996400</v>
      </c>
      <c r="T668" s="15" t="n">
        <v>0.00930232558139532</v>
      </c>
      <c r="U668" s="32" t="n">
        <v>9828017885</v>
      </c>
      <c r="V668" s="14" t="n">
        <v>2.65268833875005</v>
      </c>
      <c r="W668" s="13" t="n">
        <v>-0.0258136924803591</v>
      </c>
      <c r="X668" s="15" t="n">
        <v>0.042626728110599</v>
      </c>
      <c r="Y668" s="13" t="n">
        <v>-0.00192998538265243</v>
      </c>
      <c r="Z668" s="13" t="n">
        <v>0.0104341457419406</v>
      </c>
      <c r="AA668" s="30" t="s">
        <v>97</v>
      </c>
      <c r="AB668" s="28" t="s">
        <v>93</v>
      </c>
      <c r="AC668" s="28" t="s">
        <v>99</v>
      </c>
      <c r="AD668" s="28" t="s">
        <v>106</v>
      </c>
      <c r="AE668" s="28" t="s">
        <v>112</v>
      </c>
      <c r="AF668" s="28" t="s">
        <v>117</v>
      </c>
      <c r="AG668" s="30" t="s">
        <v>123</v>
      </c>
    </row>
    <row r="669" customFormat="false" ht="15" hidden="false" customHeight="false" outlineLevel="0" collapsed="false">
      <c r="A669" s="10" t="n">
        <v>2025</v>
      </c>
      <c r="B669" s="28" t="s">
        <v>74</v>
      </c>
      <c r="C669" s="29" t="n">
        <v>45995</v>
      </c>
      <c r="D669" s="30" t="s">
        <v>128</v>
      </c>
      <c r="E669" s="28" t="s">
        <v>1395</v>
      </c>
      <c r="F669" s="30" t="s">
        <v>1396</v>
      </c>
      <c r="G669" s="31" t="n">
        <v>8258</v>
      </c>
      <c r="H669" s="31" t="n">
        <v>12</v>
      </c>
      <c r="I669" s="31" t="n">
        <v>99099</v>
      </c>
      <c r="J669" s="29" t="n">
        <v>45999</v>
      </c>
      <c r="K669" s="31" t="n">
        <v>7862</v>
      </c>
      <c r="L669" s="30" t="s">
        <v>32</v>
      </c>
      <c r="M669" s="10" t="n">
        <v>2</v>
      </c>
      <c r="N669" s="12" t="n">
        <v>-4924</v>
      </c>
      <c r="O669" s="13" t="n">
        <v>-0.0496874340205251</v>
      </c>
      <c r="P669" s="15" t="n">
        <v>0.0171646535282899</v>
      </c>
      <c r="Q669" s="13" t="n">
        <v>-0.0554899645808736</v>
      </c>
      <c r="R669" s="15" t="n">
        <v>0.0273972602739727</v>
      </c>
      <c r="S669" s="32" t="n">
        <v>25758719250</v>
      </c>
      <c r="T669" s="15" t="n">
        <v>0.0273972602739727</v>
      </c>
      <c r="U669" s="32" t="n">
        <v>11003346185</v>
      </c>
      <c r="V669" s="14" t="n">
        <v>2.16681820479866</v>
      </c>
      <c r="W669" s="13" t="n">
        <v>0.00855745721271384</v>
      </c>
      <c r="X669" s="15" t="n">
        <v>0.0278787878787878</v>
      </c>
      <c r="Y669" s="13" t="n">
        <v>-0.00192998538265243</v>
      </c>
      <c r="Z669" s="13" t="n">
        <v>0.0104341457419406</v>
      </c>
      <c r="AA669" s="30" t="s">
        <v>97</v>
      </c>
      <c r="AB669" s="28" t="s">
        <v>93</v>
      </c>
      <c r="AC669" s="28" t="s">
        <v>99</v>
      </c>
      <c r="AD669" s="28" t="s">
        <v>106</v>
      </c>
      <c r="AE669" s="28" t="s">
        <v>113</v>
      </c>
      <c r="AF669" s="28" t="s">
        <v>117</v>
      </c>
      <c r="AG669" s="30" t="s">
        <v>122</v>
      </c>
    </row>
    <row r="670" customFormat="false" ht="15" hidden="false" customHeight="false" outlineLevel="0" collapsed="false">
      <c r="A670" s="10" t="n">
        <v>2025</v>
      </c>
      <c r="B670" s="28" t="s">
        <v>74</v>
      </c>
      <c r="C670" s="29" t="n">
        <v>45996</v>
      </c>
      <c r="D670" s="30" t="s">
        <v>129</v>
      </c>
      <c r="E670" s="28" t="s">
        <v>385</v>
      </c>
      <c r="F670" s="28" t="s">
        <v>386</v>
      </c>
      <c r="G670" s="31" t="n">
        <v>20571</v>
      </c>
      <c r="H670" s="31" t="n">
        <v>4</v>
      </c>
      <c r="I670" s="31" t="n">
        <v>82282</v>
      </c>
      <c r="J670" s="29"/>
      <c r="K670" s="31"/>
      <c r="L670" s="30" t="s">
        <v>33</v>
      </c>
      <c r="M670" s="10" t="n">
        <v>16</v>
      </c>
      <c r="N670" s="12" t="n">
        <v>722</v>
      </c>
      <c r="O670" s="13" t="n">
        <v>0.0111542958258286</v>
      </c>
      <c r="P670" s="15" t="n">
        <v>0.212899023118001</v>
      </c>
      <c r="Q670" s="13" t="n">
        <v>-0.129337815469202</v>
      </c>
      <c r="R670" s="15" t="n">
        <v>0.0223880597014925</v>
      </c>
      <c r="S670" s="32" t="n">
        <v>38694601950</v>
      </c>
      <c r="T670" s="15" t="n">
        <v>0.0173267326732673</v>
      </c>
      <c r="U670" s="32" t="n">
        <v>22734703142</v>
      </c>
      <c r="V670" s="14" t="n">
        <v>1.61713231047016</v>
      </c>
      <c r="W670" s="13" t="n">
        <v>0.0223880597014925</v>
      </c>
      <c r="X670" s="15" t="n">
        <v>0.0048661800486618</v>
      </c>
      <c r="Y670" s="13" t="n">
        <v>0.0177584268128912</v>
      </c>
      <c r="Z670" s="13" t="n">
        <v>0.0441757351798888</v>
      </c>
      <c r="AA670" s="30" t="s">
        <v>97</v>
      </c>
      <c r="AB670" s="28" t="s">
        <v>93</v>
      </c>
      <c r="AC670" s="28" t="s">
        <v>99</v>
      </c>
      <c r="AD670" s="28" t="s">
        <v>107</v>
      </c>
      <c r="AE670" s="28" t="s">
        <v>112</v>
      </c>
      <c r="AF670" s="28" t="s">
        <v>116</v>
      </c>
      <c r="AG670" s="30" t="s">
        <v>122</v>
      </c>
    </row>
    <row r="671" customFormat="false" ht="15" hidden="false" customHeight="false" outlineLevel="0" collapsed="false">
      <c r="A671" s="10" t="n">
        <v>2025</v>
      </c>
      <c r="B671" s="28" t="s">
        <v>74</v>
      </c>
      <c r="C671" s="29" t="n">
        <v>45996</v>
      </c>
      <c r="D671" s="30" t="s">
        <v>129</v>
      </c>
      <c r="E671" s="28" t="s">
        <v>1471</v>
      </c>
      <c r="F671" s="30" t="s">
        <v>1472</v>
      </c>
      <c r="G671" s="31" t="n">
        <v>19840</v>
      </c>
      <c r="H671" s="31" t="n">
        <v>5</v>
      </c>
      <c r="I671" s="31" t="n">
        <v>99201</v>
      </c>
      <c r="J671" s="29" t="n">
        <v>46009</v>
      </c>
      <c r="K671" s="31" t="n">
        <v>18436</v>
      </c>
      <c r="L671" s="30" t="s">
        <v>32</v>
      </c>
      <c r="M671" s="10" t="n">
        <v>9</v>
      </c>
      <c r="N671" s="12" t="n">
        <v>-7188</v>
      </c>
      <c r="O671" s="13" t="n">
        <v>-0.0724538041285638</v>
      </c>
      <c r="P671" s="15" t="n">
        <v>0.136683828991521</v>
      </c>
      <c r="Q671" s="13" t="n">
        <v>-0.0714413791336868</v>
      </c>
      <c r="R671" s="15" t="n">
        <v>0.0179445350734093</v>
      </c>
      <c r="S671" s="32" t="n">
        <v>20080257600</v>
      </c>
      <c r="T671" s="15" t="n">
        <v>0.0113452188006484</v>
      </c>
      <c r="U671" s="32" t="n">
        <v>4909731150</v>
      </c>
      <c r="V671" s="14" t="n">
        <v>3.79717052097979</v>
      </c>
      <c r="W671" s="13" t="n">
        <v>-0.0444104134762634</v>
      </c>
      <c r="X671" s="15" t="n">
        <v>0.0673076923076923</v>
      </c>
      <c r="Y671" s="13" t="n">
        <v>0.0177584268128912</v>
      </c>
      <c r="Z671" s="13" t="n">
        <v>0.0441757351798888</v>
      </c>
      <c r="AA671" s="30" t="s">
        <v>97</v>
      </c>
      <c r="AB671" s="28" t="s">
        <v>93</v>
      </c>
      <c r="AC671" s="28" t="s">
        <v>99</v>
      </c>
      <c r="AD671" s="28" t="s">
        <v>106</v>
      </c>
      <c r="AE671" s="28" t="s">
        <v>112</v>
      </c>
      <c r="AF671" s="28" t="s">
        <v>118</v>
      </c>
      <c r="AG671" s="30" t="s">
        <v>123</v>
      </c>
    </row>
    <row r="672" customFormat="false" ht="15" hidden="false" customHeight="false" outlineLevel="0" collapsed="false">
      <c r="A672" s="10" t="n">
        <v>2025</v>
      </c>
      <c r="B672" s="28" t="s">
        <v>74</v>
      </c>
      <c r="C672" s="29" t="n">
        <v>45999</v>
      </c>
      <c r="D672" s="30" t="s">
        <v>125</v>
      </c>
      <c r="E672" s="28" t="s">
        <v>449</v>
      </c>
      <c r="F672" s="30" t="s">
        <v>450</v>
      </c>
      <c r="G672" s="31" t="n">
        <v>59559</v>
      </c>
      <c r="H672" s="31" t="n">
        <v>1</v>
      </c>
      <c r="I672" s="31" t="n">
        <v>59559</v>
      </c>
      <c r="J672" s="29" t="n">
        <v>46009</v>
      </c>
      <c r="K672" s="31" t="n">
        <v>56543</v>
      </c>
      <c r="L672" s="30" t="s">
        <v>32</v>
      </c>
      <c r="M672" s="10" t="n">
        <v>8</v>
      </c>
      <c r="N672" s="12" t="n">
        <v>-3118</v>
      </c>
      <c r="O672" s="13" t="n">
        <v>-0.0523565599946271</v>
      </c>
      <c r="P672" s="15" t="n">
        <v>0.166900326564192</v>
      </c>
      <c r="Q672" s="13" t="n">
        <v>-0.0681587320242781</v>
      </c>
      <c r="R672" s="15" t="n">
        <v>0.155339805825243</v>
      </c>
      <c r="S672" s="32" t="n">
        <v>66104321500</v>
      </c>
      <c r="T672" s="15" t="n">
        <v>0.0701438848920863</v>
      </c>
      <c r="U672" s="32" t="n">
        <v>7726206012.5</v>
      </c>
      <c r="V672" s="14" t="n">
        <v>7.49992068019266</v>
      </c>
      <c r="W672" s="13" t="n">
        <v>0.150870406189555</v>
      </c>
      <c r="X672" s="15" t="n">
        <v>0.00504201680672267</v>
      </c>
      <c r="Y672" s="13" t="n">
        <v>0.013365690662309</v>
      </c>
      <c r="Z672" s="13" t="n">
        <v>0.059810681134689</v>
      </c>
      <c r="AA672" s="30" t="s">
        <v>97</v>
      </c>
      <c r="AB672" s="28" t="s">
        <v>93</v>
      </c>
      <c r="AC672" s="28" t="s">
        <v>103</v>
      </c>
      <c r="AD672" s="28" t="s">
        <v>108</v>
      </c>
      <c r="AE672" s="28" t="s">
        <v>101</v>
      </c>
      <c r="AF672" s="28" t="s">
        <v>119</v>
      </c>
      <c r="AG672" s="30" t="s">
        <v>122</v>
      </c>
    </row>
    <row r="673" customFormat="false" ht="15" hidden="false" customHeight="false" outlineLevel="0" collapsed="false">
      <c r="A673" s="10" t="n">
        <v>2025</v>
      </c>
      <c r="B673" s="28" t="s">
        <v>74</v>
      </c>
      <c r="C673" s="29" t="n">
        <v>45999</v>
      </c>
      <c r="D673" s="30" t="s">
        <v>125</v>
      </c>
      <c r="E673" s="28" t="s">
        <v>189</v>
      </c>
      <c r="F673" s="30" t="s">
        <v>190</v>
      </c>
      <c r="G673" s="31" t="n">
        <v>18198</v>
      </c>
      <c r="H673" s="31" t="n">
        <v>5</v>
      </c>
      <c r="I673" s="31" t="n">
        <v>90991</v>
      </c>
      <c r="J673" s="29" t="n">
        <v>46009</v>
      </c>
      <c r="K673" s="31" t="n">
        <v>17293</v>
      </c>
      <c r="L673" s="30" t="s">
        <v>32</v>
      </c>
      <c r="M673" s="10" t="n">
        <v>8</v>
      </c>
      <c r="N673" s="12" t="n">
        <v>-4684</v>
      </c>
      <c r="O673" s="13" t="n">
        <v>-0.0514750741832423</v>
      </c>
      <c r="P673" s="15" t="n">
        <v>0.148466495001149</v>
      </c>
      <c r="Q673" s="13" t="n">
        <v>-0.0521030124990519</v>
      </c>
      <c r="R673" s="15" t="n">
        <v>0.0789317507418397</v>
      </c>
      <c r="S673" s="32" t="n">
        <v>36238121280</v>
      </c>
      <c r="T673" s="15" t="n">
        <v>0.00720221606648197</v>
      </c>
      <c r="U673" s="32" t="n">
        <v>18224376405.5</v>
      </c>
      <c r="V673" s="14" t="n">
        <v>1.79909348359595</v>
      </c>
      <c r="W673" s="13" t="n">
        <v>0.0757396449704142</v>
      </c>
      <c r="X673" s="15" t="n">
        <v>0.00385038503850388</v>
      </c>
      <c r="Y673" s="13" t="n">
        <v>0.013365690662309</v>
      </c>
      <c r="Z673" s="13" t="n">
        <v>0.059810681134689</v>
      </c>
      <c r="AA673" s="30" t="s">
        <v>97</v>
      </c>
      <c r="AB673" s="28" t="s">
        <v>93</v>
      </c>
      <c r="AC673" s="28" t="s">
        <v>101</v>
      </c>
      <c r="AD673" s="28" t="s">
        <v>107</v>
      </c>
      <c r="AE673" s="28" t="s">
        <v>112</v>
      </c>
      <c r="AF673" s="28" t="s">
        <v>116</v>
      </c>
      <c r="AG673" s="30" t="s">
        <v>122</v>
      </c>
    </row>
    <row r="674" customFormat="false" ht="15" hidden="false" customHeight="false" outlineLevel="0" collapsed="false">
      <c r="A674" s="10" t="n">
        <v>2025</v>
      </c>
      <c r="B674" s="28" t="s">
        <v>74</v>
      </c>
      <c r="C674" s="29" t="n">
        <v>46000</v>
      </c>
      <c r="D674" s="30" t="s">
        <v>126</v>
      </c>
      <c r="E674" s="28" t="s">
        <v>591</v>
      </c>
      <c r="F674" s="30" t="s">
        <v>592</v>
      </c>
      <c r="G674" s="31" t="n">
        <v>27077</v>
      </c>
      <c r="H674" s="31" t="n">
        <v>3</v>
      </c>
      <c r="I674" s="31" t="n">
        <v>81231</v>
      </c>
      <c r="J674" s="29" t="n">
        <v>46002</v>
      </c>
      <c r="K674" s="31" t="n">
        <v>25774</v>
      </c>
      <c r="L674" s="30" t="s">
        <v>32</v>
      </c>
      <c r="M674" s="10" t="n">
        <v>2</v>
      </c>
      <c r="N674" s="12" t="n">
        <v>-4048</v>
      </c>
      <c r="O674" s="13" t="n">
        <v>-0.0498370017228611</v>
      </c>
      <c r="P674" s="15" t="n">
        <v>-0.00838533001194719</v>
      </c>
      <c r="Q674" s="13" t="n">
        <v>-0.0490101395831524</v>
      </c>
      <c r="R674" s="15" t="n">
        <v>0.0444015444015444</v>
      </c>
      <c r="S674" s="32" t="n">
        <v>224359056750</v>
      </c>
      <c r="T674" s="15" t="n">
        <v>0.0207547169811322</v>
      </c>
      <c r="U674" s="32" t="n">
        <v>89283018920</v>
      </c>
      <c r="V674" s="14" t="n">
        <v>2.37545561152051</v>
      </c>
      <c r="W674" s="13" t="n">
        <v>0.0484496124031009</v>
      </c>
      <c r="X674" s="15" t="n">
        <v>0.0110905730129389</v>
      </c>
      <c r="Y674" s="13" t="n">
        <v>-0.00271971310636976</v>
      </c>
      <c r="Z674" s="13" t="n">
        <v>0.0372021537298526</v>
      </c>
      <c r="AA674" s="30" t="s">
        <v>97</v>
      </c>
      <c r="AB674" s="28" t="s">
        <v>93</v>
      </c>
      <c r="AC674" s="28" t="s">
        <v>100</v>
      </c>
      <c r="AD674" s="28" t="s">
        <v>110</v>
      </c>
      <c r="AE674" s="28" t="s">
        <v>113</v>
      </c>
      <c r="AF674" s="28" t="s">
        <v>117</v>
      </c>
      <c r="AG674" s="30" t="s">
        <v>122</v>
      </c>
    </row>
    <row r="675" customFormat="false" ht="15" hidden="false" customHeight="false" outlineLevel="0" collapsed="false">
      <c r="A675" s="10" t="n">
        <v>2025</v>
      </c>
      <c r="B675" s="28" t="s">
        <v>74</v>
      </c>
      <c r="C675" s="29" t="n">
        <v>46000</v>
      </c>
      <c r="D675" s="30" t="s">
        <v>126</v>
      </c>
      <c r="E675" s="28" t="s">
        <v>489</v>
      </c>
      <c r="F675" s="30" t="s">
        <v>490</v>
      </c>
      <c r="G675" s="31" t="n">
        <v>46446</v>
      </c>
      <c r="H675" s="31" t="n">
        <v>2</v>
      </c>
      <c r="I675" s="31" t="n">
        <v>92893</v>
      </c>
      <c r="J675" s="29" t="n">
        <v>46002</v>
      </c>
      <c r="K675" s="31" t="n">
        <v>44206</v>
      </c>
      <c r="L675" s="30" t="s">
        <v>32</v>
      </c>
      <c r="M675" s="10" t="n">
        <v>2</v>
      </c>
      <c r="N675" s="12" t="n">
        <v>-4641</v>
      </c>
      <c r="O675" s="13" t="n">
        <v>-0.0499620303726446</v>
      </c>
      <c r="P675" s="15" t="n">
        <v>0.0173016638533881</v>
      </c>
      <c r="Q675" s="13" t="n">
        <v>-0.0505184470701711</v>
      </c>
      <c r="R675" s="15" t="n">
        <v>0.0605714285714285</v>
      </c>
      <c r="S675" s="32" t="n">
        <v>85389409600</v>
      </c>
      <c r="T675" s="15" t="n">
        <v>0.045045045045045</v>
      </c>
      <c r="U675" s="32" t="n">
        <v>38948106140</v>
      </c>
      <c r="V675" s="14" t="n">
        <v>2.00436108797714</v>
      </c>
      <c r="W675" s="13" t="n">
        <v>0.0605714285714285</v>
      </c>
      <c r="X675" s="15" t="n">
        <v>0.0183189655172413</v>
      </c>
      <c r="Y675" s="13" t="n">
        <v>-0.00271971310636976</v>
      </c>
      <c r="Z675" s="13" t="n">
        <v>0.0372021537298526</v>
      </c>
      <c r="AA675" s="30" t="s">
        <v>97</v>
      </c>
      <c r="AB675" s="28" t="s">
        <v>93</v>
      </c>
      <c r="AC675" s="28" t="s">
        <v>101</v>
      </c>
      <c r="AD675" s="28" t="s">
        <v>108</v>
      </c>
      <c r="AE675" s="28" t="s">
        <v>113</v>
      </c>
      <c r="AF675" s="28" t="s">
        <v>117</v>
      </c>
      <c r="AG675" s="30" t="s">
        <v>122</v>
      </c>
    </row>
    <row r="676" customFormat="false" ht="15" hidden="false" customHeight="false" outlineLevel="0" collapsed="false">
      <c r="A676" s="10" t="n">
        <v>2025</v>
      </c>
      <c r="B676" s="28" t="s">
        <v>74</v>
      </c>
      <c r="C676" s="29" t="n">
        <v>46000</v>
      </c>
      <c r="D676" s="30" t="s">
        <v>126</v>
      </c>
      <c r="E676" s="28" t="s">
        <v>733</v>
      </c>
      <c r="F676" s="28" t="s">
        <v>734</v>
      </c>
      <c r="G676" s="31" t="n">
        <v>90290</v>
      </c>
      <c r="H676" s="31" t="n">
        <v>1</v>
      </c>
      <c r="I676" s="31" t="n">
        <v>90290</v>
      </c>
      <c r="J676" s="29" t="n">
        <v>46001</v>
      </c>
      <c r="K676" s="31" t="n">
        <v>85914</v>
      </c>
      <c r="L676" s="30" t="s">
        <v>32</v>
      </c>
      <c r="M676" s="10" t="n">
        <v>1</v>
      </c>
      <c r="N676" s="12" t="n">
        <v>-4532</v>
      </c>
      <c r="O676" s="13" t="n">
        <v>-0.0501881890836436</v>
      </c>
      <c r="P676" s="15" t="n">
        <v>-0.00321408081940233</v>
      </c>
      <c r="Q676" s="13" t="n">
        <v>-0.0486232171376295</v>
      </c>
      <c r="R676" s="15" t="n">
        <v>0.0973236009732361</v>
      </c>
      <c r="S676" s="32" t="n">
        <v>56224366000</v>
      </c>
      <c r="T676" s="15" t="n">
        <v>0.0738095238095238</v>
      </c>
      <c r="U676" s="32" t="n">
        <v>20127151800</v>
      </c>
      <c r="V676" s="14" t="n">
        <v>2.50791859413647</v>
      </c>
      <c r="W676" s="13" t="n">
        <v>0.109471094710947</v>
      </c>
      <c r="X676" s="15" t="n">
        <v>0.00110864745011097</v>
      </c>
      <c r="Y676" s="13" t="n">
        <v>-0.00271971310636976</v>
      </c>
      <c r="Z676" s="13" t="n">
        <v>0.0372021537298526</v>
      </c>
      <c r="AA676" s="30" t="s">
        <v>97</v>
      </c>
      <c r="AB676" s="28" t="s">
        <v>93</v>
      </c>
      <c r="AC676" s="28" t="s">
        <v>101</v>
      </c>
      <c r="AD676" s="28" t="s">
        <v>108</v>
      </c>
      <c r="AE676" s="28" t="s">
        <v>101</v>
      </c>
      <c r="AF676" s="28" t="s">
        <v>117</v>
      </c>
      <c r="AG676" s="30" t="s">
        <v>122</v>
      </c>
    </row>
    <row r="677" customFormat="false" ht="15" hidden="false" customHeight="false" outlineLevel="0" collapsed="false">
      <c r="A677" s="10" t="n">
        <v>2025</v>
      </c>
      <c r="B677" s="28" t="s">
        <v>74</v>
      </c>
      <c r="C677" s="29" t="n">
        <v>46000</v>
      </c>
      <c r="D677" s="30" t="s">
        <v>126</v>
      </c>
      <c r="E677" s="28" t="s">
        <v>1473</v>
      </c>
      <c r="F677" s="30" t="s">
        <v>1474</v>
      </c>
      <c r="G677" s="31" t="n">
        <v>5135</v>
      </c>
      <c r="H677" s="31" t="n">
        <v>19</v>
      </c>
      <c r="I677" s="31" t="n">
        <v>97567</v>
      </c>
      <c r="J677" s="29" t="n">
        <v>46001</v>
      </c>
      <c r="K677" s="31" t="n">
        <v>4885</v>
      </c>
      <c r="L677" s="30" t="s">
        <v>32</v>
      </c>
      <c r="M677" s="10" t="n">
        <v>1</v>
      </c>
      <c r="N677" s="12" t="n">
        <v>-4918</v>
      </c>
      <c r="O677" s="13" t="n">
        <v>-0.0504078184972922</v>
      </c>
      <c r="P677" s="15" t="n">
        <v>0.0145799619483831</v>
      </c>
      <c r="Q677" s="13" t="n">
        <v>-0.0564990564990564</v>
      </c>
      <c r="R677" s="15" t="n">
        <v>0.163265306122449</v>
      </c>
      <c r="S677" s="32" t="n">
        <v>31108345650</v>
      </c>
      <c r="T677" s="15" t="n">
        <v>0.0643153526970954</v>
      </c>
      <c r="U677" s="32" t="n">
        <v>7454864614.25</v>
      </c>
      <c r="V677" s="14" t="n">
        <v>3.70212056729578</v>
      </c>
      <c r="W677" s="13" t="n">
        <v>0.164585698070375</v>
      </c>
      <c r="X677" s="15" t="n">
        <v>0.00389863547758296</v>
      </c>
      <c r="Y677" s="13" t="n">
        <v>-0.00271971310636976</v>
      </c>
      <c r="Z677" s="13" t="n">
        <v>0.0372021537298526</v>
      </c>
      <c r="AA677" s="30" t="s">
        <v>97</v>
      </c>
      <c r="AB677" s="28" t="s">
        <v>93</v>
      </c>
      <c r="AC677" s="28" t="s">
        <v>103</v>
      </c>
      <c r="AD677" s="28" t="s">
        <v>107</v>
      </c>
      <c r="AE677" s="28" t="s">
        <v>101</v>
      </c>
      <c r="AF677" s="28" t="s">
        <v>118</v>
      </c>
      <c r="AG677" s="30" t="s">
        <v>122</v>
      </c>
    </row>
    <row r="678" customFormat="false" ht="15" hidden="false" customHeight="false" outlineLevel="0" collapsed="false">
      <c r="A678" s="10" t="n">
        <v>2025</v>
      </c>
      <c r="B678" s="28" t="s">
        <v>74</v>
      </c>
      <c r="C678" s="29" t="n">
        <v>46000</v>
      </c>
      <c r="D678" s="30" t="s">
        <v>126</v>
      </c>
      <c r="E678" s="28" t="s">
        <v>805</v>
      </c>
      <c r="F678" s="28" t="s">
        <v>806</v>
      </c>
      <c r="G678" s="31" t="n">
        <v>21121</v>
      </c>
      <c r="H678" s="31" t="n">
        <v>4</v>
      </c>
      <c r="I678" s="31" t="n">
        <v>84484</v>
      </c>
      <c r="J678" s="29" t="n">
        <v>46002</v>
      </c>
      <c r="K678" s="31" t="n">
        <v>20080</v>
      </c>
      <c r="L678" s="30" t="s">
        <v>32</v>
      </c>
      <c r="M678" s="10" t="n">
        <v>2</v>
      </c>
      <c r="N678" s="12" t="n">
        <v>-4310</v>
      </c>
      <c r="O678" s="13" t="n">
        <v>-0.051015335375525</v>
      </c>
      <c r="P678" s="15" t="n">
        <v>0.00136829994649901</v>
      </c>
      <c r="Q678" s="13" t="n">
        <v>-0.0483450199090009</v>
      </c>
      <c r="R678" s="15" t="n">
        <v>0.0926980838943552</v>
      </c>
      <c r="S678" s="32" t="n">
        <v>25257670600</v>
      </c>
      <c r="T678" s="15" t="n">
        <v>0.0368550368550369</v>
      </c>
      <c r="U678" s="32" t="n">
        <v>8506626702</v>
      </c>
      <c r="V678" s="14" t="n">
        <v>2.69172490549249</v>
      </c>
      <c r="W678" s="13" t="n">
        <v>0.0726995424504322</v>
      </c>
      <c r="X678" s="15" t="n">
        <v>0.0118483412322274</v>
      </c>
      <c r="Y678" s="13" t="n">
        <v>-0.00271971310636976</v>
      </c>
      <c r="Z678" s="13" t="n">
        <v>0.0372021537298526</v>
      </c>
      <c r="AA678" s="30" t="s">
        <v>97</v>
      </c>
      <c r="AB678" s="28" t="s">
        <v>93</v>
      </c>
      <c r="AC678" s="28" t="s">
        <v>101</v>
      </c>
      <c r="AD678" s="28" t="s">
        <v>106</v>
      </c>
      <c r="AE678" s="28" t="s">
        <v>113</v>
      </c>
      <c r="AF678" s="28" t="s">
        <v>117</v>
      </c>
      <c r="AG678" s="30" t="s">
        <v>122</v>
      </c>
    </row>
    <row r="679" customFormat="false" ht="15" hidden="false" customHeight="false" outlineLevel="0" collapsed="false">
      <c r="A679" s="10" t="n">
        <v>2025</v>
      </c>
      <c r="B679" s="28" t="s">
        <v>74</v>
      </c>
      <c r="C679" s="29" t="n">
        <v>46001</v>
      </c>
      <c r="D679" s="30" t="s">
        <v>127</v>
      </c>
      <c r="E679" s="28" t="s">
        <v>833</v>
      </c>
      <c r="F679" s="30" t="s">
        <v>834</v>
      </c>
      <c r="G679" s="31" t="n">
        <v>7167</v>
      </c>
      <c r="H679" s="31" t="n">
        <v>13</v>
      </c>
      <c r="I679" s="31" t="n">
        <v>93173</v>
      </c>
      <c r="J679" s="29" t="n">
        <v>46007</v>
      </c>
      <c r="K679" s="31" t="n">
        <v>6823</v>
      </c>
      <c r="L679" s="30" t="s">
        <v>32</v>
      </c>
      <c r="M679" s="10" t="n">
        <v>4</v>
      </c>
      <c r="N679" s="12" t="n">
        <v>-4632</v>
      </c>
      <c r="O679" s="13" t="n">
        <v>-0.0497161085422955</v>
      </c>
      <c r="P679" s="15" t="n">
        <v>0.0450443411337267</v>
      </c>
      <c r="Q679" s="13" t="n">
        <v>-0.0902951796806544</v>
      </c>
      <c r="R679" s="15" t="n">
        <v>0.110077519379845</v>
      </c>
      <c r="S679" s="32" t="n">
        <v>120176031920</v>
      </c>
      <c r="T679" s="15" t="n">
        <v>0.0156028368794325</v>
      </c>
      <c r="U679" s="32" t="n">
        <v>17599769628.5</v>
      </c>
      <c r="V679" s="14" t="n">
        <v>6.47302428972731</v>
      </c>
      <c r="W679" s="13" t="n">
        <v>0.110077519379845</v>
      </c>
      <c r="X679" s="15" t="n">
        <v>0.01536312849162</v>
      </c>
      <c r="Y679" s="13" t="n">
        <v>-0.00206344800955705</v>
      </c>
      <c r="Z679" s="13" t="n">
        <v>0.0244530882243639</v>
      </c>
      <c r="AA679" s="30" t="s">
        <v>97</v>
      </c>
      <c r="AB679" s="28" t="s">
        <v>93</v>
      </c>
      <c r="AC679" s="28" t="s">
        <v>102</v>
      </c>
      <c r="AD679" s="28" t="s">
        <v>109</v>
      </c>
      <c r="AE679" s="28" t="s">
        <v>112</v>
      </c>
      <c r="AF679" s="28" t="s">
        <v>119</v>
      </c>
      <c r="AG679" s="30" t="s">
        <v>122</v>
      </c>
    </row>
    <row r="680" customFormat="false" ht="15" hidden="false" customHeight="false" outlineLevel="0" collapsed="false">
      <c r="A680" s="10" t="n">
        <v>2025</v>
      </c>
      <c r="B680" s="28" t="s">
        <v>74</v>
      </c>
      <c r="C680" s="29" t="n">
        <v>46001</v>
      </c>
      <c r="D680" s="30" t="s">
        <v>127</v>
      </c>
      <c r="E680" s="28" t="s">
        <v>827</v>
      </c>
      <c r="F680" s="30" t="s">
        <v>828</v>
      </c>
      <c r="G680" s="31" t="n">
        <v>9710</v>
      </c>
      <c r="H680" s="31" t="n">
        <v>10</v>
      </c>
      <c r="I680" s="31" t="n">
        <v>97097</v>
      </c>
      <c r="J680" s="29" t="n">
        <v>46008</v>
      </c>
      <c r="K680" s="31" t="n">
        <v>9241</v>
      </c>
      <c r="L680" s="30" t="s">
        <v>32</v>
      </c>
      <c r="M680" s="10" t="n">
        <v>5</v>
      </c>
      <c r="N680" s="12" t="n">
        <v>-4857</v>
      </c>
      <c r="O680" s="13" t="n">
        <v>-0.0500173736057756</v>
      </c>
      <c r="P680" s="15" t="n">
        <v>0.070063956661895</v>
      </c>
      <c r="Q680" s="13" t="n">
        <v>-0.0607330813516379</v>
      </c>
      <c r="R680" s="15" t="n">
        <v>0.0777777777777777</v>
      </c>
      <c r="S680" s="32" t="n">
        <v>26220797500</v>
      </c>
      <c r="T680" s="15" t="n">
        <v>0.00103199174406599</v>
      </c>
      <c r="U680" s="32" t="n">
        <v>6543232555.5</v>
      </c>
      <c r="V680" s="14" t="n">
        <v>3.7100679689036</v>
      </c>
      <c r="W680" s="13" t="n">
        <v>0.0543478260869565</v>
      </c>
      <c r="X680" s="15" t="n">
        <v>0.0360824742268042</v>
      </c>
      <c r="Y680" s="13" t="n">
        <v>-0.00206344800955705</v>
      </c>
      <c r="Z680" s="13" t="n">
        <v>0.0244530882243639</v>
      </c>
      <c r="AA680" s="30" t="s">
        <v>97</v>
      </c>
      <c r="AB680" s="28" t="s">
        <v>93</v>
      </c>
      <c r="AC680" s="28" t="s">
        <v>101</v>
      </c>
      <c r="AD680" s="28" t="s">
        <v>106</v>
      </c>
      <c r="AE680" s="28" t="s">
        <v>112</v>
      </c>
      <c r="AF680" s="28" t="s">
        <v>118</v>
      </c>
      <c r="AG680" s="30" t="s">
        <v>122</v>
      </c>
    </row>
    <row r="681" customFormat="false" ht="15" hidden="false" customHeight="false" outlineLevel="0" collapsed="false">
      <c r="A681" s="10" t="n">
        <v>2025</v>
      </c>
      <c r="B681" s="28" t="s">
        <v>74</v>
      </c>
      <c r="C681" s="29" t="n">
        <v>46003</v>
      </c>
      <c r="D681" s="30" t="s">
        <v>129</v>
      </c>
      <c r="E681" s="28" t="s">
        <v>731</v>
      </c>
      <c r="F681" s="28" t="s">
        <v>732</v>
      </c>
      <c r="G681" s="31" t="n">
        <v>24224</v>
      </c>
      <c r="H681" s="31" t="n">
        <v>4</v>
      </c>
      <c r="I681" s="31" t="n">
        <v>96897</v>
      </c>
      <c r="J681" s="29" t="n">
        <v>46006</v>
      </c>
      <c r="K681" s="31" t="n">
        <v>23027</v>
      </c>
      <c r="L681" s="30" t="s">
        <v>32</v>
      </c>
      <c r="M681" s="10" t="n">
        <v>1</v>
      </c>
      <c r="N681" s="12" t="n">
        <v>-4956</v>
      </c>
      <c r="O681" s="13" t="n">
        <v>-0.0511421676464031</v>
      </c>
      <c r="P681" s="15" t="n">
        <v>0.0134493605567987</v>
      </c>
      <c r="Q681" s="13" t="n">
        <v>-0.0629205505238561</v>
      </c>
      <c r="R681" s="15" t="n">
        <v>0.0975056689342404</v>
      </c>
      <c r="S681" s="32" t="n">
        <v>100944782400</v>
      </c>
      <c r="T681" s="15" t="n">
        <v>0.00207039337474124</v>
      </c>
      <c r="U681" s="32" t="n">
        <v>38957104755</v>
      </c>
      <c r="V681" s="14" t="n">
        <v>2.37710713016112</v>
      </c>
      <c r="W681" s="13" t="n">
        <v>0.0803571428571428</v>
      </c>
      <c r="X681" s="15" t="n">
        <v>0.00826446280991733</v>
      </c>
      <c r="Y681" s="13" t="n">
        <v>0.0137546160919764</v>
      </c>
      <c r="Z681" s="13" t="n">
        <v>0.0163680930720356</v>
      </c>
      <c r="AA681" s="30" t="s">
        <v>97</v>
      </c>
      <c r="AB681" s="28" t="s">
        <v>93</v>
      </c>
      <c r="AC681" s="28" t="s">
        <v>101</v>
      </c>
      <c r="AD681" s="28" t="s">
        <v>109</v>
      </c>
      <c r="AE681" s="28" t="s">
        <v>112</v>
      </c>
      <c r="AF681" s="28" t="s">
        <v>117</v>
      </c>
      <c r="AG681" s="30" t="s">
        <v>122</v>
      </c>
    </row>
    <row r="682" customFormat="false" ht="15" hidden="false" customHeight="false" outlineLevel="0" collapsed="false">
      <c r="A682" s="10" t="n">
        <v>2025</v>
      </c>
      <c r="B682" s="28" t="s">
        <v>74</v>
      </c>
      <c r="C682" s="29" t="n">
        <v>46003</v>
      </c>
      <c r="D682" s="30" t="s">
        <v>129</v>
      </c>
      <c r="E682" s="28" t="s">
        <v>335</v>
      </c>
      <c r="F682" s="30" t="s">
        <v>336</v>
      </c>
      <c r="G682" s="31" t="n">
        <v>5856</v>
      </c>
      <c r="H682" s="31" t="n">
        <v>17</v>
      </c>
      <c r="I682" s="31" t="n">
        <v>99549</v>
      </c>
      <c r="J682" s="29" t="n">
        <v>46008</v>
      </c>
      <c r="K682" s="31" t="n">
        <v>5574</v>
      </c>
      <c r="L682" s="30" t="s">
        <v>32</v>
      </c>
      <c r="M682" s="10" t="n">
        <v>3</v>
      </c>
      <c r="N682" s="12" t="n">
        <v>-4956</v>
      </c>
      <c r="O682" s="13" t="n">
        <v>-0.0497803342811035</v>
      </c>
      <c r="P682" s="15" t="n">
        <v>0.137324214247291</v>
      </c>
      <c r="Q682" s="13" t="n">
        <v>-0.0573529035067496</v>
      </c>
      <c r="R682" s="15" t="n">
        <v>0.0483870967741935</v>
      </c>
      <c r="S682" s="32" t="n">
        <v>92980110600</v>
      </c>
      <c r="T682" s="15" t="n">
        <v>0.00862068965517238</v>
      </c>
      <c r="U682" s="32" t="n">
        <v>48679515410.5</v>
      </c>
      <c r="V682" s="14" t="n">
        <v>1.76752577095168</v>
      </c>
      <c r="W682" s="13" t="n">
        <v>0.0483870967741935</v>
      </c>
      <c r="X682" s="15" t="n">
        <v>0.0153846153846153</v>
      </c>
      <c r="Y682" s="13" t="n">
        <v>0.0137546160919764</v>
      </c>
      <c r="Z682" s="13" t="n">
        <v>0.0163680930720356</v>
      </c>
      <c r="AA682" s="30" t="s">
        <v>97</v>
      </c>
      <c r="AB682" s="28" t="s">
        <v>93</v>
      </c>
      <c r="AC682" s="28" t="s">
        <v>100</v>
      </c>
      <c r="AD682" s="28" t="s">
        <v>108</v>
      </c>
      <c r="AE682" s="28" t="s">
        <v>112</v>
      </c>
      <c r="AF682" s="28" t="s">
        <v>116</v>
      </c>
      <c r="AG682" s="30" t="s">
        <v>122</v>
      </c>
    </row>
    <row r="683" customFormat="false" ht="15" hidden="false" customHeight="false" outlineLevel="0" collapsed="false">
      <c r="A683" s="10" t="n">
        <v>2025</v>
      </c>
      <c r="B683" s="28" t="s">
        <v>74</v>
      </c>
      <c r="C683" s="29" t="n">
        <v>46003</v>
      </c>
      <c r="D683" s="30" t="s">
        <v>129</v>
      </c>
      <c r="E683" s="28" t="s">
        <v>209</v>
      </c>
      <c r="F683" s="30" t="s">
        <v>210</v>
      </c>
      <c r="G683" s="31" t="n">
        <v>60460</v>
      </c>
      <c r="H683" s="31" t="n">
        <v>1</v>
      </c>
      <c r="I683" s="31" t="n">
        <v>60460</v>
      </c>
      <c r="J683" s="29" t="n">
        <v>46006</v>
      </c>
      <c r="K683" s="31" t="n">
        <v>57542</v>
      </c>
      <c r="L683" s="30" t="s">
        <v>32</v>
      </c>
      <c r="M683" s="10" t="n">
        <v>1</v>
      </c>
      <c r="N683" s="12" t="n">
        <v>-3022</v>
      </c>
      <c r="O683" s="13" t="n">
        <v>-0.049983361340646</v>
      </c>
      <c r="P683" s="15" t="n">
        <v>-0.0225006781298172</v>
      </c>
      <c r="Q683" s="13" t="n">
        <v>-0.0655040323914495</v>
      </c>
      <c r="R683" s="15" t="n">
        <v>0.0633802816901408</v>
      </c>
      <c r="S683" s="32" t="n">
        <v>92516914800</v>
      </c>
      <c r="T683" s="15" t="n">
        <v>0.0168350168350169</v>
      </c>
      <c r="U683" s="32" t="n">
        <v>38473216470</v>
      </c>
      <c r="V683" s="14" t="n">
        <v>2.21285513971841</v>
      </c>
      <c r="W683" s="13" t="n">
        <v>0.0486111111111112</v>
      </c>
      <c r="X683" s="15" t="n">
        <v>0.00827814569536423</v>
      </c>
      <c r="Y683" s="13" t="n">
        <v>0.0137546160919764</v>
      </c>
      <c r="Z683" s="13" t="n">
        <v>0.0163680930720356</v>
      </c>
      <c r="AA683" s="30" t="s">
        <v>97</v>
      </c>
      <c r="AB683" s="28" t="s">
        <v>93</v>
      </c>
      <c r="AC683" s="28" t="s">
        <v>101</v>
      </c>
      <c r="AD683" s="28" t="s">
        <v>108</v>
      </c>
      <c r="AE683" s="28" t="s">
        <v>112</v>
      </c>
      <c r="AF683" s="28" t="s">
        <v>117</v>
      </c>
      <c r="AG683" s="30" t="s">
        <v>122</v>
      </c>
    </row>
    <row r="684" customFormat="false" ht="15" hidden="false" customHeight="false" outlineLevel="0" collapsed="false">
      <c r="A684" s="10" t="n">
        <v>2025</v>
      </c>
      <c r="B684" s="28" t="s">
        <v>74</v>
      </c>
      <c r="C684" s="29" t="n">
        <v>46003</v>
      </c>
      <c r="D684" s="30" t="s">
        <v>129</v>
      </c>
      <c r="E684" s="28" t="s">
        <v>1475</v>
      </c>
      <c r="F684" s="30" t="s">
        <v>1476</v>
      </c>
      <c r="G684" s="31" t="n">
        <v>58058</v>
      </c>
      <c r="H684" s="31" t="n">
        <v>1</v>
      </c>
      <c r="I684" s="31" t="n">
        <v>58058</v>
      </c>
      <c r="J684" s="29" t="n">
        <v>46014</v>
      </c>
      <c r="K684" s="31" t="n">
        <v>69700</v>
      </c>
      <c r="L684" s="30" t="s">
        <v>31</v>
      </c>
      <c r="M684" s="10" t="n">
        <v>7</v>
      </c>
      <c r="N684" s="12" t="n">
        <v>11518</v>
      </c>
      <c r="O684" s="13" t="n">
        <v>0.198392750353095</v>
      </c>
      <c r="P684" s="15" t="n">
        <v>0.200523614316718</v>
      </c>
      <c r="Q684" s="13" t="n">
        <v>-0.042336973371456</v>
      </c>
      <c r="R684" s="15" t="n">
        <v>0.12621359223301</v>
      </c>
      <c r="S684" s="32" t="n">
        <v>27669422000</v>
      </c>
      <c r="T684" s="15" t="n">
        <v>0.0017271157167531</v>
      </c>
      <c r="U684" s="32" t="n">
        <v>5073815540</v>
      </c>
      <c r="V684" s="14" t="n">
        <v>4.8005623107874</v>
      </c>
      <c r="W684" s="13" t="n">
        <v>0.0922787193973635</v>
      </c>
      <c r="X684" s="15" t="n">
        <v>0.0275862068965518</v>
      </c>
      <c r="Y684" s="13" t="n">
        <v>0.0137546160919764</v>
      </c>
      <c r="Z684" s="13" t="n">
        <v>0.0163680930720356</v>
      </c>
      <c r="AA684" s="30" t="s">
        <v>97</v>
      </c>
      <c r="AB684" s="28" t="s">
        <v>93</v>
      </c>
      <c r="AC684" s="28" t="s">
        <v>102</v>
      </c>
      <c r="AD684" s="28" t="s">
        <v>106</v>
      </c>
      <c r="AE684" s="28" t="s">
        <v>112</v>
      </c>
      <c r="AF684" s="28" t="s">
        <v>118</v>
      </c>
      <c r="AG684" s="30" t="s">
        <v>122</v>
      </c>
    </row>
    <row r="685" customFormat="false" ht="15" hidden="false" customHeight="false" outlineLevel="0" collapsed="false">
      <c r="A685" s="10" t="n">
        <v>2025</v>
      </c>
      <c r="B685" s="28" t="s">
        <v>74</v>
      </c>
      <c r="C685" s="29" t="n">
        <v>46003</v>
      </c>
      <c r="D685" s="30" t="s">
        <v>129</v>
      </c>
      <c r="E685" s="28" t="s">
        <v>607</v>
      </c>
      <c r="F685" s="30" t="s">
        <v>608</v>
      </c>
      <c r="G685" s="31" t="n">
        <v>4049</v>
      </c>
      <c r="H685" s="31" t="n">
        <v>24</v>
      </c>
      <c r="I685" s="31" t="n">
        <v>97177</v>
      </c>
      <c r="J685" s="29" t="n">
        <v>46007</v>
      </c>
      <c r="K685" s="31" t="n">
        <v>3851</v>
      </c>
      <c r="L685" s="30" t="s">
        <v>32</v>
      </c>
      <c r="M685" s="10" t="n">
        <v>2</v>
      </c>
      <c r="N685" s="12" t="n">
        <v>-4917</v>
      </c>
      <c r="O685" s="13" t="n">
        <v>-0.050595077604719</v>
      </c>
      <c r="P685" s="15" t="n">
        <v>-0.0232264645120022</v>
      </c>
      <c r="Q685" s="13" t="n">
        <v>-0.0837345596307276</v>
      </c>
      <c r="R685" s="15" t="n">
        <v>0.0201765447667086</v>
      </c>
      <c r="S685" s="32" t="n">
        <v>24754497965</v>
      </c>
      <c r="T685" s="15" t="n">
        <v>0.00621890547263693</v>
      </c>
      <c r="U685" s="32" t="n">
        <v>15555802893.75</v>
      </c>
      <c r="V685" s="14" t="n">
        <v>1.52660175545643</v>
      </c>
      <c r="W685" s="13" t="n">
        <v>0.00747198007471983</v>
      </c>
      <c r="X685" s="15" t="n">
        <v>0.00494437577255869</v>
      </c>
      <c r="Y685" s="13" t="n">
        <v>0.0137546160919764</v>
      </c>
      <c r="Z685" s="13" t="n">
        <v>0.0163680930720356</v>
      </c>
      <c r="AA685" s="30" t="s">
        <v>97</v>
      </c>
      <c r="AB685" s="28" t="s">
        <v>93</v>
      </c>
      <c r="AC685" s="28" t="s">
        <v>99</v>
      </c>
      <c r="AD685" s="28" t="s">
        <v>106</v>
      </c>
      <c r="AE685" s="28" t="s">
        <v>112</v>
      </c>
      <c r="AF685" s="28" t="s">
        <v>116</v>
      </c>
      <c r="AG685" s="30" t="s">
        <v>122</v>
      </c>
    </row>
    <row r="686" customFormat="false" ht="15" hidden="false" customHeight="false" outlineLevel="0" collapsed="false">
      <c r="A686" s="10" t="n">
        <v>2025</v>
      </c>
      <c r="B686" s="28" t="s">
        <v>74</v>
      </c>
      <c r="C686" s="29" t="n">
        <v>46006</v>
      </c>
      <c r="D686" s="30" t="s">
        <v>125</v>
      </c>
      <c r="E686" s="28" t="s">
        <v>777</v>
      </c>
      <c r="F686" s="28" t="s">
        <v>778</v>
      </c>
      <c r="G686" s="31" t="n">
        <v>20220</v>
      </c>
      <c r="H686" s="31" t="n">
        <v>4</v>
      </c>
      <c r="I686" s="31" t="n">
        <v>80881</v>
      </c>
      <c r="J686" s="29" t="n">
        <v>46017</v>
      </c>
      <c r="K686" s="31" t="n">
        <v>19241</v>
      </c>
      <c r="L686" s="30" t="s">
        <v>32</v>
      </c>
      <c r="M686" s="10" t="n">
        <v>8</v>
      </c>
      <c r="N686" s="12" t="n">
        <v>-4057</v>
      </c>
      <c r="O686" s="13" t="n">
        <v>-0.0501597536621792</v>
      </c>
      <c r="P686" s="15" t="n">
        <v>0.0360926202510363</v>
      </c>
      <c r="Q686" s="13" t="n">
        <v>-0.0504544959990503</v>
      </c>
      <c r="R686" s="15" t="n">
        <v>0.0130391173520561</v>
      </c>
      <c r="S686" s="32" t="n">
        <v>22223777400</v>
      </c>
      <c r="T686" s="15" t="n">
        <v>0.0130391173520561</v>
      </c>
      <c r="U686" s="32" t="n">
        <v>12702247031</v>
      </c>
      <c r="V686" s="14" t="n">
        <v>1.63085800050029</v>
      </c>
      <c r="W686" s="13" t="n">
        <v>0.0202020202020201</v>
      </c>
      <c r="X686" s="15" t="n">
        <v>0.0123762376237624</v>
      </c>
      <c r="Y686" s="13" t="n">
        <v>-0.0183746244444657</v>
      </c>
      <c r="Z686" s="13" t="n">
        <v>-0.0154662623199394</v>
      </c>
      <c r="AA686" s="30" t="s">
        <v>97</v>
      </c>
      <c r="AB686" s="28" t="s">
        <v>94</v>
      </c>
      <c r="AC686" s="28" t="s">
        <v>99</v>
      </c>
      <c r="AD686" s="28" t="s">
        <v>106</v>
      </c>
      <c r="AE686" s="28" t="s">
        <v>112</v>
      </c>
      <c r="AF686" s="28" t="s">
        <v>116</v>
      </c>
      <c r="AG686" s="30" t="s">
        <v>122</v>
      </c>
    </row>
    <row r="687" customFormat="false" ht="15" hidden="false" customHeight="false" outlineLevel="0" collapsed="false">
      <c r="A687" s="10" t="n">
        <v>2025</v>
      </c>
      <c r="B687" s="28" t="s">
        <v>74</v>
      </c>
      <c r="C687" s="29" t="n">
        <v>46006</v>
      </c>
      <c r="D687" s="30" t="s">
        <v>125</v>
      </c>
      <c r="E687" s="28" t="s">
        <v>721</v>
      </c>
      <c r="F687" s="30" t="s">
        <v>722</v>
      </c>
      <c r="G687" s="31" t="n">
        <v>31081</v>
      </c>
      <c r="H687" s="31" t="n">
        <v>3</v>
      </c>
      <c r="I687" s="31" t="n">
        <v>93243</v>
      </c>
      <c r="J687" s="29"/>
      <c r="K687" s="31"/>
      <c r="L687" s="30" t="s">
        <v>33</v>
      </c>
      <c r="M687" s="10" t="n">
        <v>10</v>
      </c>
      <c r="N687" s="12" t="n">
        <v>-32641</v>
      </c>
      <c r="O687" s="13" t="n">
        <v>-0.348477609347174</v>
      </c>
      <c r="P687" s="15" t="n">
        <v>0.740610436262611</v>
      </c>
      <c r="Q687" s="13" t="n">
        <v>-0.403816795121143</v>
      </c>
      <c r="R687" s="15" t="n">
        <v>0.0298507462686568</v>
      </c>
      <c r="S687" s="32" t="n">
        <v>20043613350</v>
      </c>
      <c r="T687" s="15" t="n">
        <v>0.0298507462686568</v>
      </c>
      <c r="U687" s="32" t="n">
        <v>12228690752.5</v>
      </c>
      <c r="V687" s="14" t="n">
        <v>1.48178830939731</v>
      </c>
      <c r="W687" s="13" t="n">
        <v>0.0419463087248322</v>
      </c>
      <c r="X687" s="15" t="n">
        <v>0.0273752012882447</v>
      </c>
      <c r="Y687" s="13" t="n">
        <v>-0.0183746244444657</v>
      </c>
      <c r="Z687" s="13" t="n">
        <v>-0.0154662623199394</v>
      </c>
      <c r="AA687" s="30" t="s">
        <v>97</v>
      </c>
      <c r="AB687" s="28" t="s">
        <v>94</v>
      </c>
      <c r="AC687" s="28" t="s">
        <v>99</v>
      </c>
      <c r="AD687" s="28" t="s">
        <v>106</v>
      </c>
      <c r="AE687" s="28" t="s">
        <v>113</v>
      </c>
      <c r="AF687" s="28" t="s">
        <v>116</v>
      </c>
      <c r="AG687" s="30" t="s">
        <v>122</v>
      </c>
    </row>
    <row r="688" customFormat="false" ht="15" hidden="false" customHeight="false" outlineLevel="0" collapsed="false">
      <c r="A688" s="10" t="n">
        <v>2025</v>
      </c>
      <c r="B688" s="28" t="s">
        <v>74</v>
      </c>
      <c r="C688" s="29" t="n">
        <v>46008</v>
      </c>
      <c r="D688" s="30" t="s">
        <v>127</v>
      </c>
      <c r="E688" s="28" t="s">
        <v>485</v>
      </c>
      <c r="F688" s="28" t="s">
        <v>486</v>
      </c>
      <c r="G688" s="31" t="n">
        <v>70871</v>
      </c>
      <c r="H688" s="31" t="n">
        <v>1</v>
      </c>
      <c r="I688" s="31" t="n">
        <v>70871</v>
      </c>
      <c r="J688" s="29"/>
      <c r="K688" s="31"/>
      <c r="L688" s="30" t="s">
        <v>33</v>
      </c>
      <c r="M688" s="10" t="n">
        <v>8</v>
      </c>
      <c r="N688" s="12" t="n">
        <v>-33264</v>
      </c>
      <c r="O688" s="13" t="n">
        <v>-0.46804607821557</v>
      </c>
      <c r="P688" s="15" t="n">
        <v>0.125992651416381</v>
      </c>
      <c r="Q688" s="13" t="n">
        <v>-0.473690151656253</v>
      </c>
      <c r="R688" s="15" t="n">
        <v>0.0411764705882354</v>
      </c>
      <c r="S688" s="32" t="n">
        <v>40241728800</v>
      </c>
      <c r="T688" s="15" t="n">
        <v>0.032069970845481</v>
      </c>
      <c r="U688" s="32" t="n">
        <v>16097266160</v>
      </c>
      <c r="V688" s="14" t="n">
        <v>2.36963260201157</v>
      </c>
      <c r="W688" s="13" t="n">
        <v>0.0350877192982457</v>
      </c>
      <c r="X688" s="15" t="n">
        <v>0.00282485875706207</v>
      </c>
      <c r="Y688" s="13" t="n">
        <v>0.0143231152775729</v>
      </c>
      <c r="Z688" s="13" t="n">
        <v>-0.0190060459492141</v>
      </c>
      <c r="AA688" s="30" t="s">
        <v>97</v>
      </c>
      <c r="AB688" s="28" t="s">
        <v>94</v>
      </c>
      <c r="AC688" s="28" t="s">
        <v>100</v>
      </c>
      <c r="AD688" s="28" t="s">
        <v>107</v>
      </c>
      <c r="AE688" s="28" t="s">
        <v>113</v>
      </c>
      <c r="AF688" s="28" t="s">
        <v>117</v>
      </c>
      <c r="AG688" s="30" t="s">
        <v>122</v>
      </c>
    </row>
    <row r="689" customFormat="false" ht="15" hidden="false" customHeight="false" outlineLevel="0" collapsed="false">
      <c r="A689" s="10" t="n">
        <v>2025</v>
      </c>
      <c r="B689" s="28" t="s">
        <v>74</v>
      </c>
      <c r="C689" s="29" t="n">
        <v>46008</v>
      </c>
      <c r="D689" s="30" t="s">
        <v>127</v>
      </c>
      <c r="E689" s="28" t="s">
        <v>1225</v>
      </c>
      <c r="F689" s="30" t="s">
        <v>1226</v>
      </c>
      <c r="G689" s="31" t="n">
        <v>63964</v>
      </c>
      <c r="H689" s="31" t="n">
        <v>1</v>
      </c>
      <c r="I689" s="31" t="n">
        <v>63964</v>
      </c>
      <c r="J689" s="29" t="n">
        <v>46009</v>
      </c>
      <c r="K689" s="31" t="n">
        <v>60839</v>
      </c>
      <c r="L689" s="30" t="s">
        <v>32</v>
      </c>
      <c r="M689" s="10" t="n">
        <v>1</v>
      </c>
      <c r="N689" s="12" t="n">
        <v>-3235</v>
      </c>
      <c r="O689" s="13" t="n">
        <v>-0.050571949177583</v>
      </c>
      <c r="P689" s="15" t="n">
        <v>-0.0119426739145048</v>
      </c>
      <c r="Q689" s="13" t="n">
        <v>-0.13388645783012</v>
      </c>
      <c r="R689" s="15" t="n">
        <v>0.0632279534109816</v>
      </c>
      <c r="S689" s="32" t="n">
        <v>35672238900</v>
      </c>
      <c r="T689" s="15" t="n">
        <v>0.0126782884310619</v>
      </c>
      <c r="U689" s="32" t="n">
        <v>23942945465</v>
      </c>
      <c r="V689" s="14" t="n">
        <v>1.41823000893109</v>
      </c>
      <c r="W689" s="13" t="n">
        <v>0.0597014925373134</v>
      </c>
      <c r="X689" s="15" t="n">
        <v>0</v>
      </c>
      <c r="Y689" s="13" t="n">
        <v>0.0143231152775729</v>
      </c>
      <c r="Z689" s="13" t="n">
        <v>-0.0190060459492141</v>
      </c>
      <c r="AA689" s="30" t="s">
        <v>97</v>
      </c>
      <c r="AB689" s="28" t="s">
        <v>94</v>
      </c>
      <c r="AC689" s="28" t="s">
        <v>101</v>
      </c>
      <c r="AD689" s="28" t="s">
        <v>107</v>
      </c>
      <c r="AE689" s="28" t="s">
        <v>112</v>
      </c>
      <c r="AF689" s="28" t="s">
        <v>116</v>
      </c>
      <c r="AG689" s="30" t="s">
        <v>122</v>
      </c>
    </row>
    <row r="690" customFormat="false" ht="15" hidden="false" customHeight="false" outlineLevel="0" collapsed="false">
      <c r="A690" s="10" t="n">
        <v>2025</v>
      </c>
      <c r="B690" s="28" t="s">
        <v>74</v>
      </c>
      <c r="C690" s="29" t="n">
        <v>46010</v>
      </c>
      <c r="D690" s="30" t="s">
        <v>129</v>
      </c>
      <c r="E690" s="28" t="s">
        <v>295</v>
      </c>
      <c r="F690" s="30" t="s">
        <v>296</v>
      </c>
      <c r="G690" s="31" t="n">
        <v>54354</v>
      </c>
      <c r="H690" s="31" t="n">
        <v>1</v>
      </c>
      <c r="I690" s="31" t="n">
        <v>54354</v>
      </c>
      <c r="J690" s="29"/>
      <c r="K690" s="31"/>
      <c r="L690" s="30" t="s">
        <v>33</v>
      </c>
      <c r="M690" s="10" t="n">
        <v>6</v>
      </c>
      <c r="N690" s="12" t="n">
        <v>19375</v>
      </c>
      <c r="O690" s="13" t="n">
        <v>0.359598044680918</v>
      </c>
      <c r="P690" s="15" t="n">
        <v>2.3851967553625</v>
      </c>
      <c r="Q690" s="13" t="n">
        <v>-0.0672311114300064</v>
      </c>
      <c r="R690" s="15" t="n">
        <v>0.10929519918284</v>
      </c>
      <c r="S690" s="32" t="n">
        <v>294043459500</v>
      </c>
      <c r="T690" s="15" t="n">
        <v>0.0225988700564972</v>
      </c>
      <c r="U690" s="32" t="n">
        <v>81013193245</v>
      </c>
      <c r="V690" s="14" t="n">
        <v>3.33889099417244</v>
      </c>
      <c r="W690" s="13" t="n">
        <v>0.0969696969696969</v>
      </c>
      <c r="X690" s="15" t="n">
        <v>0.0276243093922652</v>
      </c>
      <c r="Y690" s="13" t="n">
        <v>0.00651894725510771</v>
      </c>
      <c r="Z690" s="13" t="n">
        <v>-0.0351822344234442</v>
      </c>
      <c r="AA690" s="30" t="s">
        <v>96</v>
      </c>
      <c r="AB690" s="28" t="s">
        <v>94</v>
      </c>
      <c r="AC690" s="28" t="s">
        <v>102</v>
      </c>
      <c r="AD690" s="28" t="s">
        <v>110</v>
      </c>
      <c r="AE690" s="28" t="s">
        <v>113</v>
      </c>
      <c r="AF690" s="28" t="s">
        <v>118</v>
      </c>
      <c r="AG690" s="30" t="s">
        <v>122</v>
      </c>
    </row>
    <row r="691" customFormat="false" ht="15" hidden="false" customHeight="false" outlineLevel="0" collapsed="false">
      <c r="A691" s="10" t="n">
        <v>2025</v>
      </c>
      <c r="B691" s="28" t="s">
        <v>74</v>
      </c>
      <c r="C691" s="29" t="n">
        <v>46010</v>
      </c>
      <c r="D691" s="30" t="s">
        <v>129</v>
      </c>
      <c r="E691" s="28" t="s">
        <v>603</v>
      </c>
      <c r="F691" s="30" t="s">
        <v>604</v>
      </c>
      <c r="G691" s="31" t="n">
        <v>19003</v>
      </c>
      <c r="H691" s="31" t="n">
        <v>5</v>
      </c>
      <c r="I691" s="31" t="n">
        <v>95016</v>
      </c>
      <c r="J691" s="29"/>
      <c r="K691" s="31"/>
      <c r="L691" s="30" t="s">
        <v>33</v>
      </c>
      <c r="M691" s="10" t="n">
        <v>6</v>
      </c>
      <c r="N691" s="12" t="n">
        <v>-46088</v>
      </c>
      <c r="O691" s="13" t="n">
        <v>-0.483771709763054</v>
      </c>
      <c r="P691" s="15" t="n">
        <v>0.291886292081247</v>
      </c>
      <c r="Q691" s="13" t="n">
        <v>-0.569546644838102</v>
      </c>
      <c r="R691" s="15" t="n">
        <v>0.0990502035278154</v>
      </c>
      <c r="S691" s="32" t="n">
        <v>26462821500</v>
      </c>
      <c r="T691" s="15" t="n">
        <v>0.0112359550561798</v>
      </c>
      <c r="U691" s="32" t="n">
        <v>8620867460</v>
      </c>
      <c r="V691" s="14" t="n">
        <v>2.88615253868946</v>
      </c>
      <c r="W691" s="13" t="n">
        <v>0.0901749663526246</v>
      </c>
      <c r="X691" s="15" t="n">
        <v>0.0259259259259259</v>
      </c>
      <c r="Y691" s="13" t="n">
        <v>0.00651894725510771</v>
      </c>
      <c r="Z691" s="13" t="n">
        <v>-0.0351822344234442</v>
      </c>
      <c r="AA691" s="30" t="s">
        <v>96</v>
      </c>
      <c r="AB691" s="28" t="s">
        <v>94</v>
      </c>
      <c r="AC691" s="28" t="s">
        <v>101</v>
      </c>
      <c r="AD691" s="28" t="s">
        <v>106</v>
      </c>
      <c r="AE691" s="28" t="s">
        <v>112</v>
      </c>
      <c r="AF691" s="28" t="s">
        <v>117</v>
      </c>
      <c r="AG691" s="30" t="s">
        <v>122</v>
      </c>
    </row>
    <row r="692" customFormat="false" ht="15" hidden="false" customHeight="false" outlineLevel="0" collapsed="false">
      <c r="A692" s="10" t="n">
        <v>2025</v>
      </c>
      <c r="B692" s="28" t="s">
        <v>74</v>
      </c>
      <c r="C692" s="29" t="n">
        <v>46013</v>
      </c>
      <c r="D692" s="30" t="s">
        <v>125</v>
      </c>
      <c r="E692" s="28" t="s">
        <v>561</v>
      </c>
      <c r="F692" s="28" t="s">
        <v>562</v>
      </c>
      <c r="G692" s="31" t="n">
        <v>1623</v>
      </c>
      <c r="H692" s="31" t="n">
        <v>61</v>
      </c>
      <c r="I692" s="31" t="n">
        <v>98980</v>
      </c>
      <c r="J692" s="29" t="n">
        <v>46014</v>
      </c>
      <c r="K692" s="31" t="n">
        <v>1544</v>
      </c>
      <c r="L692" s="30" t="s">
        <v>32</v>
      </c>
      <c r="M692" s="10" t="n">
        <v>1</v>
      </c>
      <c r="N692" s="12" t="n">
        <v>-4938</v>
      </c>
      <c r="O692" s="13" t="n">
        <v>-0.0498938089979114</v>
      </c>
      <c r="P692" s="15" t="n">
        <v>0.0618622586543625</v>
      </c>
      <c r="Q692" s="13" t="n">
        <v>-0.11870979113422</v>
      </c>
      <c r="R692" s="15" t="n">
        <v>0.179767103347889</v>
      </c>
      <c r="S692" s="32" t="n">
        <v>69942099121</v>
      </c>
      <c r="T692" s="15" t="n">
        <v>0.0813875917278186</v>
      </c>
      <c r="U692" s="32" t="n">
        <v>6378116483.55</v>
      </c>
      <c r="V692" s="14" t="n">
        <v>8.9275345124541</v>
      </c>
      <c r="W692" s="13" t="n">
        <v>0.139142656359803</v>
      </c>
      <c r="X692" s="15" t="n">
        <v>0.0919185687847008</v>
      </c>
      <c r="Y692" s="13" t="n">
        <v>0.0212359005608687</v>
      </c>
      <c r="Z692" s="13" t="n">
        <v>0.0037500702832598</v>
      </c>
      <c r="AA692" s="30" t="s">
        <v>97</v>
      </c>
      <c r="AB692" s="28" t="s">
        <v>93</v>
      </c>
      <c r="AC692" s="28" t="s">
        <v>103</v>
      </c>
      <c r="AD692" s="28" t="s">
        <v>108</v>
      </c>
      <c r="AE692" s="28" t="s">
        <v>101</v>
      </c>
      <c r="AF692" s="28" t="s">
        <v>119</v>
      </c>
      <c r="AG692" s="30" t="s">
        <v>122</v>
      </c>
    </row>
    <row r="693" customFormat="false" ht="15" hidden="false" customHeight="false" outlineLevel="0" collapsed="false">
      <c r="A693" s="10" t="n">
        <v>2025</v>
      </c>
      <c r="B693" s="28" t="s">
        <v>74</v>
      </c>
      <c r="C693" s="29" t="n">
        <v>46013</v>
      </c>
      <c r="D693" s="30" t="s">
        <v>125</v>
      </c>
      <c r="E693" s="28" t="s">
        <v>675</v>
      </c>
      <c r="F693" s="28" t="s">
        <v>676</v>
      </c>
      <c r="G693" s="31" t="n">
        <v>68368</v>
      </c>
      <c r="H693" s="31" t="n">
        <v>1</v>
      </c>
      <c r="I693" s="31" t="n">
        <v>68368</v>
      </c>
      <c r="J693" s="29"/>
      <c r="K693" s="31"/>
      <c r="L693" s="30" t="s">
        <v>33</v>
      </c>
      <c r="M693" s="10" t="n">
        <v>5</v>
      </c>
      <c r="N693" s="12" t="n">
        <v>63331</v>
      </c>
      <c r="O693" s="13" t="n">
        <v>0.93071935385259</v>
      </c>
      <c r="P693" s="15" t="n">
        <v>2.37144553835623</v>
      </c>
      <c r="Q693" s="13" t="n">
        <v>-0.0375656554280271</v>
      </c>
      <c r="R693" s="15" t="n">
        <v>0.0459418070444104</v>
      </c>
      <c r="S693" s="32" t="n">
        <v>27754183100</v>
      </c>
      <c r="T693" s="15" t="n">
        <v>0.0103550295857988</v>
      </c>
      <c r="U693" s="32" t="n">
        <v>22986924475</v>
      </c>
      <c r="V693" s="14" t="n">
        <v>1.14458377696281</v>
      </c>
      <c r="W693" s="13" t="n">
        <v>0.0270676691729324</v>
      </c>
      <c r="X693" s="15" t="n">
        <v>0.00439238653001461</v>
      </c>
      <c r="Y693" s="13" t="n">
        <v>0.0212359005608687</v>
      </c>
      <c r="Z693" s="13" t="n">
        <v>0.0037500702832598</v>
      </c>
      <c r="AA693" s="30" t="s">
        <v>97</v>
      </c>
      <c r="AB693" s="28" t="s">
        <v>93</v>
      </c>
      <c r="AC693" s="28" t="s">
        <v>100</v>
      </c>
      <c r="AD693" s="28" t="s">
        <v>106</v>
      </c>
      <c r="AE693" s="28" t="s">
        <v>112</v>
      </c>
      <c r="AF693" s="28" t="s">
        <v>116</v>
      </c>
      <c r="AG693" s="30" t="s">
        <v>122</v>
      </c>
    </row>
    <row r="694" customFormat="false" ht="15" hidden="false" customHeight="false" outlineLevel="0" collapsed="false">
      <c r="A694" s="10" t="n">
        <v>2025</v>
      </c>
      <c r="B694" s="28" t="s">
        <v>74</v>
      </c>
      <c r="C694" s="29" t="n">
        <v>46014</v>
      </c>
      <c r="D694" s="30" t="s">
        <v>126</v>
      </c>
      <c r="E694" s="28" t="s">
        <v>849</v>
      </c>
      <c r="F694" s="30" t="s">
        <v>850</v>
      </c>
      <c r="G694" s="31" t="n">
        <v>15916</v>
      </c>
      <c r="H694" s="31" t="n">
        <v>6</v>
      </c>
      <c r="I694" s="31" t="n">
        <v>95495</v>
      </c>
      <c r="J694" s="29" t="n">
        <v>46015</v>
      </c>
      <c r="K694" s="31" t="n">
        <v>15145</v>
      </c>
      <c r="L694" s="30" t="s">
        <v>32</v>
      </c>
      <c r="M694" s="10" t="n">
        <v>1</v>
      </c>
      <c r="N694" s="12" t="n">
        <v>-4791</v>
      </c>
      <c r="O694" s="13" t="n">
        <v>-0.0501659580042598</v>
      </c>
      <c r="P694" s="15" t="n">
        <v>0.0348142423614124</v>
      </c>
      <c r="Q694" s="13" t="n">
        <v>-0.075767000295302</v>
      </c>
      <c r="R694" s="15" t="n">
        <v>0.16398243045388</v>
      </c>
      <c r="S694" s="32" t="n">
        <v>266278699200</v>
      </c>
      <c r="T694" s="15" t="n">
        <v>0.0304601425793909</v>
      </c>
      <c r="U694" s="32" t="n">
        <v>15800538537</v>
      </c>
      <c r="V694" s="14" t="n">
        <v>15.5691285150107</v>
      </c>
      <c r="W694" s="13" t="n">
        <v>0.0988251554941257</v>
      </c>
      <c r="X694" s="15" t="n">
        <v>0.0773584905660378</v>
      </c>
      <c r="Y694" s="13" t="n">
        <v>0.00277403657636621</v>
      </c>
      <c r="Z694" s="13" t="n">
        <v>0.0295539279793353</v>
      </c>
      <c r="AA694" s="30" t="s">
        <v>97</v>
      </c>
      <c r="AB694" s="28" t="s">
        <v>93</v>
      </c>
      <c r="AC694" s="28" t="s">
        <v>103</v>
      </c>
      <c r="AD694" s="28" t="s">
        <v>110</v>
      </c>
      <c r="AE694" s="28" t="s">
        <v>113</v>
      </c>
      <c r="AF694" s="28" t="s">
        <v>120</v>
      </c>
      <c r="AG694" s="30" t="s">
        <v>122</v>
      </c>
    </row>
    <row r="695" customFormat="false" ht="15" hidden="false" customHeight="false" outlineLevel="0" collapsed="false">
      <c r="A695" s="10" t="n">
        <v>2025</v>
      </c>
      <c r="B695" s="28" t="s">
        <v>74</v>
      </c>
      <c r="C695" s="29" t="n">
        <v>46014</v>
      </c>
      <c r="D695" s="30" t="s">
        <v>126</v>
      </c>
      <c r="E695" s="28" t="s">
        <v>967</v>
      </c>
      <c r="F695" s="28" t="s">
        <v>968</v>
      </c>
      <c r="G695" s="31" t="n">
        <v>29329</v>
      </c>
      <c r="H695" s="31" t="n">
        <v>3</v>
      </c>
      <c r="I695" s="31" t="n">
        <v>87988</v>
      </c>
      <c r="J695" s="29" t="n">
        <v>46015</v>
      </c>
      <c r="K695" s="31" t="n">
        <v>27922</v>
      </c>
      <c r="L695" s="30" t="s">
        <v>32</v>
      </c>
      <c r="M695" s="10" t="n">
        <v>1</v>
      </c>
      <c r="N695" s="12" t="n">
        <v>-4373</v>
      </c>
      <c r="O695" s="13" t="n">
        <v>-0.0497018605115021</v>
      </c>
      <c r="P695" s="15" t="n">
        <v>-0.028275478787424</v>
      </c>
      <c r="Q695" s="13" t="n">
        <v>-0.096466673258482</v>
      </c>
      <c r="R695" s="15" t="n">
        <v>0.167330677290837</v>
      </c>
      <c r="S695" s="32" t="n">
        <v>55119892500</v>
      </c>
      <c r="T695" s="15" t="n">
        <v>0.107750472589792</v>
      </c>
      <c r="U695" s="32" t="n">
        <v>5014818097.5</v>
      </c>
      <c r="V695" s="14" t="n">
        <v>9.39384489625937</v>
      </c>
      <c r="W695" s="13" t="n">
        <v>0.151277013752456</v>
      </c>
      <c r="X695" s="15" t="n">
        <v>0.0119453924914676</v>
      </c>
      <c r="Y695" s="13" t="n">
        <v>0.00277403657636621</v>
      </c>
      <c r="Z695" s="13" t="n">
        <v>0.0295539279793353</v>
      </c>
      <c r="AA695" s="30" t="s">
        <v>97</v>
      </c>
      <c r="AB695" s="28" t="s">
        <v>93</v>
      </c>
      <c r="AC695" s="28" t="s">
        <v>103</v>
      </c>
      <c r="AD695" s="28" t="s">
        <v>108</v>
      </c>
      <c r="AE695" s="28" t="s">
        <v>114</v>
      </c>
      <c r="AF695" s="28" t="s">
        <v>119</v>
      </c>
      <c r="AG695" s="30" t="s">
        <v>122</v>
      </c>
    </row>
    <row r="696" customFormat="false" ht="15" hidden="false" customHeight="false" outlineLevel="0" collapsed="false">
      <c r="A696" s="10" t="n">
        <v>2025</v>
      </c>
      <c r="B696" s="28" t="s">
        <v>74</v>
      </c>
      <c r="C696" s="29" t="n">
        <v>46014</v>
      </c>
      <c r="D696" s="30" t="s">
        <v>126</v>
      </c>
      <c r="E696" s="28" t="s">
        <v>819</v>
      </c>
      <c r="F696" s="30" t="s">
        <v>820</v>
      </c>
      <c r="G696" s="31" t="n">
        <v>66266</v>
      </c>
      <c r="H696" s="31" t="n">
        <v>1</v>
      </c>
      <c r="I696" s="31" t="n">
        <v>66266</v>
      </c>
      <c r="J696" s="29"/>
      <c r="K696" s="31"/>
      <c r="L696" s="30" t="s">
        <v>33</v>
      </c>
      <c r="M696" s="10" t="n">
        <v>4</v>
      </c>
      <c r="N696" s="12" t="n">
        <v>-23271</v>
      </c>
      <c r="O696" s="13" t="n">
        <v>-0.349593005182129</v>
      </c>
      <c r="P696" s="15" t="n">
        <v>0.192161313007235</v>
      </c>
      <c r="Q696" s="13" t="n">
        <v>-0.482390721061416</v>
      </c>
      <c r="R696" s="15" t="n">
        <v>0.0425196850393701</v>
      </c>
      <c r="S696" s="32" t="n">
        <v>23272808600</v>
      </c>
      <c r="T696" s="15" t="n">
        <v>0.0200308166409862</v>
      </c>
      <c r="U696" s="32" t="n">
        <v>11060557455</v>
      </c>
      <c r="V696" s="14" t="n">
        <v>2.00047856296816</v>
      </c>
      <c r="W696" s="13" t="n">
        <v>0.0376175548589341</v>
      </c>
      <c r="X696" s="15" t="n">
        <v>0.0060422960725075</v>
      </c>
      <c r="Y696" s="13" t="n">
        <v>0.00277403657636621</v>
      </c>
      <c r="Z696" s="13" t="n">
        <v>0.0295539279793353</v>
      </c>
      <c r="AA696" s="30" t="s">
        <v>97</v>
      </c>
      <c r="AB696" s="28" t="s">
        <v>93</v>
      </c>
      <c r="AC696" s="28" t="s">
        <v>100</v>
      </c>
      <c r="AD696" s="28" t="s">
        <v>106</v>
      </c>
      <c r="AE696" s="28" t="s">
        <v>113</v>
      </c>
      <c r="AF696" s="28" t="s">
        <v>117</v>
      </c>
      <c r="AG696" s="30" t="s">
        <v>122</v>
      </c>
    </row>
    <row r="697" customFormat="false" ht="15" hidden="false" customHeight="false" outlineLevel="0" collapsed="false">
      <c r="A697" s="10" t="n">
        <v>2025</v>
      </c>
      <c r="B697" s="28" t="s">
        <v>74</v>
      </c>
      <c r="C697" s="29" t="n">
        <v>46020</v>
      </c>
      <c r="D697" s="30" t="s">
        <v>125</v>
      </c>
      <c r="E697" s="28" t="s">
        <v>431</v>
      </c>
      <c r="F697" s="28" t="s">
        <v>432</v>
      </c>
      <c r="G697" s="31" t="n">
        <v>33233</v>
      </c>
      <c r="H697" s="31" t="n">
        <v>2</v>
      </c>
      <c r="I697" s="31" t="n">
        <v>66466</v>
      </c>
      <c r="J697" s="29"/>
      <c r="K697" s="31"/>
      <c r="L697" s="30" t="s">
        <v>33</v>
      </c>
      <c r="M697" s="10" t="n">
        <v>1</v>
      </c>
      <c r="N697" s="12" t="n">
        <v>44279</v>
      </c>
      <c r="O697" s="13" t="n">
        <v>0.670016730257694</v>
      </c>
      <c r="P697" s="15" t="n">
        <v>1.76831602132807</v>
      </c>
      <c r="Q697" s="13" t="n">
        <v>-0.174018752332005</v>
      </c>
      <c r="R697" s="15" t="n">
        <v>0.0726978998384491</v>
      </c>
      <c r="S697" s="32" t="n">
        <v>55309307600</v>
      </c>
      <c r="T697" s="15" t="n">
        <v>0.060702875399361</v>
      </c>
      <c r="U697" s="32" t="n">
        <v>12531124887.5</v>
      </c>
      <c r="V697" s="14" t="n">
        <v>3.99618166889231</v>
      </c>
      <c r="W697" s="13" t="n">
        <v>0.060702875399361</v>
      </c>
      <c r="X697" s="15" t="n">
        <v>0.00301204819277112</v>
      </c>
      <c r="Y697" s="13" t="n">
        <v>0.022006547722826</v>
      </c>
      <c r="Z697" s="13" t="n">
        <v>0.0497469251719294</v>
      </c>
      <c r="AA697" s="30" t="s">
        <v>97</v>
      </c>
      <c r="AB697" s="28" t="s">
        <v>93</v>
      </c>
      <c r="AC697" s="28" t="s">
        <v>101</v>
      </c>
      <c r="AD697" s="28" t="s">
        <v>108</v>
      </c>
      <c r="AE697" s="28" t="s">
        <v>101</v>
      </c>
      <c r="AF697" s="28" t="s">
        <v>118</v>
      </c>
      <c r="AG697" s="30" t="s">
        <v>122</v>
      </c>
    </row>
    <row r="698" customFormat="false" ht="15" hidden="false" customHeight="false" outlineLevel="0" collapsed="false">
      <c r="A698" s="10" t="n">
        <v>2025</v>
      </c>
      <c r="B698" s="28" t="s">
        <v>74</v>
      </c>
      <c r="C698" s="29" t="n">
        <v>46021</v>
      </c>
      <c r="D698" s="30" t="s">
        <v>126</v>
      </c>
      <c r="E698" s="28" t="s">
        <v>469</v>
      </c>
      <c r="F698" s="28" t="s">
        <v>470</v>
      </c>
      <c r="G698" s="31" t="n">
        <v>50851</v>
      </c>
      <c r="H698" s="31" t="n">
        <v>1</v>
      </c>
      <c r="I698" s="31" t="n">
        <v>50851</v>
      </c>
      <c r="J698" s="29"/>
      <c r="K698" s="31"/>
      <c r="L698" s="30" t="s">
        <v>33</v>
      </c>
      <c r="M698" s="10" t="n">
        <v>0</v>
      </c>
      <c r="N698" s="12" t="n">
        <v>-20376</v>
      </c>
      <c r="O698" s="13" t="n">
        <v>-0.399222824419675</v>
      </c>
      <c r="P698" s="15" t="n">
        <v>0.36084388052892</v>
      </c>
      <c r="Q698" s="13" t="n">
        <v>-0.525081217994604</v>
      </c>
      <c r="R698" s="15" t="n">
        <v>0.0356778797145769</v>
      </c>
      <c r="S698" s="32" t="n">
        <v>85157564000</v>
      </c>
      <c r="T698" s="15" t="n">
        <v>0.00197238658777121</v>
      </c>
      <c r="U698" s="32" t="n">
        <v>19305651327.5</v>
      </c>
      <c r="V698" s="14" t="n">
        <v>4.16786475405302</v>
      </c>
      <c r="W698" s="13" t="n">
        <v>0.0528497409326425</v>
      </c>
      <c r="X698" s="15" t="n">
        <v>0.0393700787401574</v>
      </c>
      <c r="Y698" s="13" t="n">
        <v>-0.00151401709725729</v>
      </c>
      <c r="Z698" s="13" t="n">
        <v>0.026361871731861</v>
      </c>
      <c r="AA698" s="30" t="s">
        <v>97</v>
      </c>
      <c r="AB698" s="28" t="s">
        <v>93</v>
      </c>
      <c r="AC698" s="28" t="s">
        <v>100</v>
      </c>
      <c r="AD698" s="28" t="s">
        <v>108</v>
      </c>
      <c r="AE698" s="28" t="s">
        <v>112</v>
      </c>
      <c r="AF698" s="28" t="s">
        <v>118</v>
      </c>
      <c r="AG698" s="30" t="s">
        <v>122</v>
      </c>
    </row>
    <row r="699" customFormat="false" ht="15" hidden="false" customHeight="false" outlineLevel="0" collapsed="false">
      <c r="A699" s="10" t="n">
        <v>2025</v>
      </c>
      <c r="B699" s="28" t="s">
        <v>74</v>
      </c>
      <c r="C699" s="29" t="n">
        <v>46021</v>
      </c>
      <c r="D699" s="30" t="s">
        <v>126</v>
      </c>
      <c r="E699" s="28" t="s">
        <v>745</v>
      </c>
      <c r="F699" s="30" t="s">
        <v>746</v>
      </c>
      <c r="G699" s="31" t="n">
        <v>44945</v>
      </c>
      <c r="H699" s="31" t="n">
        <v>2</v>
      </c>
      <c r="I699" s="31" t="n">
        <v>89890</v>
      </c>
      <c r="J699" s="29"/>
      <c r="K699" s="31"/>
      <c r="L699" s="30" t="s">
        <v>33</v>
      </c>
      <c r="M699" s="10" t="n">
        <v>0</v>
      </c>
      <c r="N699" s="12" t="n">
        <v>5786</v>
      </c>
      <c r="O699" s="13" t="n">
        <v>0.066861868643606</v>
      </c>
      <c r="P699" s="15" t="n">
        <v>1.1782226682004</v>
      </c>
      <c r="Q699" s="13" t="n">
        <v>-0.311379044118465</v>
      </c>
      <c r="R699" s="15" t="n">
        <v>0.0515222482435598</v>
      </c>
      <c r="S699" s="32" t="n">
        <v>57907081000</v>
      </c>
      <c r="T699" s="15" t="n">
        <v>0.0169875424688561</v>
      </c>
      <c r="U699" s="32" t="n">
        <v>29891578505</v>
      </c>
      <c r="V699" s="14" t="n">
        <v>1.74369570090567</v>
      </c>
      <c r="W699" s="13" t="n">
        <v>0.0589622641509433</v>
      </c>
      <c r="X699" s="15" t="n">
        <v>0.0311804008908685</v>
      </c>
      <c r="Y699" s="13" t="n">
        <v>-0.00151401709725729</v>
      </c>
      <c r="Z699" s="13" t="n">
        <v>0.026361871731861</v>
      </c>
      <c r="AA699" s="30" t="s">
        <v>97</v>
      </c>
      <c r="AB699" s="28" t="s">
        <v>93</v>
      </c>
      <c r="AC699" s="28" t="s">
        <v>101</v>
      </c>
      <c r="AD699" s="28" t="s">
        <v>108</v>
      </c>
      <c r="AE699" s="28" t="s">
        <v>112</v>
      </c>
      <c r="AF699" s="28" t="s">
        <v>116</v>
      </c>
      <c r="AG699" s="30" t="s">
        <v>122</v>
      </c>
    </row>
    <row r="700" customFormat="false" ht="15" hidden="false" customHeight="false" outlineLevel="0" collapsed="false">
      <c r="A700" s="10" t="n">
        <v>2026</v>
      </c>
      <c r="B700" s="28" t="s">
        <v>75</v>
      </c>
      <c r="C700" s="29" t="n">
        <v>46028</v>
      </c>
      <c r="D700" s="30" t="s">
        <v>126</v>
      </c>
      <c r="E700" s="28" t="s">
        <v>407</v>
      </c>
      <c r="F700" s="30" t="s">
        <v>408</v>
      </c>
      <c r="G700" s="31" t="n">
        <v>80580</v>
      </c>
      <c r="H700" s="31" t="n">
        <v>1</v>
      </c>
      <c r="I700" s="31" t="n">
        <v>80580</v>
      </c>
      <c r="J700" s="29" t="n">
        <v>46035</v>
      </c>
      <c r="K700" s="31" t="n">
        <v>76623</v>
      </c>
      <c r="L700" s="30" t="s">
        <v>32</v>
      </c>
      <c r="M700" s="10" t="n">
        <v>5</v>
      </c>
      <c r="N700" s="12" t="n">
        <v>-4134</v>
      </c>
      <c r="O700" s="13" t="n">
        <v>-0.0513030717108976</v>
      </c>
      <c r="P700" s="15" t="n">
        <v>-0.00472198608844554</v>
      </c>
      <c r="Q700" s="13" t="n">
        <v>-0.0481568121319672</v>
      </c>
      <c r="R700" s="15" t="n">
        <v>0.0176991150442478</v>
      </c>
      <c r="S700" s="32" t="n">
        <v>98644458500</v>
      </c>
      <c r="T700" s="15" t="n">
        <v>0.0037406483790523</v>
      </c>
      <c r="U700" s="32" t="n">
        <v>71795826340</v>
      </c>
      <c r="V700" s="14" t="n">
        <v>1.32184117587413</v>
      </c>
      <c r="W700" s="13" t="n">
        <v>0.0113065326633166</v>
      </c>
      <c r="X700" s="15" t="n">
        <v>0.00496894409937898</v>
      </c>
      <c r="Y700" s="13" t="n">
        <v>0.0152461458389417</v>
      </c>
      <c r="Z700" s="13" t="n">
        <v>0.0958427771643322</v>
      </c>
      <c r="AA700" s="30" t="s">
        <v>97</v>
      </c>
      <c r="AB700" s="28" t="s">
        <v>93</v>
      </c>
      <c r="AC700" s="28" t="s">
        <v>99</v>
      </c>
      <c r="AD700" s="28" t="s">
        <v>108</v>
      </c>
      <c r="AE700" s="28" t="s">
        <v>112</v>
      </c>
      <c r="AF700" s="28" t="s">
        <v>116</v>
      </c>
      <c r="AG700" s="30" t="s">
        <v>122</v>
      </c>
    </row>
    <row r="701" customFormat="false" ht="15" hidden="false" customHeight="false" outlineLevel="0" collapsed="false">
      <c r="A701" s="10" t="n">
        <v>2026</v>
      </c>
      <c r="B701" s="28" t="s">
        <v>75</v>
      </c>
      <c r="C701" s="29" t="n">
        <v>46028</v>
      </c>
      <c r="D701" s="30" t="s">
        <v>126</v>
      </c>
      <c r="E701" s="28" t="s">
        <v>313</v>
      </c>
      <c r="F701" s="30" t="s">
        <v>314</v>
      </c>
      <c r="G701" s="31" t="n">
        <v>66366</v>
      </c>
      <c r="H701" s="31" t="n">
        <v>1</v>
      </c>
      <c r="I701" s="31" t="n">
        <v>66366</v>
      </c>
      <c r="J701" s="29" t="n">
        <v>46031</v>
      </c>
      <c r="K701" s="31" t="n">
        <v>63137</v>
      </c>
      <c r="L701" s="30" t="s">
        <v>32</v>
      </c>
      <c r="M701" s="10" t="n">
        <v>3</v>
      </c>
      <c r="N701" s="12" t="n">
        <v>-3375</v>
      </c>
      <c r="O701" s="13" t="n">
        <v>-0.0508571227415117</v>
      </c>
      <c r="P701" s="15" t="n">
        <v>0.0050281543494215</v>
      </c>
      <c r="Q701" s="13" t="n">
        <v>-0.0748316540171742</v>
      </c>
      <c r="R701" s="15" t="n">
        <v>0.02</v>
      </c>
      <c r="S701" s="32" t="n">
        <v>64066750800</v>
      </c>
      <c r="T701" s="15" t="n">
        <v>0.0137614678899083</v>
      </c>
      <c r="U701" s="32" t="n">
        <v>26674874100</v>
      </c>
      <c r="V701" s="14" t="n">
        <v>2.27497849953727</v>
      </c>
      <c r="W701" s="13" t="n">
        <v>0.02</v>
      </c>
      <c r="X701" s="15" t="n">
        <v>0</v>
      </c>
      <c r="Y701" s="13" t="n">
        <v>0.0152461458389417</v>
      </c>
      <c r="Z701" s="13" t="n">
        <v>0.0958427771643322</v>
      </c>
      <c r="AA701" s="30" t="s">
        <v>97</v>
      </c>
      <c r="AB701" s="28" t="s">
        <v>93</v>
      </c>
      <c r="AC701" s="28" t="s">
        <v>99</v>
      </c>
      <c r="AD701" s="28" t="s">
        <v>108</v>
      </c>
      <c r="AE701" s="28" t="s">
        <v>112</v>
      </c>
      <c r="AF701" s="28" t="s">
        <v>117</v>
      </c>
      <c r="AG701" s="30" t="s">
        <v>122</v>
      </c>
    </row>
    <row r="702" customFormat="false" ht="15" hidden="false" customHeight="false" outlineLevel="0" collapsed="false">
      <c r="A702" s="10" t="n">
        <v>2026</v>
      </c>
      <c r="B702" s="28" t="s">
        <v>75</v>
      </c>
      <c r="C702" s="29" t="n">
        <v>46028</v>
      </c>
      <c r="D702" s="30" t="s">
        <v>126</v>
      </c>
      <c r="E702" s="28" t="s">
        <v>871</v>
      </c>
      <c r="F702" s="28" t="s">
        <v>872</v>
      </c>
      <c r="G702" s="31" t="n">
        <v>22072</v>
      </c>
      <c r="H702" s="31" t="n">
        <v>4</v>
      </c>
      <c r="I702" s="31" t="n">
        <v>88288</v>
      </c>
      <c r="J702" s="29" t="n">
        <v>46030</v>
      </c>
      <c r="K702" s="31" t="n">
        <v>20979</v>
      </c>
      <c r="L702" s="30" t="s">
        <v>32</v>
      </c>
      <c r="M702" s="10" t="n">
        <v>2</v>
      </c>
      <c r="N702" s="12" t="n">
        <v>-4566</v>
      </c>
      <c r="O702" s="13" t="n">
        <v>-0.0517154345654346</v>
      </c>
      <c r="P702" s="15" t="n">
        <v>-0.00326430938675837</v>
      </c>
      <c r="Q702" s="13" t="n">
        <v>-0.0598970190806926</v>
      </c>
      <c r="R702" s="15" t="n">
        <v>0.0475059382422802</v>
      </c>
      <c r="S702" s="32" t="n">
        <v>31645123650</v>
      </c>
      <c r="T702" s="15" t="n">
        <v>0.030373831775701</v>
      </c>
      <c r="U702" s="32" t="n">
        <v>15610360252.5</v>
      </c>
      <c r="V702" s="14" t="n">
        <v>1.93706505462447</v>
      </c>
      <c r="W702" s="13" t="n">
        <v>0.0425531914893618</v>
      </c>
      <c r="X702" s="15" t="n">
        <v>0</v>
      </c>
      <c r="Y702" s="13" t="n">
        <v>0.0152461458389417</v>
      </c>
      <c r="Z702" s="13" t="n">
        <v>0.0958427771643322</v>
      </c>
      <c r="AA702" s="30" t="s">
        <v>97</v>
      </c>
      <c r="AB702" s="28" t="s">
        <v>93</v>
      </c>
      <c r="AC702" s="28" t="s">
        <v>100</v>
      </c>
      <c r="AD702" s="28" t="s">
        <v>107</v>
      </c>
      <c r="AE702" s="28" t="s">
        <v>113</v>
      </c>
      <c r="AF702" s="28" t="s">
        <v>116</v>
      </c>
      <c r="AG702" s="30" t="s">
        <v>122</v>
      </c>
    </row>
    <row r="703" customFormat="false" ht="15" hidden="false" customHeight="false" outlineLevel="0" collapsed="false">
      <c r="A703" s="10" t="n">
        <v>2026</v>
      </c>
      <c r="B703" s="28" t="s">
        <v>75</v>
      </c>
      <c r="C703" s="29" t="n">
        <v>46036</v>
      </c>
      <c r="D703" s="30" t="s">
        <v>127</v>
      </c>
      <c r="E703" s="28" t="s">
        <v>681</v>
      </c>
      <c r="F703" s="30" t="s">
        <v>682</v>
      </c>
      <c r="G703" s="31" t="n">
        <v>55255</v>
      </c>
      <c r="H703" s="31" t="n">
        <v>1</v>
      </c>
      <c r="I703" s="31" t="n">
        <v>55255</v>
      </c>
      <c r="J703" s="29" t="n">
        <v>46043</v>
      </c>
      <c r="K703" s="31" t="n">
        <v>66800</v>
      </c>
      <c r="L703" s="30" t="s">
        <v>31</v>
      </c>
      <c r="M703" s="10" t="n">
        <v>5</v>
      </c>
      <c r="N703" s="12" t="n">
        <v>11393</v>
      </c>
      <c r="O703" s="13" t="n">
        <v>0.206186779162866</v>
      </c>
      <c r="P703" s="15" t="n">
        <v>0.217984913637088</v>
      </c>
      <c r="Q703" s="13" t="n">
        <v>0.0080499210933993</v>
      </c>
      <c r="R703" s="15" t="n">
        <v>0.0260223048327137</v>
      </c>
      <c r="S703" s="32" t="n">
        <v>43896696000</v>
      </c>
      <c r="T703" s="15" t="n">
        <v>0.0147058823529411</v>
      </c>
      <c r="U703" s="32" t="n">
        <v>19566755110</v>
      </c>
      <c r="V703" s="14" t="n">
        <v>2.06196152507314</v>
      </c>
      <c r="W703" s="13" t="n">
        <v>0.0375939849624061</v>
      </c>
      <c r="X703" s="15" t="n">
        <v>0.00362318840579712</v>
      </c>
      <c r="Y703" s="13" t="n">
        <v>0.00649101571823119</v>
      </c>
      <c r="Z703" s="13" t="n">
        <v>0.0378021823487276</v>
      </c>
      <c r="AA703" s="30" t="s">
        <v>97</v>
      </c>
      <c r="AB703" s="28" t="s">
        <v>93</v>
      </c>
      <c r="AC703" s="28" t="s">
        <v>99</v>
      </c>
      <c r="AD703" s="28" t="s">
        <v>107</v>
      </c>
      <c r="AE703" s="28" t="s">
        <v>112</v>
      </c>
      <c r="AF703" s="28" t="s">
        <v>117</v>
      </c>
      <c r="AG703" s="30" t="s">
        <v>122</v>
      </c>
    </row>
    <row r="704" customFormat="false" ht="15" hidden="false" customHeight="false" outlineLevel="0" collapsed="false">
      <c r="A704" s="10" t="n">
        <v>2026</v>
      </c>
      <c r="B704" s="28" t="s">
        <v>75</v>
      </c>
      <c r="C704" s="29" t="n">
        <v>46036</v>
      </c>
      <c r="D704" s="30" t="s">
        <v>127</v>
      </c>
      <c r="E704" s="28" t="s">
        <v>361</v>
      </c>
      <c r="F704" s="30" t="s">
        <v>362</v>
      </c>
      <c r="G704" s="31" t="n">
        <v>94695</v>
      </c>
      <c r="H704" s="31" t="n">
        <v>1</v>
      </c>
      <c r="I704" s="31" t="n">
        <v>94695</v>
      </c>
      <c r="J704" s="29" t="n">
        <v>46049</v>
      </c>
      <c r="K704" s="31" t="n">
        <v>90110</v>
      </c>
      <c r="L704" s="30" t="s">
        <v>32</v>
      </c>
      <c r="M704" s="10" t="n">
        <v>9</v>
      </c>
      <c r="N704" s="12" t="n">
        <v>-4793</v>
      </c>
      <c r="O704" s="13" t="n">
        <v>-0.0506126036753943</v>
      </c>
      <c r="P704" s="15" t="n">
        <v>0.0729228488213689</v>
      </c>
      <c r="Q704" s="13" t="n">
        <v>-0.0527442958732598</v>
      </c>
      <c r="R704" s="15" t="n">
        <v>0.0395604395604396</v>
      </c>
      <c r="S704" s="32" t="n">
        <v>23947611600</v>
      </c>
      <c r="T704" s="15" t="n">
        <v>0.00424628450106157</v>
      </c>
      <c r="U704" s="32" t="n">
        <v>11847691405</v>
      </c>
      <c r="V704" s="14" t="n">
        <v>1.87748293903591</v>
      </c>
      <c r="W704" s="13" t="n">
        <v>0.0429988974641675</v>
      </c>
      <c r="X704" s="15" t="n">
        <v>0.0116279069767442</v>
      </c>
      <c r="Y704" s="13" t="n">
        <v>0.00649101571823119</v>
      </c>
      <c r="Z704" s="13" t="n">
        <v>0.0378021823487276</v>
      </c>
      <c r="AA704" s="30" t="s">
        <v>97</v>
      </c>
      <c r="AB704" s="28" t="s">
        <v>93</v>
      </c>
      <c r="AC704" s="28" t="s">
        <v>100</v>
      </c>
      <c r="AD704" s="28" t="s">
        <v>106</v>
      </c>
      <c r="AE704" s="28" t="s">
        <v>112</v>
      </c>
      <c r="AF704" s="28" t="s">
        <v>116</v>
      </c>
      <c r="AG704" s="30" t="s">
        <v>122</v>
      </c>
    </row>
    <row r="705" customFormat="false" ht="15" hidden="false" customHeight="false" outlineLevel="0" collapsed="false">
      <c r="A705" s="10" t="n">
        <v>2026</v>
      </c>
      <c r="B705" s="28" t="s">
        <v>75</v>
      </c>
      <c r="C705" s="29" t="n">
        <v>46037</v>
      </c>
      <c r="D705" s="30" t="s">
        <v>128</v>
      </c>
      <c r="E705" s="28" t="s">
        <v>969</v>
      </c>
      <c r="F705" s="28" t="s">
        <v>970</v>
      </c>
      <c r="G705" s="31" t="n">
        <v>68168</v>
      </c>
      <c r="H705" s="31" t="n">
        <v>1</v>
      </c>
      <c r="I705" s="31" t="n">
        <v>68168</v>
      </c>
      <c r="J705" s="29" t="n">
        <v>46085</v>
      </c>
      <c r="K705" s="31" t="n">
        <v>64835</v>
      </c>
      <c r="L705" s="30" t="s">
        <v>32</v>
      </c>
      <c r="M705" s="10" t="n">
        <v>30</v>
      </c>
      <c r="N705" s="12" t="n">
        <v>-3483</v>
      </c>
      <c r="O705" s="13" t="n">
        <v>-0.0510887156895969</v>
      </c>
      <c r="P705" s="15" t="n">
        <v>0.148631104578241</v>
      </c>
      <c r="Q705" s="13" t="n">
        <v>-0.155029992034397</v>
      </c>
      <c r="R705" s="15" t="n">
        <v>0.101941747572816</v>
      </c>
      <c r="S705" s="32" t="n">
        <v>184023020700</v>
      </c>
      <c r="T705" s="15" t="n">
        <v>0.0412844036697249</v>
      </c>
      <c r="U705" s="32" t="n">
        <v>36634241940</v>
      </c>
      <c r="V705" s="14" t="n">
        <v>4.66213199890997</v>
      </c>
      <c r="W705" s="13" t="n">
        <v>0.10016155088853</v>
      </c>
      <c r="X705" s="15" t="n">
        <v>0.00881057268722474</v>
      </c>
      <c r="Y705" s="13" t="n">
        <v>0.0157629522982787</v>
      </c>
      <c r="Z705" s="13" t="n">
        <v>0.0538576609546237</v>
      </c>
      <c r="AA705" s="30" t="s">
        <v>97</v>
      </c>
      <c r="AB705" s="28" t="s">
        <v>93</v>
      </c>
      <c r="AC705" s="28" t="s">
        <v>102</v>
      </c>
      <c r="AD705" s="28" t="s">
        <v>109</v>
      </c>
      <c r="AE705" s="28" t="s">
        <v>113</v>
      </c>
      <c r="AF705" s="28" t="s">
        <v>118</v>
      </c>
      <c r="AG705" s="30" t="s">
        <v>122</v>
      </c>
    </row>
    <row r="706" customFormat="false" ht="15" hidden="false" customHeight="false" outlineLevel="0" collapsed="false">
      <c r="A706" s="10" t="n">
        <v>2026</v>
      </c>
      <c r="B706" s="28" t="s">
        <v>75</v>
      </c>
      <c r="C706" s="29" t="n">
        <v>46037</v>
      </c>
      <c r="D706" s="30" t="s">
        <v>128</v>
      </c>
      <c r="E706" s="28" t="s">
        <v>1251</v>
      </c>
      <c r="F706" s="30" t="s">
        <v>1252</v>
      </c>
      <c r="G706" s="31" t="n">
        <v>50651</v>
      </c>
      <c r="H706" s="31" t="n">
        <v>1</v>
      </c>
      <c r="I706" s="31" t="n">
        <v>50651</v>
      </c>
      <c r="J706" s="29" t="n">
        <v>46043</v>
      </c>
      <c r="K706" s="31" t="n">
        <v>48152</v>
      </c>
      <c r="L706" s="30" t="s">
        <v>32</v>
      </c>
      <c r="M706" s="10" t="n">
        <v>4</v>
      </c>
      <c r="N706" s="12" t="n">
        <v>-2610</v>
      </c>
      <c r="O706" s="13" t="n">
        <v>-0.0515279969042814</v>
      </c>
      <c r="P706" s="15" t="n">
        <v>0.046384445593932</v>
      </c>
      <c r="Q706" s="13" t="n">
        <v>-0.0622026195148723</v>
      </c>
      <c r="R706" s="15" t="n">
        <v>0.108433734939759</v>
      </c>
      <c r="S706" s="32" t="n">
        <v>151455768200</v>
      </c>
      <c r="T706" s="15" t="n">
        <v>0.0519750519750519</v>
      </c>
      <c r="U706" s="32" t="n">
        <v>42122406445</v>
      </c>
      <c r="V706" s="14" t="n">
        <v>3.25781143030168</v>
      </c>
      <c r="W706" s="13" t="n">
        <v>0.118232044198895</v>
      </c>
      <c r="X706" s="15" t="n">
        <v>0.00988142292490113</v>
      </c>
      <c r="Y706" s="13" t="n">
        <v>0.0157629522982787</v>
      </c>
      <c r="Z706" s="13" t="n">
        <v>0.0538576609546237</v>
      </c>
      <c r="AA706" s="30" t="s">
        <v>97</v>
      </c>
      <c r="AB706" s="28" t="s">
        <v>93</v>
      </c>
      <c r="AC706" s="28" t="s">
        <v>102</v>
      </c>
      <c r="AD706" s="28" t="s">
        <v>109</v>
      </c>
      <c r="AE706" s="28" t="s">
        <v>101</v>
      </c>
      <c r="AF706" s="28" t="s">
        <v>118</v>
      </c>
      <c r="AG706" s="30" t="s">
        <v>122</v>
      </c>
    </row>
    <row r="707" customFormat="false" ht="15" hidden="false" customHeight="false" outlineLevel="0" collapsed="false">
      <c r="A707" s="10" t="n">
        <v>2026</v>
      </c>
      <c r="B707" s="28" t="s">
        <v>75</v>
      </c>
      <c r="C707" s="29" t="n">
        <v>46037</v>
      </c>
      <c r="D707" s="30" t="s">
        <v>128</v>
      </c>
      <c r="E707" s="28" t="s">
        <v>647</v>
      </c>
      <c r="F707" s="30" t="s">
        <v>648</v>
      </c>
      <c r="G707" s="31" t="n">
        <v>37537</v>
      </c>
      <c r="H707" s="31" t="n">
        <v>2</v>
      </c>
      <c r="I707" s="31" t="n">
        <v>75075</v>
      </c>
      <c r="J707" s="29" t="n">
        <v>46038</v>
      </c>
      <c r="K707" s="31" t="n">
        <v>35714</v>
      </c>
      <c r="L707" s="30" t="s">
        <v>32</v>
      </c>
      <c r="M707" s="10" t="n">
        <v>1</v>
      </c>
      <c r="N707" s="12" t="n">
        <v>-3811</v>
      </c>
      <c r="O707" s="13" t="n">
        <v>-0.0507669999999999</v>
      </c>
      <c r="P707" s="15" t="n">
        <v>-0.0169830169830167</v>
      </c>
      <c r="Q707" s="13" t="n">
        <v>-0.0875790875790874</v>
      </c>
      <c r="R707" s="15" t="n">
        <v>0.192368839427663</v>
      </c>
      <c r="S707" s="32" t="n">
        <v>112708087500</v>
      </c>
      <c r="T707" s="15" t="n">
        <v>0.145038167938931</v>
      </c>
      <c r="U707" s="32" t="n">
        <v>7364805897.5</v>
      </c>
      <c r="V707" s="14" t="n">
        <v>12.6901121339223</v>
      </c>
      <c r="W707" s="13" t="n">
        <v>0.205787781350482</v>
      </c>
      <c r="X707" s="15" t="n">
        <v>0.00533333333333341</v>
      </c>
      <c r="Y707" s="13" t="n">
        <v>0.0157629522982787</v>
      </c>
      <c r="Z707" s="13" t="n">
        <v>0.0538576609546237</v>
      </c>
      <c r="AA707" s="30" t="s">
        <v>97</v>
      </c>
      <c r="AB707" s="28" t="s">
        <v>93</v>
      </c>
      <c r="AC707" s="28" t="s">
        <v>103</v>
      </c>
      <c r="AD707" s="28" t="s">
        <v>109</v>
      </c>
      <c r="AE707" s="28" t="s">
        <v>114</v>
      </c>
      <c r="AF707" s="28" t="s">
        <v>120</v>
      </c>
      <c r="AG707" s="30" t="s">
        <v>122</v>
      </c>
    </row>
    <row r="708" customFormat="false" ht="15" hidden="false" customHeight="false" outlineLevel="0" collapsed="false">
      <c r="A708" s="10" t="n">
        <v>2026</v>
      </c>
      <c r="B708" s="28" t="s">
        <v>75</v>
      </c>
      <c r="C708" s="29" t="n">
        <v>46037</v>
      </c>
      <c r="D708" s="30" t="s">
        <v>128</v>
      </c>
      <c r="E708" s="28" t="s">
        <v>1023</v>
      </c>
      <c r="F708" s="30" t="s">
        <v>1024</v>
      </c>
      <c r="G708" s="31" t="n">
        <v>14204</v>
      </c>
      <c r="H708" s="31" t="n">
        <v>7</v>
      </c>
      <c r="I708" s="31" t="n">
        <v>99429</v>
      </c>
      <c r="J708" s="29" t="n">
        <v>46043</v>
      </c>
      <c r="K708" s="31" t="n">
        <v>17050</v>
      </c>
      <c r="L708" s="30" t="s">
        <v>31</v>
      </c>
      <c r="M708" s="10" t="n">
        <v>4</v>
      </c>
      <c r="N708" s="12" t="n">
        <v>19649</v>
      </c>
      <c r="O708" s="13" t="n">
        <v>0.197619284978588</v>
      </c>
      <c r="P708" s="15" t="n">
        <v>0.259487517415636</v>
      </c>
      <c r="Q708" s="13" t="n">
        <v>-0.0369038994831806</v>
      </c>
      <c r="R708" s="15" t="n">
        <v>0.0790874524714829</v>
      </c>
      <c r="S708" s="32" t="n">
        <v>36455628330</v>
      </c>
      <c r="T708" s="15" t="n">
        <v>0.0297532656023223</v>
      </c>
      <c r="U708" s="32" t="n">
        <v>9118828118.5</v>
      </c>
      <c r="V708" s="14" t="n">
        <v>3.71012173356991</v>
      </c>
      <c r="W708" s="13" t="n">
        <v>0.062125748502994</v>
      </c>
      <c r="X708" s="15" t="n">
        <v>0.0162085976039466</v>
      </c>
      <c r="Y708" s="13" t="n">
        <v>0.0157629522982787</v>
      </c>
      <c r="Z708" s="13" t="n">
        <v>0.0538576609546237</v>
      </c>
      <c r="AA708" s="30" t="s">
        <v>97</v>
      </c>
      <c r="AB708" s="28" t="s">
        <v>93</v>
      </c>
      <c r="AC708" s="28" t="s">
        <v>101</v>
      </c>
      <c r="AD708" s="28" t="s">
        <v>107</v>
      </c>
      <c r="AE708" s="28" t="s">
        <v>113</v>
      </c>
      <c r="AF708" s="28" t="s">
        <v>118</v>
      </c>
      <c r="AG708" s="30" t="s">
        <v>122</v>
      </c>
    </row>
    <row r="709" customFormat="false" ht="15" hidden="false" customHeight="false" outlineLevel="0" collapsed="false">
      <c r="A709" s="10" t="n">
        <v>2026</v>
      </c>
      <c r="B709" s="28" t="s">
        <v>75</v>
      </c>
      <c r="C709" s="29" t="n">
        <v>46037</v>
      </c>
      <c r="D709" s="30" t="s">
        <v>128</v>
      </c>
      <c r="E709" s="28" t="s">
        <v>621</v>
      </c>
      <c r="F709" s="30" t="s">
        <v>622</v>
      </c>
      <c r="G709" s="31" t="n">
        <v>32132</v>
      </c>
      <c r="H709" s="31" t="n">
        <v>3</v>
      </c>
      <c r="I709" s="31" t="n">
        <v>96396</v>
      </c>
      <c r="J709" s="29" t="n">
        <v>46041</v>
      </c>
      <c r="K709" s="31" t="n">
        <v>30569</v>
      </c>
      <c r="L709" s="30" t="s">
        <v>32</v>
      </c>
      <c r="M709" s="10" t="n">
        <v>2</v>
      </c>
      <c r="N709" s="12" t="n">
        <v>-4900</v>
      </c>
      <c r="O709" s="13" t="n">
        <v>-0.0508290471211031</v>
      </c>
      <c r="P709" s="15" t="n">
        <v>0.00833745693558785</v>
      </c>
      <c r="Q709" s="13" t="n">
        <v>-0.0492373669943762</v>
      </c>
      <c r="R709" s="15" t="n">
        <v>0.0422077922077921</v>
      </c>
      <c r="S709" s="32" t="n">
        <v>29175882600</v>
      </c>
      <c r="T709" s="15" t="n">
        <v>0.00626959247648906</v>
      </c>
      <c r="U709" s="32" t="n">
        <v>16212023590</v>
      </c>
      <c r="V709" s="14" t="n">
        <v>1.71237168601087</v>
      </c>
      <c r="W709" s="13" t="n">
        <v>0.0338164251207729</v>
      </c>
      <c r="X709" s="15" t="n">
        <v>0.00934579439252326</v>
      </c>
      <c r="Y709" s="13" t="n">
        <v>0.0157629522982787</v>
      </c>
      <c r="Z709" s="13" t="n">
        <v>0.0538576609546237</v>
      </c>
      <c r="AA709" s="30" t="s">
        <v>97</v>
      </c>
      <c r="AB709" s="28" t="s">
        <v>93</v>
      </c>
      <c r="AC709" s="28" t="s">
        <v>100</v>
      </c>
      <c r="AD709" s="28" t="s">
        <v>106</v>
      </c>
      <c r="AE709" s="28" t="s">
        <v>112</v>
      </c>
      <c r="AF709" s="28" t="s">
        <v>116</v>
      </c>
      <c r="AG709" s="30" t="s">
        <v>122</v>
      </c>
    </row>
    <row r="710" customFormat="false" ht="15" hidden="false" customHeight="false" outlineLevel="0" collapsed="false">
      <c r="A710" s="10" t="n">
        <v>2026</v>
      </c>
      <c r="B710" s="28" t="s">
        <v>75</v>
      </c>
      <c r="C710" s="29" t="n">
        <v>46037</v>
      </c>
      <c r="D710" s="30" t="s">
        <v>128</v>
      </c>
      <c r="E710" s="28" t="s">
        <v>255</v>
      </c>
      <c r="F710" s="28" t="s">
        <v>256</v>
      </c>
      <c r="G710" s="31" t="n">
        <v>84885</v>
      </c>
      <c r="H710" s="31" t="n">
        <v>1</v>
      </c>
      <c r="I710" s="31" t="n">
        <v>84885</v>
      </c>
      <c r="J710" s="29" t="n">
        <v>46079</v>
      </c>
      <c r="K710" s="31" t="n">
        <v>101900</v>
      </c>
      <c r="L710" s="30" t="s">
        <v>31</v>
      </c>
      <c r="M710" s="10" t="n">
        <v>27</v>
      </c>
      <c r="N710" s="12" t="n">
        <v>16783</v>
      </c>
      <c r="O710" s="13" t="n">
        <v>0.197719524343581</v>
      </c>
      <c r="P710" s="15" t="n">
        <v>0.227546038866794</v>
      </c>
      <c r="Q710" s="13" t="n">
        <v>-0.00924547150962229</v>
      </c>
      <c r="R710" s="15" t="n">
        <v>0.02291917973462</v>
      </c>
      <c r="S710" s="32" t="n">
        <v>24122038400</v>
      </c>
      <c r="T710" s="15" t="n">
        <v>0.00236406619385332</v>
      </c>
      <c r="U710" s="32" t="n">
        <v>20392208520</v>
      </c>
      <c r="V710" s="14" t="n">
        <v>1.15303850237705</v>
      </c>
      <c r="W710" s="13" t="n">
        <v>0.0216867469879518</v>
      </c>
      <c r="X710" s="15" t="n">
        <v>0.00235849056603765</v>
      </c>
      <c r="Y710" s="13" t="n">
        <v>0.0157629522982787</v>
      </c>
      <c r="Z710" s="13" t="n">
        <v>0.0538576609546237</v>
      </c>
      <c r="AA710" s="30" t="s">
        <v>97</v>
      </c>
      <c r="AB710" s="28" t="s">
        <v>93</v>
      </c>
      <c r="AC710" s="28" t="s">
        <v>99</v>
      </c>
      <c r="AD710" s="28" t="s">
        <v>106</v>
      </c>
      <c r="AE710" s="28" t="s">
        <v>112</v>
      </c>
      <c r="AF710" s="28" t="s">
        <v>116</v>
      </c>
      <c r="AG710" s="30" t="s">
        <v>122</v>
      </c>
    </row>
    <row r="711" customFormat="false" ht="15" hidden="false" customHeight="false" outlineLevel="0" collapsed="false">
      <c r="A711" s="10" t="n">
        <v>2026</v>
      </c>
      <c r="B711" s="28" t="s">
        <v>75</v>
      </c>
      <c r="C711" s="29" t="n">
        <v>46037</v>
      </c>
      <c r="D711" s="30" t="s">
        <v>128</v>
      </c>
      <c r="E711" s="28" t="s">
        <v>999</v>
      </c>
      <c r="F711" s="30" t="s">
        <v>1000</v>
      </c>
      <c r="G711" s="31" t="n">
        <v>44001</v>
      </c>
      <c r="H711" s="31" t="n">
        <v>2</v>
      </c>
      <c r="I711" s="31" t="n">
        <v>88003</v>
      </c>
      <c r="J711" s="29" t="n">
        <v>46038</v>
      </c>
      <c r="K711" s="31" t="n">
        <v>41858</v>
      </c>
      <c r="L711" s="30" t="s">
        <v>32</v>
      </c>
      <c r="M711" s="10" t="n">
        <v>1</v>
      </c>
      <c r="N711" s="12" t="n">
        <v>-4480</v>
      </c>
      <c r="O711" s="13" t="n">
        <v>-0.0509031698075675</v>
      </c>
      <c r="P711" s="15" t="n">
        <v>0.0285617265890408</v>
      </c>
      <c r="Q711" s="13" t="n">
        <v>-0.085133379518812</v>
      </c>
      <c r="R711" s="15" t="n">
        <v>0.0856672158154861</v>
      </c>
      <c r="S711" s="32" t="n">
        <v>23090832800</v>
      </c>
      <c r="T711" s="15" t="n">
        <v>0.0130668716372022</v>
      </c>
      <c r="U711" s="32" t="n">
        <v>17844640215</v>
      </c>
      <c r="V711" s="14" t="n">
        <v>1.16783786414109</v>
      </c>
      <c r="W711" s="13" t="n">
        <v>0.0680713128038899</v>
      </c>
      <c r="X711" s="15" t="n">
        <v>0.0121396054628224</v>
      </c>
      <c r="Y711" s="13" t="n">
        <v>0.0157629522982787</v>
      </c>
      <c r="Z711" s="13" t="n">
        <v>0.0538576609546237</v>
      </c>
      <c r="AA711" s="30" t="s">
        <v>97</v>
      </c>
      <c r="AB711" s="28" t="s">
        <v>93</v>
      </c>
      <c r="AC711" s="28" t="s">
        <v>101</v>
      </c>
      <c r="AD711" s="28" t="s">
        <v>106</v>
      </c>
      <c r="AE711" s="28" t="s">
        <v>112</v>
      </c>
      <c r="AF711" s="28" t="s">
        <v>116</v>
      </c>
      <c r="AG711" s="30" t="s">
        <v>122</v>
      </c>
    </row>
    <row r="712" customFormat="false" ht="15" hidden="false" customHeight="false" outlineLevel="0" collapsed="false">
      <c r="A712" s="10" t="n">
        <v>2026</v>
      </c>
      <c r="B712" s="28" t="s">
        <v>75</v>
      </c>
      <c r="C712" s="29" t="n">
        <v>46037</v>
      </c>
      <c r="D712" s="30" t="s">
        <v>128</v>
      </c>
      <c r="E712" s="28" t="s">
        <v>211</v>
      </c>
      <c r="F712" s="30" t="s">
        <v>212</v>
      </c>
      <c r="G712" s="31" t="n">
        <v>61862</v>
      </c>
      <c r="H712" s="31" t="n">
        <v>1</v>
      </c>
      <c r="I712" s="31" t="n">
        <v>61862</v>
      </c>
      <c r="J712" s="29" t="n">
        <v>46063</v>
      </c>
      <c r="K712" s="31" t="n">
        <v>74300</v>
      </c>
      <c r="L712" s="30" t="s">
        <v>31</v>
      </c>
      <c r="M712" s="10" t="n">
        <v>18</v>
      </c>
      <c r="N712" s="12" t="n">
        <v>12269</v>
      </c>
      <c r="O712" s="13" t="n">
        <v>0.198332019598525</v>
      </c>
      <c r="P712" s="15" t="n">
        <v>0.204297320802175</v>
      </c>
      <c r="Q712" s="13" t="n">
        <v>-0.0220135851203812</v>
      </c>
      <c r="R712" s="15" t="n">
        <v>0.038655462184874</v>
      </c>
      <c r="S712" s="32" t="n">
        <v>21685434600</v>
      </c>
      <c r="T712" s="15" t="n">
        <v>0.00980392156862742</v>
      </c>
      <c r="U712" s="32" t="n">
        <v>13098649240</v>
      </c>
      <c r="V712" s="14" t="n">
        <v>1.56864524487213</v>
      </c>
      <c r="W712" s="13" t="n">
        <v>0.042158516020236</v>
      </c>
      <c r="X712" s="15" t="n">
        <v>0.0016181229773462</v>
      </c>
      <c r="Y712" s="13" t="n">
        <v>0.0157629522982787</v>
      </c>
      <c r="Z712" s="13" t="n">
        <v>0.0538576609546237</v>
      </c>
      <c r="AA712" s="30" t="s">
        <v>97</v>
      </c>
      <c r="AB712" s="28" t="s">
        <v>93</v>
      </c>
      <c r="AC712" s="28" t="s">
        <v>100</v>
      </c>
      <c r="AD712" s="28" t="s">
        <v>106</v>
      </c>
      <c r="AE712" s="28" t="s">
        <v>112</v>
      </c>
      <c r="AF712" s="28" t="s">
        <v>116</v>
      </c>
      <c r="AG712" s="30" t="s">
        <v>122</v>
      </c>
    </row>
    <row r="713" customFormat="false" ht="15" hidden="false" customHeight="false" outlineLevel="0" collapsed="false">
      <c r="A713" s="10" t="n">
        <v>2026</v>
      </c>
      <c r="B713" s="28" t="s">
        <v>75</v>
      </c>
      <c r="C713" s="29" t="n">
        <v>46038</v>
      </c>
      <c r="D713" s="30" t="s">
        <v>129</v>
      </c>
      <c r="E713" s="28" t="s">
        <v>609</v>
      </c>
      <c r="F713" s="28" t="s">
        <v>610</v>
      </c>
      <c r="G713" s="31" t="n">
        <v>98498</v>
      </c>
      <c r="H713" s="31" t="n">
        <v>1</v>
      </c>
      <c r="I713" s="31" t="n">
        <v>98498</v>
      </c>
      <c r="J713" s="29" t="n">
        <v>46064</v>
      </c>
      <c r="K713" s="31" t="n">
        <v>118200</v>
      </c>
      <c r="L713" s="30" t="s">
        <v>31</v>
      </c>
      <c r="M713" s="10" t="n">
        <v>18</v>
      </c>
      <c r="N713" s="12" t="n">
        <v>19433</v>
      </c>
      <c r="O713" s="13" t="n">
        <v>0.197289450793109</v>
      </c>
      <c r="P713" s="15" t="n">
        <v>0.306620209059234</v>
      </c>
      <c r="Q713" s="13" t="n">
        <v>-0.0324715934472032</v>
      </c>
      <c r="R713" s="15" t="n">
        <v>0.0468085106382978</v>
      </c>
      <c r="S713" s="32" t="n">
        <v>457859234400</v>
      </c>
      <c r="T713" s="15" t="n">
        <v>0.0218068535825544</v>
      </c>
      <c r="U713" s="32" t="n">
        <v>74153109340</v>
      </c>
      <c r="V713" s="14" t="n">
        <v>5.78291216091094</v>
      </c>
      <c r="W713" s="13" t="n">
        <v>0.0347003154574133</v>
      </c>
      <c r="X713" s="15" t="n">
        <v>0.0538617886178863</v>
      </c>
      <c r="Y713" s="13" t="n">
        <v>0.00900251169867938</v>
      </c>
      <c r="Z713" s="13" t="n">
        <v>0.0554736695215337</v>
      </c>
      <c r="AA713" s="30" t="s">
        <v>97</v>
      </c>
      <c r="AB713" s="28" t="s">
        <v>93</v>
      </c>
      <c r="AC713" s="28" t="s">
        <v>100</v>
      </c>
      <c r="AD713" s="28" t="s">
        <v>110</v>
      </c>
      <c r="AE713" s="28" t="s">
        <v>113</v>
      </c>
      <c r="AF713" s="28" t="s">
        <v>119</v>
      </c>
      <c r="AG713" s="30" t="s">
        <v>122</v>
      </c>
    </row>
    <row r="714" customFormat="false" ht="15" hidden="false" customHeight="false" outlineLevel="0" collapsed="false">
      <c r="A714" s="10" t="n">
        <v>2026</v>
      </c>
      <c r="B714" s="28" t="s">
        <v>75</v>
      </c>
      <c r="C714" s="29" t="n">
        <v>46038</v>
      </c>
      <c r="D714" s="30" t="s">
        <v>129</v>
      </c>
      <c r="E714" s="28" t="s">
        <v>807</v>
      </c>
      <c r="F714" s="30" t="s">
        <v>808</v>
      </c>
      <c r="G714" s="31" t="n">
        <v>59459</v>
      </c>
      <c r="H714" s="31" t="n">
        <v>1</v>
      </c>
      <c r="I714" s="31" t="n">
        <v>59459</v>
      </c>
      <c r="J714" s="29" t="n">
        <v>46049</v>
      </c>
      <c r="K714" s="31" t="n">
        <v>76200</v>
      </c>
      <c r="L714" s="30" t="s">
        <v>31</v>
      </c>
      <c r="M714" s="10" t="n">
        <v>7</v>
      </c>
      <c r="N714" s="12" t="n">
        <v>16568</v>
      </c>
      <c r="O714" s="13" t="n">
        <v>0.278641410609592</v>
      </c>
      <c r="P714" s="15" t="n">
        <v>0.295001295001295</v>
      </c>
      <c r="Q714" s="13" t="n">
        <v>-0.0161353797717433</v>
      </c>
      <c r="R714" s="15" t="n">
        <v>0.0439367311072056</v>
      </c>
      <c r="S714" s="32" t="n">
        <v>164508656400</v>
      </c>
      <c r="T714" s="15" t="n">
        <v>0.0188679245283019</v>
      </c>
      <c r="U714" s="32" t="n">
        <v>50067953025</v>
      </c>
      <c r="V714" s="14" t="n">
        <v>3.05143796567864</v>
      </c>
      <c r="W714" s="13" t="n">
        <v>0.0348432055749128</v>
      </c>
      <c r="X714" s="15" t="n">
        <v>0.0303030303030303</v>
      </c>
      <c r="Y714" s="13" t="n">
        <v>0.00900251169867938</v>
      </c>
      <c r="Z714" s="13" t="n">
        <v>0.0554736695215337</v>
      </c>
      <c r="AA714" s="30" t="s">
        <v>97</v>
      </c>
      <c r="AB714" s="28" t="s">
        <v>93</v>
      </c>
      <c r="AC714" s="28" t="s">
        <v>100</v>
      </c>
      <c r="AD714" s="28" t="s">
        <v>109</v>
      </c>
      <c r="AE714" s="28" t="s">
        <v>112</v>
      </c>
      <c r="AF714" s="28" t="s">
        <v>118</v>
      </c>
      <c r="AG714" s="30" t="s">
        <v>122</v>
      </c>
    </row>
    <row r="715" customFormat="false" ht="15" hidden="false" customHeight="false" outlineLevel="0" collapsed="false">
      <c r="A715" s="10" t="n">
        <v>2026</v>
      </c>
      <c r="B715" s="28" t="s">
        <v>75</v>
      </c>
      <c r="C715" s="29" t="n">
        <v>46038</v>
      </c>
      <c r="D715" s="30" t="s">
        <v>129</v>
      </c>
      <c r="E715" s="28" t="s">
        <v>1477</v>
      </c>
      <c r="F715" s="30" t="s">
        <v>1478</v>
      </c>
      <c r="G715" s="31" t="n">
        <v>8889</v>
      </c>
      <c r="H715" s="31" t="n">
        <v>11</v>
      </c>
      <c r="I715" s="31" t="n">
        <v>97778</v>
      </c>
      <c r="J715" s="29" t="n">
        <v>46043</v>
      </c>
      <c r="K715" s="31" t="n">
        <v>10670</v>
      </c>
      <c r="L715" s="30" t="s">
        <v>31</v>
      </c>
      <c r="M715" s="10" t="n">
        <v>3</v>
      </c>
      <c r="N715" s="12" t="n">
        <v>19325</v>
      </c>
      <c r="O715" s="13" t="n">
        <v>0.197645391545392</v>
      </c>
      <c r="P715" s="15" t="n">
        <v>0.324126324126324</v>
      </c>
      <c r="Q715" s="13" t="n">
        <v>-0.0246240246240246</v>
      </c>
      <c r="R715" s="15" t="n">
        <v>0.062200956937799</v>
      </c>
      <c r="S715" s="32" t="n">
        <v>115444972800</v>
      </c>
      <c r="T715" s="15" t="n">
        <v>0.062200956937799</v>
      </c>
      <c r="U715" s="32" t="n">
        <v>5763544061.5</v>
      </c>
      <c r="V715" s="14" t="n">
        <v>17.8116922146118</v>
      </c>
      <c r="W715" s="13" t="n">
        <v>0.0533807829181494</v>
      </c>
      <c r="X715" s="15" t="n">
        <v>0.136261261261261</v>
      </c>
      <c r="Y715" s="13" t="n">
        <v>0.00900251169867938</v>
      </c>
      <c r="Z715" s="13" t="n">
        <v>0.0554736695215337</v>
      </c>
      <c r="AA715" s="30" t="s">
        <v>97</v>
      </c>
      <c r="AB715" s="28" t="s">
        <v>93</v>
      </c>
      <c r="AC715" s="28" t="s">
        <v>101</v>
      </c>
      <c r="AD715" s="28" t="s">
        <v>109</v>
      </c>
      <c r="AE715" s="28" t="s">
        <v>101</v>
      </c>
      <c r="AF715" s="28" t="s">
        <v>120</v>
      </c>
      <c r="AG715" s="30" t="s">
        <v>122</v>
      </c>
    </row>
    <row r="716" customFormat="false" ht="15" hidden="false" customHeight="false" outlineLevel="0" collapsed="false">
      <c r="A716" s="10" t="n">
        <v>2026</v>
      </c>
      <c r="B716" s="28" t="s">
        <v>75</v>
      </c>
      <c r="C716" s="29" t="n">
        <v>46038</v>
      </c>
      <c r="D716" s="30" t="s">
        <v>129</v>
      </c>
      <c r="E716" s="28" t="s">
        <v>1051</v>
      </c>
      <c r="F716" s="30" t="s">
        <v>1052</v>
      </c>
      <c r="G716" s="31" t="n">
        <v>5836</v>
      </c>
      <c r="H716" s="31" t="n">
        <v>17</v>
      </c>
      <c r="I716" s="31" t="n">
        <v>99209</v>
      </c>
      <c r="J716" s="29" t="n">
        <v>46042</v>
      </c>
      <c r="K716" s="31" t="n">
        <v>7010</v>
      </c>
      <c r="L716" s="30" t="s">
        <v>31</v>
      </c>
      <c r="M716" s="10" t="n">
        <v>2</v>
      </c>
      <c r="N716" s="12" t="n">
        <v>19690</v>
      </c>
      <c r="O716" s="13" t="n">
        <v>0.198467591670765</v>
      </c>
      <c r="P716" s="15" t="n">
        <v>0.336570804838387</v>
      </c>
      <c r="Q716" s="13" t="n">
        <v>0.0109958651982667</v>
      </c>
      <c r="R716" s="15" t="n">
        <v>0.0836431226765799</v>
      </c>
      <c r="S716" s="32" t="n">
        <v>76791098450</v>
      </c>
      <c r="T716" s="15" t="n">
        <v>0.0318584070796459</v>
      </c>
      <c r="U716" s="32" t="n">
        <v>9772355010</v>
      </c>
      <c r="V716" s="14" t="n">
        <v>7.2268349401986</v>
      </c>
      <c r="W716" s="13" t="n">
        <v>0.0856610800744879</v>
      </c>
      <c r="X716" s="15" t="n">
        <v>0.0137221269296741</v>
      </c>
      <c r="Y716" s="13" t="n">
        <v>0.00900251169867938</v>
      </c>
      <c r="Z716" s="13" t="n">
        <v>0.0554736695215337</v>
      </c>
      <c r="AA716" s="30" t="s">
        <v>97</v>
      </c>
      <c r="AB716" s="28" t="s">
        <v>93</v>
      </c>
      <c r="AC716" s="28" t="s">
        <v>101</v>
      </c>
      <c r="AD716" s="28" t="s">
        <v>108</v>
      </c>
      <c r="AE716" s="28" t="s">
        <v>113</v>
      </c>
      <c r="AF716" s="28" t="s">
        <v>119</v>
      </c>
      <c r="AG716" s="30" t="s">
        <v>122</v>
      </c>
    </row>
    <row r="717" customFormat="false" ht="15" hidden="false" customHeight="false" outlineLevel="0" collapsed="false">
      <c r="A717" s="10" t="n">
        <v>2026</v>
      </c>
      <c r="B717" s="28" t="s">
        <v>75</v>
      </c>
      <c r="C717" s="29" t="n">
        <v>46038</v>
      </c>
      <c r="D717" s="30" t="s">
        <v>129</v>
      </c>
      <c r="E717" s="28" t="s">
        <v>1447</v>
      </c>
      <c r="F717" s="30" t="s">
        <v>1448</v>
      </c>
      <c r="G717" s="31" t="n">
        <v>55555</v>
      </c>
      <c r="H717" s="31" t="n">
        <v>1</v>
      </c>
      <c r="I717" s="31" t="n">
        <v>55555</v>
      </c>
      <c r="J717" s="29" t="n">
        <v>46085</v>
      </c>
      <c r="K717" s="31" t="n">
        <v>52847</v>
      </c>
      <c r="L717" s="30" t="s">
        <v>32</v>
      </c>
      <c r="M717" s="10" t="n">
        <v>29</v>
      </c>
      <c r="N717" s="12" t="n">
        <v>-2830</v>
      </c>
      <c r="O717" s="13" t="n">
        <v>-0.0509464335664336</v>
      </c>
      <c r="P717" s="15" t="n">
        <v>0.188001188001188</v>
      </c>
      <c r="Q717" s="13" t="n">
        <v>-0.0981990981990981</v>
      </c>
      <c r="R717" s="15" t="n">
        <v>0.0471698113207548</v>
      </c>
      <c r="S717" s="32" t="n">
        <v>42229062000</v>
      </c>
      <c r="T717" s="15" t="n">
        <v>0.0335195530726258</v>
      </c>
      <c r="U717" s="32" t="n">
        <v>9386044970</v>
      </c>
      <c r="V717" s="14" t="n">
        <v>4.18300495495025</v>
      </c>
      <c r="W717" s="13" t="n">
        <v>0.0451977401129944</v>
      </c>
      <c r="X717" s="15" t="n">
        <v>0.0144144144144145</v>
      </c>
      <c r="Y717" s="13" t="n">
        <v>0.00900251169867938</v>
      </c>
      <c r="Z717" s="13" t="n">
        <v>0.0554736695215337</v>
      </c>
      <c r="AA717" s="30" t="s">
        <v>97</v>
      </c>
      <c r="AB717" s="28" t="s">
        <v>93</v>
      </c>
      <c r="AC717" s="28" t="s">
        <v>100</v>
      </c>
      <c r="AD717" s="28" t="s">
        <v>107</v>
      </c>
      <c r="AE717" s="28" t="s">
        <v>113</v>
      </c>
      <c r="AF717" s="28" t="s">
        <v>118</v>
      </c>
      <c r="AG717" s="30" t="s">
        <v>122</v>
      </c>
    </row>
    <row r="718" customFormat="false" ht="15" hidden="false" customHeight="false" outlineLevel="0" collapsed="false">
      <c r="A718" s="10" t="n">
        <v>2026</v>
      </c>
      <c r="B718" s="28" t="s">
        <v>75</v>
      </c>
      <c r="C718" s="29" t="n">
        <v>46038</v>
      </c>
      <c r="D718" s="30" t="s">
        <v>129</v>
      </c>
      <c r="E718" s="28" t="s">
        <v>875</v>
      </c>
      <c r="F718" s="30" t="s">
        <v>876</v>
      </c>
      <c r="G718" s="31" t="n">
        <v>59760</v>
      </c>
      <c r="H718" s="31" t="n">
        <v>1</v>
      </c>
      <c r="I718" s="31" t="n">
        <v>59760</v>
      </c>
      <c r="J718" s="29" t="n">
        <v>46051</v>
      </c>
      <c r="K718" s="31" t="n">
        <v>72000</v>
      </c>
      <c r="L718" s="30" t="s">
        <v>31</v>
      </c>
      <c r="M718" s="10" t="n">
        <v>9</v>
      </c>
      <c r="N718" s="12" t="n">
        <v>12077</v>
      </c>
      <c r="O718" s="13" t="n">
        <v>0.20208495097867</v>
      </c>
      <c r="P718" s="15" t="n">
        <v>0.298533961850545</v>
      </c>
      <c r="Q718" s="13" t="n">
        <v>-0.0461799507025636</v>
      </c>
      <c r="R718" s="15" t="n">
        <v>0.0222602739726028</v>
      </c>
      <c r="S718" s="32" t="n">
        <v>26270925300</v>
      </c>
      <c r="T718" s="15" t="n">
        <v>0.0118644067796609</v>
      </c>
      <c r="U718" s="32" t="n">
        <v>11452969400</v>
      </c>
      <c r="V718" s="14" t="n">
        <v>2.19156421414776</v>
      </c>
      <c r="W718" s="13" t="n">
        <v>0.0118644067796609</v>
      </c>
      <c r="X718" s="15" t="n">
        <v>0.051926298157454</v>
      </c>
      <c r="Y718" s="13" t="n">
        <v>0.00900251169867938</v>
      </c>
      <c r="Z718" s="13" t="n">
        <v>0.0554736695215337</v>
      </c>
      <c r="AA718" s="30" t="s">
        <v>97</v>
      </c>
      <c r="AB718" s="28" t="s">
        <v>93</v>
      </c>
      <c r="AC718" s="28" t="s">
        <v>99</v>
      </c>
      <c r="AD718" s="28" t="s">
        <v>106</v>
      </c>
      <c r="AE718" s="28" t="s">
        <v>112</v>
      </c>
      <c r="AF718" s="28" t="s">
        <v>117</v>
      </c>
      <c r="AG718" s="30" t="s">
        <v>122</v>
      </c>
    </row>
    <row r="719" customFormat="false" ht="15" hidden="false" customHeight="false" outlineLevel="0" collapsed="false">
      <c r="A719" s="10" t="n">
        <v>2026</v>
      </c>
      <c r="B719" s="28" t="s">
        <v>75</v>
      </c>
      <c r="C719" s="29" t="n">
        <v>46041</v>
      </c>
      <c r="D719" s="30" t="s">
        <v>125</v>
      </c>
      <c r="E719" s="28" t="s">
        <v>1479</v>
      </c>
      <c r="F719" s="30" t="s">
        <v>1480</v>
      </c>
      <c r="G719" s="31" t="n">
        <v>5495</v>
      </c>
      <c r="H719" s="31" t="n">
        <v>18</v>
      </c>
      <c r="I719" s="31" t="n">
        <v>98919</v>
      </c>
      <c r="J719" s="29" t="n">
        <v>46043</v>
      </c>
      <c r="K719" s="31" t="n">
        <v>5225</v>
      </c>
      <c r="L719" s="30" t="s">
        <v>32</v>
      </c>
      <c r="M719" s="10" t="n">
        <v>2</v>
      </c>
      <c r="N719" s="12" t="n">
        <v>-5090</v>
      </c>
      <c r="O719" s="13" t="n">
        <v>-0.0514562994382665</v>
      </c>
      <c r="P719" s="15" t="n">
        <v>0.0353944780174289</v>
      </c>
      <c r="Q719" s="13" t="n">
        <v>-0.0901630245892541</v>
      </c>
      <c r="R719" s="15" t="n">
        <v>0.0378071833648392</v>
      </c>
      <c r="S719" s="32" t="n">
        <v>104297806710</v>
      </c>
      <c r="T719" s="15" t="n">
        <v>0.0358490566037737</v>
      </c>
      <c r="U719" s="32" t="n">
        <v>29668967487.25</v>
      </c>
      <c r="V719" s="14" t="n">
        <v>3.16079248035427</v>
      </c>
      <c r="W719" s="13" t="n">
        <v>0.0358490566037737</v>
      </c>
      <c r="X719" s="15" t="n">
        <v>0.0728597449908925</v>
      </c>
      <c r="Y719" s="13" t="n">
        <v>0.0132045926862423</v>
      </c>
      <c r="Z719" s="13" t="n">
        <v>0.0605151801487203</v>
      </c>
      <c r="AA719" s="30" t="s">
        <v>97</v>
      </c>
      <c r="AB719" s="28" t="s">
        <v>93</v>
      </c>
      <c r="AC719" s="28" t="s">
        <v>100</v>
      </c>
      <c r="AD719" s="28" t="s">
        <v>109</v>
      </c>
      <c r="AE719" s="28" t="s">
        <v>113</v>
      </c>
      <c r="AF719" s="28" t="s">
        <v>118</v>
      </c>
      <c r="AG719" s="30" t="s">
        <v>122</v>
      </c>
    </row>
    <row r="720" customFormat="false" ht="15" hidden="false" customHeight="false" outlineLevel="0" collapsed="false">
      <c r="A720" s="10" t="n">
        <v>2026</v>
      </c>
      <c r="B720" s="28" t="s">
        <v>75</v>
      </c>
      <c r="C720" s="29" t="n">
        <v>46041</v>
      </c>
      <c r="D720" s="30" t="s">
        <v>125</v>
      </c>
      <c r="E720" s="28" t="s">
        <v>719</v>
      </c>
      <c r="F720" s="30" t="s">
        <v>720</v>
      </c>
      <c r="G720" s="31" t="n">
        <v>97998</v>
      </c>
      <c r="H720" s="31" t="n">
        <v>1</v>
      </c>
      <c r="I720" s="31" t="n">
        <v>97998</v>
      </c>
      <c r="J720" s="29" t="n">
        <v>46042</v>
      </c>
      <c r="K720" s="31" t="n">
        <v>93207</v>
      </c>
      <c r="L720" s="30" t="s">
        <v>32</v>
      </c>
      <c r="M720" s="10" t="n">
        <v>1</v>
      </c>
      <c r="N720" s="12" t="n">
        <v>-5006</v>
      </c>
      <c r="O720" s="13" t="n">
        <v>-0.0510857282656058</v>
      </c>
      <c r="P720" s="15" t="n">
        <v>0.0367569100970531</v>
      </c>
      <c r="Q720" s="13" t="n">
        <v>-0.0846742634280938</v>
      </c>
      <c r="R720" s="15" t="n">
        <v>0.0987654320987654</v>
      </c>
      <c r="S720" s="32" t="n">
        <v>85693338500</v>
      </c>
      <c r="T720" s="15" t="n">
        <v>0.0793825799338479</v>
      </c>
      <c r="U720" s="32" t="n">
        <v>16088828690</v>
      </c>
      <c r="V720" s="14" t="n">
        <v>4.66859690346069</v>
      </c>
      <c r="W720" s="13" t="n">
        <v>0.0470588235294118</v>
      </c>
      <c r="X720" s="15" t="n">
        <v>0.0500510725229826</v>
      </c>
      <c r="Y720" s="13" t="n">
        <v>0.0132045926862423</v>
      </c>
      <c r="Z720" s="13" t="n">
        <v>0.0605151801487203</v>
      </c>
      <c r="AA720" s="30" t="s">
        <v>97</v>
      </c>
      <c r="AB720" s="28" t="s">
        <v>93</v>
      </c>
      <c r="AC720" s="28" t="s">
        <v>101</v>
      </c>
      <c r="AD720" s="28" t="s">
        <v>108</v>
      </c>
      <c r="AE720" s="28" t="s">
        <v>101</v>
      </c>
      <c r="AF720" s="28" t="s">
        <v>118</v>
      </c>
      <c r="AG720" s="30" t="s">
        <v>122</v>
      </c>
    </row>
    <row r="721" customFormat="false" ht="15" hidden="false" customHeight="false" outlineLevel="0" collapsed="false">
      <c r="A721" s="10" t="n">
        <v>2026</v>
      </c>
      <c r="B721" s="28" t="s">
        <v>75</v>
      </c>
      <c r="C721" s="29" t="n">
        <v>46041</v>
      </c>
      <c r="D721" s="30" t="s">
        <v>125</v>
      </c>
      <c r="E721" s="28" t="s">
        <v>599</v>
      </c>
      <c r="F721" s="30" t="s">
        <v>600</v>
      </c>
      <c r="G721" s="31" t="n">
        <v>65666</v>
      </c>
      <c r="H721" s="31" t="n">
        <v>1</v>
      </c>
      <c r="I721" s="31" t="n">
        <v>65666</v>
      </c>
      <c r="J721" s="29" t="n">
        <v>46042</v>
      </c>
      <c r="K721" s="31" t="n">
        <v>62438</v>
      </c>
      <c r="L721" s="30" t="s">
        <v>32</v>
      </c>
      <c r="M721" s="10" t="n">
        <v>1</v>
      </c>
      <c r="N721" s="12" t="n">
        <v>-3372</v>
      </c>
      <c r="O721" s="13" t="n">
        <v>-0.0513539884658025</v>
      </c>
      <c r="P721" s="15" t="n">
        <v>0.0599156940620356</v>
      </c>
      <c r="Q721" s="13" t="n">
        <v>-0.0878024414609779</v>
      </c>
      <c r="R721" s="15" t="n">
        <v>0.0988274706867671</v>
      </c>
      <c r="S721" s="32" t="n">
        <v>84462492800</v>
      </c>
      <c r="T721" s="15" t="n">
        <v>0.0379746835443038</v>
      </c>
      <c r="U721" s="32" t="n">
        <v>17719977240</v>
      </c>
      <c r="V721" s="14" t="n">
        <v>4.2147360171871</v>
      </c>
      <c r="W721" s="13" t="n">
        <v>0.0563607085346216</v>
      </c>
      <c r="X721" s="15" t="n">
        <v>0.0609756097560976</v>
      </c>
      <c r="Y721" s="13" t="n">
        <v>0.0132045926862423</v>
      </c>
      <c r="Z721" s="13" t="n">
        <v>0.0605151801487203</v>
      </c>
      <c r="AA721" s="30" t="s">
        <v>97</v>
      </c>
      <c r="AB721" s="28" t="s">
        <v>93</v>
      </c>
      <c r="AC721" s="28" t="s">
        <v>101</v>
      </c>
      <c r="AD721" s="28" t="s">
        <v>108</v>
      </c>
      <c r="AE721" s="28" t="s">
        <v>113</v>
      </c>
      <c r="AF721" s="28" t="s">
        <v>118</v>
      </c>
      <c r="AG721" s="30" t="s">
        <v>122</v>
      </c>
    </row>
    <row r="722" customFormat="false" ht="15" hidden="false" customHeight="false" outlineLevel="0" collapsed="false">
      <c r="A722" s="10" t="n">
        <v>2026</v>
      </c>
      <c r="B722" s="28" t="s">
        <v>75</v>
      </c>
      <c r="C722" s="29" t="n">
        <v>46041</v>
      </c>
      <c r="D722" s="30" t="s">
        <v>125</v>
      </c>
      <c r="E722" s="28" t="s">
        <v>1191</v>
      </c>
      <c r="F722" s="30" t="s">
        <v>1192</v>
      </c>
      <c r="G722" s="31" t="n">
        <v>16116</v>
      </c>
      <c r="H722" s="31" t="n">
        <v>6</v>
      </c>
      <c r="I722" s="31" t="n">
        <v>96697</v>
      </c>
      <c r="J722" s="29" t="n">
        <v>46043</v>
      </c>
      <c r="K722" s="31" t="n">
        <v>15335</v>
      </c>
      <c r="L722" s="30" t="s">
        <v>32</v>
      </c>
      <c r="M722" s="10" t="n">
        <v>2</v>
      </c>
      <c r="N722" s="12" t="n">
        <v>-4901</v>
      </c>
      <c r="O722" s="13" t="n">
        <v>-0.0506845274290927</v>
      </c>
      <c r="P722" s="15" t="n">
        <v>0.0176159244482226</v>
      </c>
      <c r="Q722" s="13" t="n">
        <v>-0.0531207922512269</v>
      </c>
      <c r="R722" s="15" t="n">
        <v>0.152469577666428</v>
      </c>
      <c r="S722" s="32" t="n">
        <v>55681431400</v>
      </c>
      <c r="T722" s="15" t="n">
        <v>0.0144927536231885</v>
      </c>
      <c r="U722" s="32" t="n">
        <v>5910309650.5</v>
      </c>
      <c r="V722" s="14" t="n">
        <v>8.67474116356782</v>
      </c>
      <c r="W722" s="13" t="n">
        <v>0.165821868211441</v>
      </c>
      <c r="X722" s="15" t="n">
        <v>0.037888198757764</v>
      </c>
      <c r="Y722" s="13" t="n">
        <v>0.0132045926862423</v>
      </c>
      <c r="Z722" s="13" t="n">
        <v>0.0605151801487203</v>
      </c>
      <c r="AA722" s="30" t="s">
        <v>97</v>
      </c>
      <c r="AB722" s="28" t="s">
        <v>93</v>
      </c>
      <c r="AC722" s="28" t="s">
        <v>103</v>
      </c>
      <c r="AD722" s="28" t="s">
        <v>108</v>
      </c>
      <c r="AE722" s="28" t="s">
        <v>112</v>
      </c>
      <c r="AF722" s="28" t="s">
        <v>119</v>
      </c>
      <c r="AG722" s="30" t="s">
        <v>122</v>
      </c>
    </row>
    <row r="723" customFormat="false" ht="15" hidden="false" customHeight="false" outlineLevel="0" collapsed="false">
      <c r="A723" s="10" t="n">
        <v>2026</v>
      </c>
      <c r="B723" s="28" t="s">
        <v>75</v>
      </c>
      <c r="C723" s="29" t="n">
        <v>46041</v>
      </c>
      <c r="D723" s="30" t="s">
        <v>125</v>
      </c>
      <c r="E723" s="28" t="s">
        <v>1113</v>
      </c>
      <c r="F723" s="30" t="s">
        <v>1114</v>
      </c>
      <c r="G723" s="31" t="n">
        <v>73173</v>
      </c>
      <c r="H723" s="31" t="n">
        <v>1</v>
      </c>
      <c r="I723" s="31" t="n">
        <v>73173</v>
      </c>
      <c r="J723" s="29" t="n">
        <v>46042</v>
      </c>
      <c r="K723" s="31" t="n">
        <v>69630</v>
      </c>
      <c r="L723" s="30" t="s">
        <v>32</v>
      </c>
      <c r="M723" s="10" t="n">
        <v>1</v>
      </c>
      <c r="N723" s="12" t="n">
        <v>-3703</v>
      </c>
      <c r="O723" s="13" t="n">
        <v>-0.0506126036753943</v>
      </c>
      <c r="P723" s="15" t="n">
        <v>-0.0119319804682321</v>
      </c>
      <c r="Q723" s="13" t="n">
        <v>-0.0597637656461185</v>
      </c>
      <c r="R723" s="15" t="n">
        <v>0.0181058495821727</v>
      </c>
      <c r="S723" s="32" t="n">
        <v>43610875200</v>
      </c>
      <c r="T723" s="15" t="n">
        <v>0.00966850828729271</v>
      </c>
      <c r="U723" s="32" t="n">
        <v>53539691690</v>
      </c>
      <c r="V723" s="14" t="n">
        <v>0.746735818885473</v>
      </c>
      <c r="W723" s="13" t="n">
        <v>0.0238095238095237</v>
      </c>
      <c r="X723" s="15" t="n">
        <v>0.0383036935704515</v>
      </c>
      <c r="Y723" s="13" t="n">
        <v>0.0132045926862423</v>
      </c>
      <c r="Z723" s="13" t="n">
        <v>0.0605151801487203</v>
      </c>
      <c r="AA723" s="30" t="s">
        <v>97</v>
      </c>
      <c r="AB723" s="28" t="s">
        <v>93</v>
      </c>
      <c r="AC723" s="28" t="s">
        <v>99</v>
      </c>
      <c r="AD723" s="28" t="s">
        <v>107</v>
      </c>
      <c r="AE723" s="28" t="s">
        <v>112</v>
      </c>
      <c r="AF723" s="28" t="s">
        <v>116</v>
      </c>
      <c r="AG723" s="30" t="s">
        <v>122</v>
      </c>
    </row>
    <row r="724" customFormat="false" ht="15" hidden="false" customHeight="false" outlineLevel="0" collapsed="false">
      <c r="A724" s="10" t="n">
        <v>2026</v>
      </c>
      <c r="B724" s="28" t="s">
        <v>75</v>
      </c>
      <c r="C724" s="29" t="n">
        <v>46041</v>
      </c>
      <c r="D724" s="30" t="s">
        <v>125</v>
      </c>
      <c r="E724" s="28" t="s">
        <v>895</v>
      </c>
      <c r="F724" s="30" t="s">
        <v>896</v>
      </c>
      <c r="G724" s="31" t="n">
        <v>22272</v>
      </c>
      <c r="H724" s="31" t="n">
        <v>4</v>
      </c>
      <c r="I724" s="31" t="n">
        <v>89089</v>
      </c>
      <c r="J724" s="29" t="n">
        <v>46042</v>
      </c>
      <c r="K724" s="31" t="n">
        <v>21179</v>
      </c>
      <c r="L724" s="30" t="s">
        <v>32</v>
      </c>
      <c r="M724" s="10" t="n">
        <v>1</v>
      </c>
      <c r="N724" s="12" t="n">
        <v>-4569</v>
      </c>
      <c r="O724" s="13" t="n">
        <v>-0.0512891718393966</v>
      </c>
      <c r="P724" s="15" t="n">
        <v>0.17410679208432</v>
      </c>
      <c r="Q724" s="13" t="n">
        <v>-0.0526327604979289</v>
      </c>
      <c r="R724" s="15" t="n">
        <v>0.0446009389671362</v>
      </c>
      <c r="S724" s="32" t="n">
        <v>31353543000</v>
      </c>
      <c r="T724" s="15" t="n">
        <v>0.0421545667447307</v>
      </c>
      <c r="U724" s="32" t="n">
        <v>19629891672</v>
      </c>
      <c r="V724" s="14" t="n">
        <v>1.39928750083909</v>
      </c>
      <c r="W724" s="13" t="n">
        <v>-0.0241228070175439</v>
      </c>
      <c r="X724" s="15" t="n">
        <v>0.0426966292134832</v>
      </c>
      <c r="Y724" s="13" t="n">
        <v>0.0132045926862423</v>
      </c>
      <c r="Z724" s="13" t="n">
        <v>0.0605151801487203</v>
      </c>
      <c r="AA724" s="30" t="s">
        <v>97</v>
      </c>
      <c r="AB724" s="28" t="s">
        <v>93</v>
      </c>
      <c r="AC724" s="28" t="s">
        <v>100</v>
      </c>
      <c r="AD724" s="28" t="s">
        <v>107</v>
      </c>
      <c r="AE724" s="28" t="s">
        <v>113</v>
      </c>
      <c r="AF724" s="28" t="s">
        <v>116</v>
      </c>
      <c r="AG724" s="30" t="s">
        <v>123</v>
      </c>
    </row>
    <row r="725" customFormat="false" ht="15" hidden="false" customHeight="false" outlineLevel="0" collapsed="false">
      <c r="A725" s="10" t="n">
        <v>2026</v>
      </c>
      <c r="B725" s="28" t="s">
        <v>75</v>
      </c>
      <c r="C725" s="29" t="n">
        <v>46041</v>
      </c>
      <c r="D725" s="30" t="s">
        <v>125</v>
      </c>
      <c r="E725" s="28" t="s">
        <v>983</v>
      </c>
      <c r="F725" s="30" t="s">
        <v>984</v>
      </c>
      <c r="G725" s="31" t="n">
        <v>37838</v>
      </c>
      <c r="H725" s="31" t="n">
        <v>2</v>
      </c>
      <c r="I725" s="31" t="n">
        <v>75676</v>
      </c>
      <c r="J725" s="29" t="n">
        <v>46042</v>
      </c>
      <c r="K725" s="31" t="n">
        <v>46950</v>
      </c>
      <c r="L725" s="30" t="s">
        <v>31</v>
      </c>
      <c r="M725" s="10" t="n">
        <v>1</v>
      </c>
      <c r="N725" s="12" t="n">
        <v>18011</v>
      </c>
      <c r="O725" s="13" t="n">
        <v>0.238004900654901</v>
      </c>
      <c r="P725" s="15" t="n">
        <v>0.240822669394098</v>
      </c>
      <c r="Q725" s="13" t="n">
        <v>0.0465724751439038</v>
      </c>
      <c r="R725" s="15" t="n">
        <v>0.0470914127423823</v>
      </c>
      <c r="S725" s="32" t="n">
        <v>21874104000</v>
      </c>
      <c r="T725" s="15" t="n">
        <v>0.0174966352624495</v>
      </c>
      <c r="U725" s="32" t="n">
        <v>13985511482.5</v>
      </c>
      <c r="V725" s="14" t="n">
        <v>1.44356961928059</v>
      </c>
      <c r="W725" s="13" t="n">
        <v>0.0174966352624495</v>
      </c>
      <c r="X725" s="15" t="n">
        <v>0.0416666666666667</v>
      </c>
      <c r="Y725" s="13" t="n">
        <v>0.0132045926862423</v>
      </c>
      <c r="Z725" s="13" t="n">
        <v>0.0605151801487203</v>
      </c>
      <c r="AA725" s="30" t="s">
        <v>97</v>
      </c>
      <c r="AB725" s="28" t="s">
        <v>93</v>
      </c>
      <c r="AC725" s="28" t="s">
        <v>100</v>
      </c>
      <c r="AD725" s="28" t="s">
        <v>106</v>
      </c>
      <c r="AE725" s="28" t="s">
        <v>112</v>
      </c>
      <c r="AF725" s="28" t="s">
        <v>116</v>
      </c>
      <c r="AG725" s="30" t="s">
        <v>122</v>
      </c>
    </row>
    <row r="726" customFormat="false" ht="15" hidden="false" customHeight="false" outlineLevel="0" collapsed="false">
      <c r="A726" s="10" t="n">
        <v>2026</v>
      </c>
      <c r="B726" s="28" t="s">
        <v>75</v>
      </c>
      <c r="C726" s="29" t="n">
        <v>46042</v>
      </c>
      <c r="D726" s="30" t="s">
        <v>126</v>
      </c>
      <c r="E726" s="28" t="s">
        <v>527</v>
      </c>
      <c r="F726" s="30" t="s">
        <v>528</v>
      </c>
      <c r="G726" s="31" t="n">
        <v>61561</v>
      </c>
      <c r="H726" s="31" t="n">
        <v>1</v>
      </c>
      <c r="I726" s="31" t="n">
        <v>61561</v>
      </c>
      <c r="J726" s="29" t="n">
        <v>46043</v>
      </c>
      <c r="K726" s="31" t="n">
        <v>58541</v>
      </c>
      <c r="L726" s="30" t="s">
        <v>32</v>
      </c>
      <c r="M726" s="10" t="n">
        <v>1</v>
      </c>
      <c r="N726" s="12" t="n">
        <v>-3155</v>
      </c>
      <c r="O726" s="13" t="n">
        <v>-0.0512527835579055</v>
      </c>
      <c r="P726" s="15" t="n">
        <v>-0.0107453522087667</v>
      </c>
      <c r="Q726" s="13" t="n">
        <v>-0.0627258919941846</v>
      </c>
      <c r="R726" s="15" t="n">
        <v>0.0846560846560847</v>
      </c>
      <c r="S726" s="32" t="n">
        <v>79940283000</v>
      </c>
      <c r="T726" s="15" t="n">
        <v>0.0770577933450087</v>
      </c>
      <c r="U726" s="32" t="n">
        <v>12744056660</v>
      </c>
      <c r="V726" s="14" t="n">
        <v>5.54088014791686</v>
      </c>
      <c r="W726" s="13" t="n">
        <v>0.0658578856152514</v>
      </c>
      <c r="X726" s="15" t="n">
        <v>0.0373983739837398</v>
      </c>
      <c r="Y726" s="13" t="n">
        <v>-0.00385551699812015</v>
      </c>
      <c r="Z726" s="13" t="n">
        <v>0.0411516758157455</v>
      </c>
      <c r="AA726" s="30" t="s">
        <v>97</v>
      </c>
      <c r="AB726" s="28" t="s">
        <v>93</v>
      </c>
      <c r="AC726" s="28" t="s">
        <v>101</v>
      </c>
      <c r="AD726" s="28" t="s">
        <v>108</v>
      </c>
      <c r="AE726" s="28" t="s">
        <v>101</v>
      </c>
      <c r="AF726" s="28" t="s">
        <v>119</v>
      </c>
      <c r="AG726" s="30" t="s">
        <v>122</v>
      </c>
    </row>
    <row r="727" customFormat="false" ht="15" hidden="false" customHeight="false" outlineLevel="0" collapsed="false">
      <c r="A727" s="10" t="n">
        <v>2026</v>
      </c>
      <c r="B727" s="28" t="s">
        <v>75</v>
      </c>
      <c r="C727" s="29" t="n">
        <v>46042</v>
      </c>
      <c r="D727" s="30" t="s">
        <v>126</v>
      </c>
      <c r="E727" s="28" t="s">
        <v>239</v>
      </c>
      <c r="F727" s="28" t="s">
        <v>240</v>
      </c>
      <c r="G727" s="31" t="n">
        <v>55255</v>
      </c>
      <c r="H727" s="31" t="n">
        <v>1</v>
      </c>
      <c r="I727" s="31" t="n">
        <v>55255</v>
      </c>
      <c r="J727" s="29" t="n">
        <v>46066</v>
      </c>
      <c r="K727" s="31" t="n">
        <v>66400</v>
      </c>
      <c r="L727" s="30" t="s">
        <v>31</v>
      </c>
      <c r="M727" s="10" t="n">
        <v>18</v>
      </c>
      <c r="N727" s="12" t="n">
        <v>10994</v>
      </c>
      <c r="O727" s="13" t="n">
        <v>0.198963205634945</v>
      </c>
      <c r="P727" s="15" t="n">
        <v>0.205316422707727</v>
      </c>
      <c r="Q727" s="13" t="n">
        <v>-0.028145767276202</v>
      </c>
      <c r="R727" s="15" t="n">
        <v>0.0298507462686568</v>
      </c>
      <c r="S727" s="32" t="n">
        <v>43559865600</v>
      </c>
      <c r="T727" s="15" t="n">
        <v>0.0241187384044528</v>
      </c>
      <c r="U727" s="32" t="n">
        <v>19475705005</v>
      </c>
      <c r="V727" s="14" t="n">
        <v>2.13766496493877</v>
      </c>
      <c r="W727" s="13" t="n">
        <v>0.0279329608938548</v>
      </c>
      <c r="X727" s="15" t="n">
        <v>0.00543478260869557</v>
      </c>
      <c r="Y727" s="13" t="n">
        <v>-0.00385551699812015</v>
      </c>
      <c r="Z727" s="13" t="n">
        <v>0.0411516758157455</v>
      </c>
      <c r="AA727" s="30" t="s">
        <v>97</v>
      </c>
      <c r="AB727" s="28" t="s">
        <v>93</v>
      </c>
      <c r="AC727" s="28" t="s">
        <v>99</v>
      </c>
      <c r="AD727" s="28" t="s">
        <v>107</v>
      </c>
      <c r="AE727" s="28" t="s">
        <v>113</v>
      </c>
      <c r="AF727" s="28" t="s">
        <v>117</v>
      </c>
      <c r="AG727" s="30" t="s">
        <v>122</v>
      </c>
    </row>
    <row r="728" customFormat="false" ht="15" hidden="false" customHeight="false" outlineLevel="0" collapsed="false">
      <c r="A728" s="10" t="n">
        <v>2026</v>
      </c>
      <c r="B728" s="28" t="s">
        <v>75</v>
      </c>
      <c r="C728" s="29" t="n">
        <v>46042</v>
      </c>
      <c r="D728" s="30" t="s">
        <v>126</v>
      </c>
      <c r="E728" s="28" t="s">
        <v>851</v>
      </c>
      <c r="F728" s="30" t="s">
        <v>852</v>
      </c>
      <c r="G728" s="31" t="n">
        <v>3233</v>
      </c>
      <c r="H728" s="31" t="n">
        <v>30</v>
      </c>
      <c r="I728" s="31" t="n">
        <v>96997</v>
      </c>
      <c r="J728" s="29" t="n">
        <v>46057</v>
      </c>
      <c r="K728" s="31" t="n">
        <v>3880</v>
      </c>
      <c r="L728" s="30" t="s">
        <v>31</v>
      </c>
      <c r="M728" s="10" t="n">
        <v>11</v>
      </c>
      <c r="N728" s="12" t="n">
        <v>19138</v>
      </c>
      <c r="O728" s="13" t="n">
        <v>0.197308269284895</v>
      </c>
      <c r="P728" s="15" t="n">
        <v>0.206224116440835</v>
      </c>
      <c r="Q728" s="13" t="n">
        <v>-0.0319278244974838</v>
      </c>
      <c r="R728" s="15" t="n">
        <v>0.0157232704402517</v>
      </c>
      <c r="S728" s="32" t="n">
        <v>40500947390</v>
      </c>
      <c r="T728" s="15" t="n">
        <v>0.00623052959501558</v>
      </c>
      <c r="U728" s="32" t="n">
        <v>20112916346.25</v>
      </c>
      <c r="V728" s="14" t="n">
        <v>1.86036085635074</v>
      </c>
      <c r="W728" s="13" t="n">
        <v>-0.0256410256410257</v>
      </c>
      <c r="X728" s="15" t="n">
        <v>0.0263157894736843</v>
      </c>
      <c r="Y728" s="13" t="n">
        <v>-0.00385551699812015</v>
      </c>
      <c r="Z728" s="13" t="n">
        <v>0.0411516758157455</v>
      </c>
      <c r="AA728" s="30" t="s">
        <v>97</v>
      </c>
      <c r="AB728" s="28" t="s">
        <v>93</v>
      </c>
      <c r="AC728" s="28" t="s">
        <v>99</v>
      </c>
      <c r="AD728" s="28" t="s">
        <v>107</v>
      </c>
      <c r="AE728" s="28" t="s">
        <v>112</v>
      </c>
      <c r="AF728" s="28" t="s">
        <v>116</v>
      </c>
      <c r="AG728" s="30" t="s">
        <v>123</v>
      </c>
    </row>
    <row r="729" customFormat="false" ht="15" hidden="false" customHeight="false" outlineLevel="0" collapsed="false">
      <c r="A729" s="10" t="n">
        <v>2026</v>
      </c>
      <c r="B729" s="28" t="s">
        <v>75</v>
      </c>
      <c r="C729" s="29" t="n">
        <v>46042</v>
      </c>
      <c r="D729" s="30" t="s">
        <v>126</v>
      </c>
      <c r="E729" s="28" t="s">
        <v>889</v>
      </c>
      <c r="F729" s="30" t="s">
        <v>890</v>
      </c>
      <c r="G729" s="31" t="n">
        <v>92693</v>
      </c>
      <c r="H729" s="31" t="n">
        <v>1</v>
      </c>
      <c r="I729" s="31" t="n">
        <v>92693</v>
      </c>
      <c r="J729" s="29" t="n">
        <v>46073</v>
      </c>
      <c r="K729" s="31" t="n">
        <v>111300</v>
      </c>
      <c r="L729" s="30" t="s">
        <v>31</v>
      </c>
      <c r="M729" s="10" t="n">
        <v>20</v>
      </c>
      <c r="N729" s="12" t="n">
        <v>18354</v>
      </c>
      <c r="O729" s="13" t="n">
        <v>0.198011503723059</v>
      </c>
      <c r="P729" s="15" t="n">
        <v>0.202900770935328</v>
      </c>
      <c r="Q729" s="13" t="n">
        <v>-0.0409158875681553</v>
      </c>
      <c r="R729" s="15" t="n">
        <v>0.0243362831858407</v>
      </c>
      <c r="S729" s="32" t="n">
        <v>35579420200</v>
      </c>
      <c r="T729" s="15" t="n">
        <v>0.0187018701870187</v>
      </c>
      <c r="U729" s="32" t="n">
        <v>22344559005</v>
      </c>
      <c r="V729" s="14" t="n">
        <v>1.52495812315533</v>
      </c>
      <c r="W729" s="13" t="n">
        <v>0.0243362831858407</v>
      </c>
      <c r="X729" s="15" t="n">
        <v>0.0140388768898487</v>
      </c>
      <c r="Y729" s="13" t="n">
        <v>-0.00385551699812015</v>
      </c>
      <c r="Z729" s="13" t="n">
        <v>0.0411516758157455</v>
      </c>
      <c r="AA729" s="30" t="s">
        <v>97</v>
      </c>
      <c r="AB729" s="28" t="s">
        <v>93</v>
      </c>
      <c r="AC729" s="28" t="s">
        <v>99</v>
      </c>
      <c r="AD729" s="28" t="s">
        <v>107</v>
      </c>
      <c r="AE729" s="28" t="s">
        <v>112</v>
      </c>
      <c r="AF729" s="28" t="s">
        <v>116</v>
      </c>
      <c r="AG729" s="30" t="s">
        <v>122</v>
      </c>
    </row>
    <row r="730" customFormat="false" ht="15" hidden="false" customHeight="false" outlineLevel="0" collapsed="false">
      <c r="A730" s="10" t="n">
        <v>2026</v>
      </c>
      <c r="B730" s="28" t="s">
        <v>75</v>
      </c>
      <c r="C730" s="29" t="n">
        <v>46042</v>
      </c>
      <c r="D730" s="30" t="s">
        <v>126</v>
      </c>
      <c r="E730" s="28" t="s">
        <v>1041</v>
      </c>
      <c r="F730" s="28" t="s">
        <v>1042</v>
      </c>
      <c r="G730" s="31" t="n">
        <v>1899</v>
      </c>
      <c r="H730" s="31" t="n">
        <v>52</v>
      </c>
      <c r="I730" s="31" t="n">
        <v>98743</v>
      </c>
      <c r="J730" s="29" t="n">
        <v>46043</v>
      </c>
      <c r="K730" s="31" t="n">
        <v>2280</v>
      </c>
      <c r="L730" s="30" t="s">
        <v>31</v>
      </c>
      <c r="M730" s="10" t="n">
        <v>1</v>
      </c>
      <c r="N730" s="12" t="n">
        <v>19548</v>
      </c>
      <c r="O730" s="13" t="n">
        <v>0.197965537598933</v>
      </c>
      <c r="P730" s="15" t="n">
        <v>0.232294326653842</v>
      </c>
      <c r="Q730" s="13" t="n">
        <v>-0.0173242677196287</v>
      </c>
      <c r="R730" s="15" t="n">
        <v>0.0833809251856081</v>
      </c>
      <c r="S730" s="32" t="n">
        <v>21324949079</v>
      </c>
      <c r="T730" s="15" t="n">
        <v>0.0281842818428184</v>
      </c>
      <c r="U730" s="32" t="n">
        <v>4599960457.15</v>
      </c>
      <c r="V730" s="14" t="n">
        <v>4.20615017092456</v>
      </c>
      <c r="W730" s="13" t="n">
        <v>0.0778409090909091</v>
      </c>
      <c r="X730" s="15" t="n">
        <v>0.0353189246178176</v>
      </c>
      <c r="Y730" s="13" t="n">
        <v>-0.00385551699812015</v>
      </c>
      <c r="Z730" s="13" t="n">
        <v>0.0411516758157455</v>
      </c>
      <c r="AA730" s="30" t="s">
        <v>97</v>
      </c>
      <c r="AB730" s="28" t="s">
        <v>93</v>
      </c>
      <c r="AC730" s="28" t="s">
        <v>101</v>
      </c>
      <c r="AD730" s="28" t="s">
        <v>106</v>
      </c>
      <c r="AE730" s="28" t="s">
        <v>113</v>
      </c>
      <c r="AF730" s="28" t="s">
        <v>118</v>
      </c>
      <c r="AG730" s="30" t="s">
        <v>122</v>
      </c>
    </row>
    <row r="731" customFormat="false" ht="15" hidden="false" customHeight="false" outlineLevel="0" collapsed="false">
      <c r="A731" s="10" t="n">
        <v>2026</v>
      </c>
      <c r="B731" s="28" t="s">
        <v>75</v>
      </c>
      <c r="C731" s="29" t="n">
        <v>46043</v>
      </c>
      <c r="D731" s="30" t="s">
        <v>127</v>
      </c>
      <c r="E731" s="28" t="s">
        <v>573</v>
      </c>
      <c r="F731" s="30" t="s">
        <v>574</v>
      </c>
      <c r="G731" s="31" t="n">
        <v>28879</v>
      </c>
      <c r="H731" s="31" t="n">
        <v>3</v>
      </c>
      <c r="I731" s="31" t="n">
        <v>86637</v>
      </c>
      <c r="J731" s="29" t="n">
        <v>46062</v>
      </c>
      <c r="K731" s="31" t="n">
        <v>34700</v>
      </c>
      <c r="L731" s="30" t="s">
        <v>31</v>
      </c>
      <c r="M731" s="10" t="n">
        <v>13</v>
      </c>
      <c r="N731" s="12" t="n">
        <v>17227</v>
      </c>
      <c r="O731" s="13" t="n">
        <v>0.198838013719383</v>
      </c>
      <c r="P731" s="15" t="n">
        <v>0.2240792136806</v>
      </c>
      <c r="Q731" s="13" t="n">
        <v>-0.0217754515848103</v>
      </c>
      <c r="R731" s="15" t="n">
        <v>0.0158450704225353</v>
      </c>
      <c r="S731" s="32" t="n">
        <v>59269786200</v>
      </c>
      <c r="T731" s="15" t="n">
        <v>0.012280701754386</v>
      </c>
      <c r="U731" s="32" t="n">
        <v>40873570285</v>
      </c>
      <c r="V731" s="14" t="n">
        <v>1.40402313426241</v>
      </c>
      <c r="W731" s="13" t="n">
        <v>0.0230496453900708</v>
      </c>
      <c r="X731" s="15" t="n">
        <v>0.00346620450606583</v>
      </c>
      <c r="Y731" s="13" t="n">
        <v>0.00494908662948368</v>
      </c>
      <c r="Z731" s="13" t="n">
        <v>0.0395566471173594</v>
      </c>
      <c r="AA731" s="30" t="s">
        <v>97</v>
      </c>
      <c r="AB731" s="28" t="s">
        <v>93</v>
      </c>
      <c r="AC731" s="28" t="s">
        <v>99</v>
      </c>
      <c r="AD731" s="28" t="s">
        <v>108</v>
      </c>
      <c r="AE731" s="28" t="s">
        <v>112</v>
      </c>
      <c r="AF731" s="28" t="s">
        <v>116</v>
      </c>
      <c r="AG731" s="30" t="s">
        <v>122</v>
      </c>
    </row>
    <row r="732" customFormat="false" ht="15" hidden="false" customHeight="false" outlineLevel="0" collapsed="false">
      <c r="A732" s="10" t="n">
        <v>2026</v>
      </c>
      <c r="B732" s="28" t="s">
        <v>75</v>
      </c>
      <c r="C732" s="29" t="n">
        <v>46043</v>
      </c>
      <c r="D732" s="30" t="s">
        <v>127</v>
      </c>
      <c r="E732" s="28" t="s">
        <v>1115</v>
      </c>
      <c r="F732" s="30" t="s">
        <v>1116</v>
      </c>
      <c r="G732" s="31" t="n">
        <v>7828</v>
      </c>
      <c r="H732" s="31" t="n">
        <v>12</v>
      </c>
      <c r="I732" s="31" t="n">
        <v>93934</v>
      </c>
      <c r="J732" s="29" t="n">
        <v>46050</v>
      </c>
      <c r="K732" s="31" t="n">
        <v>9400</v>
      </c>
      <c r="L732" s="30" t="s">
        <v>31</v>
      </c>
      <c r="M732" s="10" t="n">
        <v>5</v>
      </c>
      <c r="N732" s="12" t="n">
        <v>18610</v>
      </c>
      <c r="O732" s="13" t="n">
        <v>0.198113373455189</v>
      </c>
      <c r="P732" s="15" t="n">
        <v>0.218730118985874</v>
      </c>
      <c r="Q732" s="13" t="n">
        <v>-0.0457113219261556</v>
      </c>
      <c r="R732" s="15" t="n">
        <v>0.109219858156028</v>
      </c>
      <c r="S732" s="32" t="n">
        <v>50267225880</v>
      </c>
      <c r="T732" s="15" t="n">
        <v>0.1045197740113</v>
      </c>
      <c r="U732" s="32" t="n">
        <v>4554494698</v>
      </c>
      <c r="V732" s="14" t="n">
        <v>9.42674877143482</v>
      </c>
      <c r="W732" s="13" t="n">
        <v>0.117142857142857</v>
      </c>
      <c r="X732" s="15" t="n">
        <v>0.00895140664961636</v>
      </c>
      <c r="Y732" s="13" t="n">
        <v>0.00494908662948368</v>
      </c>
      <c r="Z732" s="13" t="n">
        <v>0.0395566471173594</v>
      </c>
      <c r="AA732" s="30" t="s">
        <v>97</v>
      </c>
      <c r="AB732" s="28" t="s">
        <v>93</v>
      </c>
      <c r="AC732" s="28" t="s">
        <v>102</v>
      </c>
      <c r="AD732" s="28" t="s">
        <v>108</v>
      </c>
      <c r="AE732" s="28" t="s">
        <v>114</v>
      </c>
      <c r="AF732" s="28" t="s">
        <v>119</v>
      </c>
      <c r="AG732" s="30" t="s">
        <v>122</v>
      </c>
    </row>
    <row r="733" customFormat="false" ht="15" hidden="false" customHeight="false" outlineLevel="0" collapsed="false">
      <c r="A733" s="10" t="n">
        <v>2026</v>
      </c>
      <c r="B733" s="28" t="s">
        <v>75</v>
      </c>
      <c r="C733" s="29" t="n">
        <v>46043</v>
      </c>
      <c r="D733" s="30" t="s">
        <v>127</v>
      </c>
      <c r="E733" s="28" t="s">
        <v>1481</v>
      </c>
      <c r="F733" s="30" t="s">
        <v>1482</v>
      </c>
      <c r="G733" s="31" t="n">
        <v>12833</v>
      </c>
      <c r="H733" s="31" t="n">
        <v>7</v>
      </c>
      <c r="I733" s="31" t="n">
        <v>89830</v>
      </c>
      <c r="J733" s="29" t="n">
        <v>46044</v>
      </c>
      <c r="K733" s="31" t="n">
        <v>12208</v>
      </c>
      <c r="L733" s="30" t="s">
        <v>32</v>
      </c>
      <c r="M733" s="10" t="n">
        <v>1</v>
      </c>
      <c r="N733" s="12" t="n">
        <v>-4572</v>
      </c>
      <c r="O733" s="13" t="n">
        <v>-0.0509016451567152</v>
      </c>
      <c r="P733" s="15" t="n">
        <v>0.114330287497214</v>
      </c>
      <c r="Q733" s="13" t="n">
        <v>-0.0773656920302784</v>
      </c>
      <c r="R733" s="15" t="n">
        <v>0.0985432733504712</v>
      </c>
      <c r="S733" s="32" t="n">
        <v>43886295760</v>
      </c>
      <c r="T733" s="15" t="n">
        <v>0.0388978930307942</v>
      </c>
      <c r="U733" s="32" t="n">
        <v>7901562496.5</v>
      </c>
      <c r="V733" s="14" t="n">
        <v>5.00194078519354</v>
      </c>
      <c r="W733" s="13" t="n">
        <v>0.147717099373321</v>
      </c>
      <c r="X733" s="15" t="n">
        <v>0.045241809672387</v>
      </c>
      <c r="Y733" s="13" t="n">
        <v>0.00494908662948368</v>
      </c>
      <c r="Z733" s="13" t="n">
        <v>0.0395566471173594</v>
      </c>
      <c r="AA733" s="30" t="s">
        <v>97</v>
      </c>
      <c r="AB733" s="28" t="s">
        <v>93</v>
      </c>
      <c r="AC733" s="28" t="s">
        <v>101</v>
      </c>
      <c r="AD733" s="28" t="s">
        <v>107</v>
      </c>
      <c r="AE733" s="28" t="s">
        <v>113</v>
      </c>
      <c r="AF733" s="28" t="s">
        <v>119</v>
      </c>
      <c r="AG733" s="30" t="s">
        <v>122</v>
      </c>
    </row>
    <row r="734" customFormat="false" ht="15" hidden="false" customHeight="false" outlineLevel="0" collapsed="false">
      <c r="A734" s="10" t="n">
        <v>2026</v>
      </c>
      <c r="B734" s="28" t="s">
        <v>75</v>
      </c>
      <c r="C734" s="29" t="n">
        <v>46043</v>
      </c>
      <c r="D734" s="30" t="s">
        <v>127</v>
      </c>
      <c r="E734" s="28" t="s">
        <v>1265</v>
      </c>
      <c r="F734" s="30" t="s">
        <v>1266</v>
      </c>
      <c r="G734" s="31" t="n">
        <v>9129</v>
      </c>
      <c r="H734" s="31" t="n">
        <v>10</v>
      </c>
      <c r="I734" s="31" t="n">
        <v>91291</v>
      </c>
      <c r="J734" s="29" t="n">
        <v>46044</v>
      </c>
      <c r="K734" s="31" t="n">
        <v>8691</v>
      </c>
      <c r="L734" s="30" t="s">
        <v>32</v>
      </c>
      <c r="M734" s="10" t="n">
        <v>1</v>
      </c>
      <c r="N734" s="12" t="n">
        <v>-4579</v>
      </c>
      <c r="O734" s="13" t="n">
        <v>-0.0501555092933381</v>
      </c>
      <c r="P734" s="15" t="n">
        <v>0.0461030197872305</v>
      </c>
      <c r="Q734" s="13" t="n">
        <v>-0.0984892300681773</v>
      </c>
      <c r="R734" s="15" t="n">
        <v>0.0857142857142856</v>
      </c>
      <c r="S734" s="32" t="n">
        <v>20724899040</v>
      </c>
      <c r="T734" s="15" t="n">
        <v>0.0531177829099307</v>
      </c>
      <c r="U734" s="32" t="n">
        <v>4969793526.5</v>
      </c>
      <c r="V734" s="14" t="n">
        <v>3.7956245709504</v>
      </c>
      <c r="W734" s="13" t="n">
        <v>0.0896057347670252</v>
      </c>
      <c r="X734" s="15" t="n">
        <v>0.00328947368421062</v>
      </c>
      <c r="Y734" s="13" t="n">
        <v>0.00494908662948368</v>
      </c>
      <c r="Z734" s="13" t="n">
        <v>0.0395566471173594</v>
      </c>
      <c r="AA734" s="30" t="s">
        <v>97</v>
      </c>
      <c r="AB734" s="28" t="s">
        <v>93</v>
      </c>
      <c r="AC734" s="28" t="s">
        <v>101</v>
      </c>
      <c r="AD734" s="28" t="s">
        <v>106</v>
      </c>
      <c r="AE734" s="28" t="s">
        <v>101</v>
      </c>
      <c r="AF734" s="28" t="s">
        <v>118</v>
      </c>
      <c r="AG734" s="30" t="s">
        <v>122</v>
      </c>
    </row>
    <row r="735" customFormat="false" ht="15" hidden="false" customHeight="false" outlineLevel="0" collapsed="false">
      <c r="A735" s="10" t="n">
        <v>2026</v>
      </c>
      <c r="B735" s="28" t="s">
        <v>75</v>
      </c>
      <c r="C735" s="29" t="n">
        <v>46044</v>
      </c>
      <c r="D735" s="30" t="s">
        <v>128</v>
      </c>
      <c r="E735" s="28" t="s">
        <v>661</v>
      </c>
      <c r="F735" s="30" t="s">
        <v>662</v>
      </c>
      <c r="G735" s="31" t="n">
        <v>67968</v>
      </c>
      <c r="H735" s="31" t="n">
        <v>1</v>
      </c>
      <c r="I735" s="31" t="n">
        <v>67968</v>
      </c>
      <c r="J735" s="29" t="n">
        <v>46051</v>
      </c>
      <c r="K735" s="31" t="n">
        <v>81600</v>
      </c>
      <c r="L735" s="30" t="s">
        <v>31</v>
      </c>
      <c r="M735" s="10" t="n">
        <v>5</v>
      </c>
      <c r="N735" s="12" t="n">
        <v>13446</v>
      </c>
      <c r="O735" s="13" t="n">
        <v>0.197835519635004</v>
      </c>
      <c r="P735" s="15" t="n">
        <v>0.206451869191192</v>
      </c>
      <c r="Q735" s="13" t="n">
        <v>-0.0112979803701453</v>
      </c>
      <c r="R735" s="15" t="n">
        <v>0.0987055016181231</v>
      </c>
      <c r="S735" s="32" t="n">
        <v>50037139600</v>
      </c>
      <c r="T735" s="15" t="n">
        <v>0.00147492625368728</v>
      </c>
      <c r="U735" s="32" t="n">
        <v>7476281630</v>
      </c>
      <c r="V735" s="14" t="n">
        <v>6.12080407586261</v>
      </c>
      <c r="W735" s="13" t="n">
        <v>0.0864</v>
      </c>
      <c r="X735" s="15" t="n">
        <v>0.00736377025036816</v>
      </c>
      <c r="Y735" s="13" t="n">
        <v>0.00867629477405973</v>
      </c>
      <c r="Z735" s="13" t="n">
        <v>0.0323039884941272</v>
      </c>
      <c r="AA735" s="30" t="s">
        <v>97</v>
      </c>
      <c r="AB735" s="28" t="s">
        <v>93</v>
      </c>
      <c r="AC735" s="28" t="s">
        <v>101</v>
      </c>
      <c r="AD735" s="28" t="s">
        <v>108</v>
      </c>
      <c r="AE735" s="28" t="s">
        <v>112</v>
      </c>
      <c r="AF735" s="28" t="s">
        <v>119</v>
      </c>
      <c r="AG735" s="30" t="s">
        <v>122</v>
      </c>
    </row>
    <row r="736" customFormat="false" ht="15" hidden="false" customHeight="false" outlineLevel="0" collapsed="false">
      <c r="A736" s="10" t="n">
        <v>2026</v>
      </c>
      <c r="B736" s="28" t="s">
        <v>75</v>
      </c>
      <c r="C736" s="29" t="n">
        <v>46044</v>
      </c>
      <c r="D736" s="30" t="s">
        <v>128</v>
      </c>
      <c r="E736" s="28" t="s">
        <v>1403</v>
      </c>
      <c r="F736" s="30" t="s">
        <v>1404</v>
      </c>
      <c r="G736" s="31" t="n">
        <v>3313</v>
      </c>
      <c r="H736" s="31" t="n">
        <v>30</v>
      </c>
      <c r="I736" s="31" t="n">
        <v>99399</v>
      </c>
      <c r="J736" s="29" t="n">
        <v>46045</v>
      </c>
      <c r="K736" s="31" t="n">
        <v>3152</v>
      </c>
      <c r="L736" s="30" t="s">
        <v>32</v>
      </c>
      <c r="M736" s="10" t="n">
        <v>1</v>
      </c>
      <c r="N736" s="12" t="n">
        <v>-5062</v>
      </c>
      <c r="O736" s="13" t="n">
        <v>-0.0509274602285932</v>
      </c>
      <c r="P736" s="15" t="n">
        <v>0.0835086363787272</v>
      </c>
      <c r="Q736" s="13" t="n">
        <v>-0.047780014547386</v>
      </c>
      <c r="R736" s="15" t="n">
        <v>0.122033898305085</v>
      </c>
      <c r="S736" s="32" t="n">
        <v>39804676420</v>
      </c>
      <c r="T736" s="15" t="n">
        <v>0.0524642289348172</v>
      </c>
      <c r="U736" s="32" t="n">
        <v>3224304985.5</v>
      </c>
      <c r="V736" s="14" t="n">
        <v>11.1444107183377</v>
      </c>
      <c r="W736" s="13" t="n">
        <v>0.0870279146141215</v>
      </c>
      <c r="X736" s="15" t="n">
        <v>0.0347432024169185</v>
      </c>
      <c r="Y736" s="13" t="n">
        <v>0.00867629477405973</v>
      </c>
      <c r="Z736" s="13" t="n">
        <v>0.0323039884941272</v>
      </c>
      <c r="AA736" s="30" t="s">
        <v>97</v>
      </c>
      <c r="AB736" s="28" t="s">
        <v>93</v>
      </c>
      <c r="AC736" s="28" t="s">
        <v>102</v>
      </c>
      <c r="AD736" s="28" t="s">
        <v>107</v>
      </c>
      <c r="AE736" s="28" t="s">
        <v>101</v>
      </c>
      <c r="AF736" s="28" t="s">
        <v>120</v>
      </c>
      <c r="AG736" s="30" t="s">
        <v>122</v>
      </c>
    </row>
    <row r="737" customFormat="false" ht="15" hidden="false" customHeight="false" outlineLevel="0" collapsed="false">
      <c r="A737" s="10" t="n">
        <v>2026</v>
      </c>
      <c r="B737" s="28" t="s">
        <v>75</v>
      </c>
      <c r="C737" s="29" t="n">
        <v>46044</v>
      </c>
      <c r="D737" s="30" t="s">
        <v>128</v>
      </c>
      <c r="E737" s="28" t="s">
        <v>165</v>
      </c>
      <c r="F737" s="28" t="s">
        <v>166</v>
      </c>
      <c r="G737" s="31" t="n">
        <v>12673</v>
      </c>
      <c r="H737" s="31" t="n">
        <v>7</v>
      </c>
      <c r="I737" s="31" t="n">
        <v>88709</v>
      </c>
      <c r="J737" s="29" t="n">
        <v>46051</v>
      </c>
      <c r="K737" s="31" t="n">
        <v>12058</v>
      </c>
      <c r="L737" s="30" t="s">
        <v>32</v>
      </c>
      <c r="M737" s="10" t="n">
        <v>5</v>
      </c>
      <c r="N737" s="12" t="n">
        <v>-4498</v>
      </c>
      <c r="O737" s="13" t="n">
        <v>-0.0507040706923406</v>
      </c>
      <c r="P737" s="15" t="n">
        <v>0.0155721056194991</v>
      </c>
      <c r="Q737" s="13" t="n">
        <v>-0.0862218350370008</v>
      </c>
      <c r="R737" s="15" t="n">
        <v>0.0385561936013126</v>
      </c>
      <c r="S737" s="32" t="n">
        <v>33009392820</v>
      </c>
      <c r="T737" s="15" t="n">
        <v>0.00956937799043067</v>
      </c>
      <c r="U737" s="32" t="n">
        <v>23606107793</v>
      </c>
      <c r="V737" s="14" t="n">
        <v>1.34396106612402</v>
      </c>
      <c r="W737" s="13" t="n">
        <v>0.0317848410757946</v>
      </c>
      <c r="X737" s="15" t="n">
        <v>0.00473933649289093</v>
      </c>
      <c r="Y737" s="13" t="n">
        <v>0.00867629477405973</v>
      </c>
      <c r="Z737" s="13" t="n">
        <v>0.0323039884941272</v>
      </c>
      <c r="AA737" s="30" t="s">
        <v>97</v>
      </c>
      <c r="AB737" s="28" t="s">
        <v>93</v>
      </c>
      <c r="AC737" s="28" t="s">
        <v>100</v>
      </c>
      <c r="AD737" s="28" t="s">
        <v>107</v>
      </c>
      <c r="AE737" s="28" t="s">
        <v>112</v>
      </c>
      <c r="AF737" s="28" t="s">
        <v>116</v>
      </c>
      <c r="AG737" s="30" t="s">
        <v>122</v>
      </c>
    </row>
    <row r="738" customFormat="false" ht="15" hidden="false" customHeight="false" outlineLevel="0" collapsed="false">
      <c r="A738" s="10" t="n">
        <v>2026</v>
      </c>
      <c r="B738" s="28" t="s">
        <v>75</v>
      </c>
      <c r="C738" s="29" t="n">
        <v>46044</v>
      </c>
      <c r="D738" s="30" t="s">
        <v>128</v>
      </c>
      <c r="E738" s="28" t="s">
        <v>695</v>
      </c>
      <c r="F738" s="30" t="s">
        <v>696</v>
      </c>
      <c r="G738" s="31" t="n">
        <v>66466</v>
      </c>
      <c r="H738" s="31" t="n">
        <v>1</v>
      </c>
      <c r="I738" s="31" t="n">
        <v>66466</v>
      </c>
      <c r="J738" s="29" t="n">
        <v>46104</v>
      </c>
      <c r="K738" s="31" t="n">
        <v>79800</v>
      </c>
      <c r="L738" s="30" t="s">
        <v>31</v>
      </c>
      <c r="M738" s="10" t="n">
        <v>38</v>
      </c>
      <c r="N738" s="12" t="n">
        <v>13152</v>
      </c>
      <c r="O738" s="13" t="n">
        <v>0.197875318055439</v>
      </c>
      <c r="P738" s="15" t="n">
        <v>0.200606622293369</v>
      </c>
      <c r="Q738" s="13" t="n">
        <v>-0.0371074708424105</v>
      </c>
      <c r="R738" s="15" t="n">
        <v>0.0294573643410854</v>
      </c>
      <c r="S738" s="32" t="n">
        <v>27977507200</v>
      </c>
      <c r="T738" s="15" t="n">
        <v>0.0152905198776758</v>
      </c>
      <c r="U738" s="32" t="n">
        <v>9758146095</v>
      </c>
      <c r="V738" s="14" t="n">
        <v>2.75490782604147</v>
      </c>
      <c r="W738" s="13" t="n">
        <v>0.0294573643410854</v>
      </c>
      <c r="X738" s="15" t="n">
        <v>0.0195783132530121</v>
      </c>
      <c r="Y738" s="13" t="n">
        <v>0.00867629477405973</v>
      </c>
      <c r="Z738" s="13" t="n">
        <v>0.0323039884941272</v>
      </c>
      <c r="AA738" s="30" t="s">
        <v>97</v>
      </c>
      <c r="AB738" s="28" t="s">
        <v>93</v>
      </c>
      <c r="AC738" s="28" t="s">
        <v>99</v>
      </c>
      <c r="AD738" s="28" t="s">
        <v>106</v>
      </c>
      <c r="AE738" s="28" t="s">
        <v>112</v>
      </c>
      <c r="AF738" s="28" t="s">
        <v>117</v>
      </c>
      <c r="AG738" s="30" t="s">
        <v>122</v>
      </c>
    </row>
    <row r="739" customFormat="false" ht="15" hidden="false" customHeight="false" outlineLevel="0" collapsed="false">
      <c r="A739" s="10" t="n">
        <v>2026</v>
      </c>
      <c r="B739" s="28" t="s">
        <v>75</v>
      </c>
      <c r="C739" s="29" t="n">
        <v>46044</v>
      </c>
      <c r="D739" s="30" t="s">
        <v>128</v>
      </c>
      <c r="E739" s="28" t="s">
        <v>249</v>
      </c>
      <c r="F739" s="30" t="s">
        <v>250</v>
      </c>
      <c r="G739" s="31" t="n">
        <v>41291</v>
      </c>
      <c r="H739" s="31" t="n">
        <v>2</v>
      </c>
      <c r="I739" s="31" t="n">
        <v>82582</v>
      </c>
      <c r="J739" s="29" t="n">
        <v>46055</v>
      </c>
      <c r="K739" s="31" t="n">
        <v>39311</v>
      </c>
      <c r="L739" s="30" t="s">
        <v>32</v>
      </c>
      <c r="M739" s="10" t="n">
        <v>7</v>
      </c>
      <c r="N739" s="12" t="n">
        <v>-4143</v>
      </c>
      <c r="O739" s="13" t="n">
        <v>-0.050163450731087</v>
      </c>
      <c r="P739" s="15" t="n">
        <v>-0.00463173190445898</v>
      </c>
      <c r="Q739" s="13" t="n">
        <v>-0.0603336057881511</v>
      </c>
      <c r="R739" s="15" t="n">
        <v>0.0248447204968945</v>
      </c>
      <c r="S739" s="32" t="n">
        <v>26545860000</v>
      </c>
      <c r="T739" s="15" t="n">
        <v>0.0073260073260073</v>
      </c>
      <c r="U739" s="32" t="n">
        <v>12749302462.5</v>
      </c>
      <c r="V739" s="14" t="n">
        <v>1.99924974078777</v>
      </c>
      <c r="W739" s="13" t="n">
        <v>0.0160098522167487</v>
      </c>
      <c r="X739" s="15" t="n">
        <v>0.00727272727272732</v>
      </c>
      <c r="Y739" s="13" t="n">
        <v>0.00867629477405973</v>
      </c>
      <c r="Z739" s="13" t="n">
        <v>0.0323039884941272</v>
      </c>
      <c r="AA739" s="30" t="s">
        <v>97</v>
      </c>
      <c r="AB739" s="28" t="s">
        <v>93</v>
      </c>
      <c r="AC739" s="28" t="s">
        <v>99</v>
      </c>
      <c r="AD739" s="28" t="s">
        <v>106</v>
      </c>
      <c r="AE739" s="28" t="s">
        <v>112</v>
      </c>
      <c r="AF739" s="28" t="s">
        <v>116</v>
      </c>
      <c r="AG739" s="30" t="s">
        <v>122</v>
      </c>
    </row>
    <row r="740" customFormat="false" ht="15" hidden="false" customHeight="false" outlineLevel="0" collapsed="false">
      <c r="A740" s="10" t="n">
        <v>2026</v>
      </c>
      <c r="B740" s="28" t="s">
        <v>75</v>
      </c>
      <c r="C740" s="29" t="n">
        <v>46044</v>
      </c>
      <c r="D740" s="30" t="s">
        <v>128</v>
      </c>
      <c r="E740" s="28" t="s">
        <v>437</v>
      </c>
      <c r="F740" s="30" t="s">
        <v>438</v>
      </c>
      <c r="G740" s="31" t="n">
        <v>23774</v>
      </c>
      <c r="H740" s="31" t="n">
        <v>4</v>
      </c>
      <c r="I740" s="31" t="n">
        <v>95095</v>
      </c>
      <c r="J740" s="29" t="n">
        <v>46045</v>
      </c>
      <c r="K740" s="31" t="n">
        <v>22627</v>
      </c>
      <c r="L740" s="30" t="s">
        <v>32</v>
      </c>
      <c r="M740" s="10" t="n">
        <v>1</v>
      </c>
      <c r="N740" s="12" t="n">
        <v>-4794</v>
      </c>
      <c r="O740" s="13" t="n">
        <v>-0.0504175767390504</v>
      </c>
      <c r="P740" s="15" t="n">
        <v>0.0158262789841739</v>
      </c>
      <c r="Q740" s="13" t="n">
        <v>-0.0472685209527314</v>
      </c>
      <c r="R740" s="15" t="n">
        <v>0.0348583877995643</v>
      </c>
      <c r="S740" s="32" t="n">
        <v>20289007500</v>
      </c>
      <c r="T740" s="15" t="n">
        <v>0.021505376344086</v>
      </c>
      <c r="U740" s="32" t="n">
        <v>14092071635</v>
      </c>
      <c r="V740" s="14" t="n">
        <v>1.32318422365731</v>
      </c>
      <c r="W740" s="13" t="n">
        <v>0.0508849557522124</v>
      </c>
      <c r="X740" s="15" t="n">
        <v>0.0147368421052632</v>
      </c>
      <c r="Y740" s="13" t="n">
        <v>0.00867629477405973</v>
      </c>
      <c r="Z740" s="13" t="n">
        <v>0.0323039884941272</v>
      </c>
      <c r="AA740" s="30" t="s">
        <v>97</v>
      </c>
      <c r="AB740" s="28" t="s">
        <v>93</v>
      </c>
      <c r="AC740" s="28" t="s">
        <v>100</v>
      </c>
      <c r="AD740" s="28" t="s">
        <v>106</v>
      </c>
      <c r="AE740" s="28" t="s">
        <v>113</v>
      </c>
      <c r="AF740" s="28" t="s">
        <v>116</v>
      </c>
      <c r="AG740" s="30" t="s">
        <v>122</v>
      </c>
    </row>
    <row r="741" customFormat="false" ht="15" hidden="false" customHeight="false" outlineLevel="0" collapsed="false">
      <c r="A741" s="10" t="n">
        <v>2026</v>
      </c>
      <c r="B741" s="28" t="s">
        <v>75</v>
      </c>
      <c r="C741" s="29" t="n">
        <v>46045</v>
      </c>
      <c r="D741" s="30" t="s">
        <v>129</v>
      </c>
      <c r="E741" s="28" t="s">
        <v>1483</v>
      </c>
      <c r="F741" s="30" t="s">
        <v>1484</v>
      </c>
      <c r="G741" s="31" t="n">
        <v>8559</v>
      </c>
      <c r="H741" s="31" t="n">
        <v>11</v>
      </c>
      <c r="I741" s="31" t="n">
        <v>94144</v>
      </c>
      <c r="J741" s="29" t="n">
        <v>46049</v>
      </c>
      <c r="K741" s="31" t="n">
        <v>8142</v>
      </c>
      <c r="L741" s="30" t="s">
        <v>32</v>
      </c>
      <c r="M741" s="10" t="n">
        <v>2</v>
      </c>
      <c r="N741" s="12" t="n">
        <v>-4790</v>
      </c>
      <c r="O741" s="13" t="n">
        <v>-0.0508834744203165</v>
      </c>
      <c r="P741" s="15" t="n">
        <v>0.267738109843373</v>
      </c>
      <c r="Q741" s="13" t="n">
        <v>-0.0512411565043143</v>
      </c>
      <c r="R741" s="15" t="n">
        <v>0.130952380952381</v>
      </c>
      <c r="S741" s="32" t="n">
        <v>65519274150</v>
      </c>
      <c r="T741" s="15" t="n">
        <v>0.0754716981132075</v>
      </c>
      <c r="U741" s="32" t="n">
        <v>5389934094</v>
      </c>
      <c r="V741" s="14" t="n">
        <v>10.3987036415335</v>
      </c>
      <c r="W741" s="13" t="n">
        <v>0.125</v>
      </c>
      <c r="X741" s="15" t="n">
        <v>0.0982456140350878</v>
      </c>
      <c r="Y741" s="13" t="n">
        <v>0.00757996417992413</v>
      </c>
      <c r="Z741" s="13" t="n">
        <v>0.0308485892652777</v>
      </c>
      <c r="AA741" s="30" t="s">
        <v>97</v>
      </c>
      <c r="AB741" s="28" t="s">
        <v>93</v>
      </c>
      <c r="AC741" s="28" t="s">
        <v>102</v>
      </c>
      <c r="AD741" s="28" t="s">
        <v>108</v>
      </c>
      <c r="AE741" s="28" t="s">
        <v>101</v>
      </c>
      <c r="AF741" s="28" t="s">
        <v>120</v>
      </c>
      <c r="AG741" s="30" t="s">
        <v>122</v>
      </c>
    </row>
    <row r="742" customFormat="false" ht="15" hidden="false" customHeight="false" outlineLevel="0" collapsed="false">
      <c r="A742" s="10" t="n">
        <v>2026</v>
      </c>
      <c r="B742" s="28" t="s">
        <v>75</v>
      </c>
      <c r="C742" s="29" t="n">
        <v>46045</v>
      </c>
      <c r="D742" s="30" t="s">
        <v>129</v>
      </c>
      <c r="E742" s="28" t="s">
        <v>267</v>
      </c>
      <c r="F742" s="30" t="s">
        <v>268</v>
      </c>
      <c r="G742" s="31" t="n">
        <v>8048</v>
      </c>
      <c r="H742" s="31" t="n">
        <v>12</v>
      </c>
      <c r="I742" s="31" t="n">
        <v>96576</v>
      </c>
      <c r="J742" s="29" t="n">
        <v>46059</v>
      </c>
      <c r="K742" s="31" t="n">
        <v>7393</v>
      </c>
      <c r="L742" s="30" t="s">
        <v>32</v>
      </c>
      <c r="M742" s="10" t="n">
        <v>10</v>
      </c>
      <c r="N742" s="12" t="n">
        <v>-8070</v>
      </c>
      <c r="O742" s="13" t="n">
        <v>-0.0835658490762966</v>
      </c>
      <c r="P742" s="15" t="n">
        <v>0.093433929254825</v>
      </c>
      <c r="Q742" s="13" t="n">
        <v>-0.0991595469207408</v>
      </c>
      <c r="R742" s="15" t="n">
        <v>0.107438016528926</v>
      </c>
      <c r="S742" s="32" t="n">
        <v>50209365840</v>
      </c>
      <c r="T742" s="15" t="n">
        <v>0.0216010165184244</v>
      </c>
      <c r="U742" s="32" t="n">
        <v>4393965450</v>
      </c>
      <c r="V742" s="14" t="n">
        <v>10.6076296439356</v>
      </c>
      <c r="W742" s="13" t="n">
        <v>0.110497237569061</v>
      </c>
      <c r="X742" s="15" t="n">
        <v>0.0149253731343284</v>
      </c>
      <c r="Y742" s="13" t="n">
        <v>0.00757996417992413</v>
      </c>
      <c r="Z742" s="13" t="n">
        <v>0.0308485892652777</v>
      </c>
      <c r="AA742" s="30" t="s">
        <v>97</v>
      </c>
      <c r="AB742" s="28" t="s">
        <v>93</v>
      </c>
      <c r="AC742" s="28" t="s">
        <v>102</v>
      </c>
      <c r="AD742" s="28" t="s">
        <v>108</v>
      </c>
      <c r="AE742" s="28" t="s">
        <v>113</v>
      </c>
      <c r="AF742" s="28" t="s">
        <v>120</v>
      </c>
      <c r="AG742" s="30" t="s">
        <v>122</v>
      </c>
    </row>
    <row r="743" customFormat="false" ht="15" hidden="false" customHeight="false" outlineLevel="0" collapsed="false">
      <c r="A743" s="10" t="n">
        <v>2026</v>
      </c>
      <c r="B743" s="28" t="s">
        <v>75</v>
      </c>
      <c r="C743" s="29" t="n">
        <v>46045</v>
      </c>
      <c r="D743" s="30" t="s">
        <v>129</v>
      </c>
      <c r="E743" s="28" t="s">
        <v>1455</v>
      </c>
      <c r="F743" s="30" t="s">
        <v>1456</v>
      </c>
      <c r="G743" s="31" t="n">
        <v>52052</v>
      </c>
      <c r="H743" s="31" t="n">
        <v>1</v>
      </c>
      <c r="I743" s="31" t="n">
        <v>52052</v>
      </c>
      <c r="J743" s="29" t="n">
        <v>46048</v>
      </c>
      <c r="K743" s="31" t="n">
        <v>49550</v>
      </c>
      <c r="L743" s="30" t="s">
        <v>32</v>
      </c>
      <c r="M743" s="10" t="n">
        <v>1</v>
      </c>
      <c r="N743" s="12" t="n">
        <v>-2616</v>
      </c>
      <c r="O743" s="13" t="n">
        <v>-0.0502563044647659</v>
      </c>
      <c r="P743" s="15" t="n">
        <v>0.0278183355106434</v>
      </c>
      <c r="Q743" s="13" t="n">
        <v>-0.0480673172980864</v>
      </c>
      <c r="R743" s="15" t="n">
        <v>0.226415094339623</v>
      </c>
      <c r="S743" s="32" t="n">
        <v>45268704000</v>
      </c>
      <c r="T743" s="15" t="n">
        <v>0.0958904109589041</v>
      </c>
      <c r="U743" s="32" t="n">
        <v>3608911317.5</v>
      </c>
      <c r="V743" s="14" t="n">
        <v>10.9011063868153</v>
      </c>
      <c r="W743" s="13" t="n">
        <v>0.222091656874266</v>
      </c>
      <c r="X743" s="15" t="n">
        <v>0.0269230769230768</v>
      </c>
      <c r="Y743" s="13" t="n">
        <v>0.00757996417992413</v>
      </c>
      <c r="Z743" s="13" t="n">
        <v>0.0308485892652777</v>
      </c>
      <c r="AA743" s="30" t="s">
        <v>97</v>
      </c>
      <c r="AB743" s="28" t="s">
        <v>93</v>
      </c>
      <c r="AC743" s="28" t="s">
        <v>104</v>
      </c>
      <c r="AD743" s="28" t="s">
        <v>107</v>
      </c>
      <c r="AE743" s="28" t="s">
        <v>101</v>
      </c>
      <c r="AF743" s="28" t="s">
        <v>120</v>
      </c>
      <c r="AG743" s="30" t="s">
        <v>122</v>
      </c>
    </row>
    <row r="744" customFormat="false" ht="15" hidden="false" customHeight="false" outlineLevel="0" collapsed="false">
      <c r="A744" s="10" t="n">
        <v>2026</v>
      </c>
      <c r="B744" s="28" t="s">
        <v>75</v>
      </c>
      <c r="C744" s="29" t="n">
        <v>46045</v>
      </c>
      <c r="D744" s="30" t="s">
        <v>129</v>
      </c>
      <c r="E744" s="28" t="s">
        <v>1401</v>
      </c>
      <c r="F744" s="30" t="s">
        <v>1402</v>
      </c>
      <c r="G744" s="31" t="n">
        <v>52853</v>
      </c>
      <c r="H744" s="31" t="n">
        <v>1</v>
      </c>
      <c r="I744" s="31" t="n">
        <v>52853</v>
      </c>
      <c r="J744" s="29" t="n">
        <v>46051</v>
      </c>
      <c r="K744" s="31" t="n">
        <v>50250</v>
      </c>
      <c r="L744" s="30" t="s">
        <v>32</v>
      </c>
      <c r="M744" s="10" t="n">
        <v>4</v>
      </c>
      <c r="N744" s="12" t="n">
        <v>-2719</v>
      </c>
      <c r="O744" s="13" t="n">
        <v>-0.051445992927527</v>
      </c>
      <c r="P744" s="15" t="n">
        <v>-0.000999000999000965</v>
      </c>
      <c r="Q744" s="13" t="n">
        <v>-0.0501922320104138</v>
      </c>
      <c r="R744" s="15" t="n">
        <v>0.064516129032258</v>
      </c>
      <c r="S744" s="32" t="n">
        <v>36351585600</v>
      </c>
      <c r="T744" s="15" t="n">
        <v>0.0517928286852589</v>
      </c>
      <c r="U744" s="32" t="n">
        <v>3944995287.5</v>
      </c>
      <c r="V744" s="14" t="n">
        <v>8.51513264447299</v>
      </c>
      <c r="W744" s="13" t="n">
        <v>-0.0222222222222223</v>
      </c>
      <c r="X744" s="15" t="n">
        <v>0.0890151515151516</v>
      </c>
      <c r="Y744" s="13" t="n">
        <v>0.00757996417992413</v>
      </c>
      <c r="Z744" s="13" t="n">
        <v>0.0308485892652777</v>
      </c>
      <c r="AA744" s="30" t="s">
        <v>97</v>
      </c>
      <c r="AB744" s="28" t="s">
        <v>93</v>
      </c>
      <c r="AC744" s="28" t="s">
        <v>101</v>
      </c>
      <c r="AD744" s="28" t="s">
        <v>107</v>
      </c>
      <c r="AE744" s="28" t="s">
        <v>101</v>
      </c>
      <c r="AF744" s="28" t="s">
        <v>119</v>
      </c>
      <c r="AG744" s="30" t="s">
        <v>123</v>
      </c>
    </row>
    <row r="745" customFormat="false" ht="15" hidden="false" customHeight="false" outlineLevel="0" collapsed="false">
      <c r="A745" s="10" t="n">
        <v>2026</v>
      </c>
      <c r="B745" s="28" t="s">
        <v>75</v>
      </c>
      <c r="C745" s="29" t="n">
        <v>46045</v>
      </c>
      <c r="D745" s="30" t="s">
        <v>129</v>
      </c>
      <c r="E745" s="28" t="s">
        <v>1485</v>
      </c>
      <c r="F745" s="30" t="s">
        <v>1486</v>
      </c>
      <c r="G745" s="31" t="n">
        <v>32195</v>
      </c>
      <c r="H745" s="31" t="n">
        <v>3</v>
      </c>
      <c r="I745" s="31" t="n">
        <v>96584</v>
      </c>
      <c r="J745" s="29" t="n">
        <v>46048</v>
      </c>
      <c r="K745" s="31" t="n">
        <v>30619</v>
      </c>
      <c r="L745" s="30" t="s">
        <v>32</v>
      </c>
      <c r="M745" s="10" t="n">
        <v>1</v>
      </c>
      <c r="N745" s="12" t="n">
        <v>-4938</v>
      </c>
      <c r="O745" s="13" t="n">
        <v>-0.0511281120340136</v>
      </c>
      <c r="P745" s="15" t="n">
        <v>0.0331814375360253</v>
      </c>
      <c r="Q745" s="13" t="n">
        <v>-0.0584842839897272</v>
      </c>
      <c r="R745" s="15" t="n">
        <v>0.146167557932264</v>
      </c>
      <c r="S745" s="32" t="n">
        <v>33139384100</v>
      </c>
      <c r="T745" s="15" t="n">
        <v>0.144128113879004</v>
      </c>
      <c r="U745" s="32" t="n">
        <v>9891156935</v>
      </c>
      <c r="V745" s="14" t="n">
        <v>2.63598029971862</v>
      </c>
      <c r="W745" s="13" t="n">
        <v>0.154398563734291</v>
      </c>
      <c r="X745" s="15" t="n">
        <v>0.0217729393468118</v>
      </c>
      <c r="Y745" s="13" t="n">
        <v>0.00757996417992413</v>
      </c>
      <c r="Z745" s="13" t="n">
        <v>0.0308485892652777</v>
      </c>
      <c r="AA745" s="30" t="s">
        <v>97</v>
      </c>
      <c r="AB745" s="28" t="s">
        <v>93</v>
      </c>
      <c r="AC745" s="28" t="s">
        <v>102</v>
      </c>
      <c r="AD745" s="28" t="s">
        <v>107</v>
      </c>
      <c r="AE745" s="28" t="s">
        <v>114</v>
      </c>
      <c r="AF745" s="28" t="s">
        <v>117</v>
      </c>
      <c r="AG745" s="30" t="s">
        <v>122</v>
      </c>
    </row>
    <row r="746" customFormat="false" ht="15" hidden="false" customHeight="false" outlineLevel="0" collapsed="false">
      <c r="A746" s="10" t="n">
        <v>2026</v>
      </c>
      <c r="B746" s="28" t="s">
        <v>75</v>
      </c>
      <c r="C746" s="29" t="n">
        <v>46045</v>
      </c>
      <c r="D746" s="30" t="s">
        <v>129</v>
      </c>
      <c r="E746" s="28" t="s">
        <v>775</v>
      </c>
      <c r="F746" s="30" t="s">
        <v>776</v>
      </c>
      <c r="G746" s="31" t="n">
        <v>48448</v>
      </c>
      <c r="H746" s="31" t="n">
        <v>2</v>
      </c>
      <c r="I746" s="31" t="n">
        <v>96897</v>
      </c>
      <c r="J746" s="29" t="n">
        <v>46076</v>
      </c>
      <c r="K746" s="31" t="n">
        <v>58700</v>
      </c>
      <c r="L746" s="30" t="s">
        <v>31</v>
      </c>
      <c r="M746" s="10" t="n">
        <v>18</v>
      </c>
      <c r="N746" s="12" t="n">
        <v>20236</v>
      </c>
      <c r="O746" s="13" t="n">
        <v>0.208843382650407</v>
      </c>
      <c r="P746" s="15" t="n">
        <v>0.238430990497106</v>
      </c>
      <c r="Q746" s="13" t="n">
        <v>0.00106505065182772</v>
      </c>
      <c r="R746" s="15" t="n">
        <v>0.010438413361169</v>
      </c>
      <c r="S746" s="32" t="n">
        <v>30044687200</v>
      </c>
      <c r="T746" s="15" t="n">
        <v>0.010438413361169</v>
      </c>
      <c r="U746" s="32" t="n">
        <v>9568464365</v>
      </c>
      <c r="V746" s="14" t="n">
        <v>2.90613163635223</v>
      </c>
      <c r="W746" s="13" t="n">
        <v>-0.0692307692307692</v>
      </c>
      <c r="X746" s="15" t="n">
        <v>0.078512396694215</v>
      </c>
      <c r="Y746" s="13" t="n">
        <v>0.00757996417992413</v>
      </c>
      <c r="Z746" s="13" t="n">
        <v>0.0308485892652777</v>
      </c>
      <c r="AA746" s="30" t="s">
        <v>97</v>
      </c>
      <c r="AB746" s="28" t="s">
        <v>93</v>
      </c>
      <c r="AC746" s="28" t="s">
        <v>99</v>
      </c>
      <c r="AD746" s="28" t="s">
        <v>107</v>
      </c>
      <c r="AE746" s="28" t="s">
        <v>112</v>
      </c>
      <c r="AF746" s="28" t="s">
        <v>117</v>
      </c>
      <c r="AG746" s="30" t="s">
        <v>123</v>
      </c>
    </row>
    <row r="747" customFormat="false" ht="15" hidden="false" customHeight="false" outlineLevel="0" collapsed="false">
      <c r="A747" s="10" t="n">
        <v>2026</v>
      </c>
      <c r="B747" s="28" t="s">
        <v>75</v>
      </c>
      <c r="C747" s="29" t="n">
        <v>46045</v>
      </c>
      <c r="D747" s="30" t="s">
        <v>129</v>
      </c>
      <c r="E747" s="28" t="s">
        <v>1487</v>
      </c>
      <c r="F747" s="30" t="s">
        <v>1488</v>
      </c>
      <c r="G747" s="31" t="n">
        <v>11792</v>
      </c>
      <c r="H747" s="31" t="n">
        <v>8</v>
      </c>
      <c r="I747" s="31" t="n">
        <v>94334</v>
      </c>
      <c r="J747" s="29" t="n">
        <v>46052</v>
      </c>
      <c r="K747" s="31" t="n">
        <v>14160</v>
      </c>
      <c r="L747" s="30" t="s">
        <v>31</v>
      </c>
      <c r="M747" s="10" t="n">
        <v>5</v>
      </c>
      <c r="N747" s="12" t="n">
        <v>18688</v>
      </c>
      <c r="O747" s="13" t="n">
        <v>0.1981047164211</v>
      </c>
      <c r="P747" s="15" t="n">
        <v>0.35094107929422</v>
      </c>
      <c r="Q747" s="13" t="n">
        <v>0.0244424505884608</v>
      </c>
      <c r="R747" s="15" t="n">
        <v>0.0603060306030603</v>
      </c>
      <c r="S747" s="32" t="n">
        <v>27295461560</v>
      </c>
      <c r="T747" s="15" t="n">
        <v>0.0279232111692844</v>
      </c>
      <c r="U747" s="32" t="n">
        <v>13764298557</v>
      </c>
      <c r="V747" s="14" t="n">
        <v>1.82611140822535</v>
      </c>
      <c r="W747" s="13" t="n">
        <v>0.0342405618964004</v>
      </c>
      <c r="X747" s="15" t="n">
        <v>0.0271646859083192</v>
      </c>
      <c r="Y747" s="13" t="n">
        <v>0.00757996417992413</v>
      </c>
      <c r="Z747" s="13" t="n">
        <v>0.0308485892652777</v>
      </c>
      <c r="AA747" s="30" t="s">
        <v>97</v>
      </c>
      <c r="AB747" s="28" t="s">
        <v>93</v>
      </c>
      <c r="AC747" s="28" t="s">
        <v>101</v>
      </c>
      <c r="AD747" s="28" t="s">
        <v>106</v>
      </c>
      <c r="AE747" s="28" t="s">
        <v>113</v>
      </c>
      <c r="AF747" s="28" t="s">
        <v>116</v>
      </c>
      <c r="AG747" s="30" t="s">
        <v>122</v>
      </c>
    </row>
    <row r="748" customFormat="false" ht="15" hidden="false" customHeight="false" outlineLevel="0" collapsed="false">
      <c r="A748" s="10" t="n">
        <v>2026</v>
      </c>
      <c r="B748" s="28" t="s">
        <v>75</v>
      </c>
      <c r="C748" s="29" t="n">
        <v>46045</v>
      </c>
      <c r="D748" s="30" t="s">
        <v>129</v>
      </c>
      <c r="E748" s="28" t="s">
        <v>907</v>
      </c>
      <c r="F748" s="30" t="s">
        <v>908</v>
      </c>
      <c r="G748" s="31" t="n">
        <v>55956</v>
      </c>
      <c r="H748" s="31" t="n">
        <v>1</v>
      </c>
      <c r="I748" s="31" t="n">
        <v>55956</v>
      </c>
      <c r="J748" s="29" t="n">
        <v>46052</v>
      </c>
      <c r="K748" s="31" t="n">
        <v>67200</v>
      </c>
      <c r="L748" s="30" t="s">
        <v>31</v>
      </c>
      <c r="M748" s="10" t="n">
        <v>5</v>
      </c>
      <c r="N748" s="12" t="n">
        <v>11091</v>
      </c>
      <c r="O748" s="13" t="n">
        <v>0.198213711422746</v>
      </c>
      <c r="P748" s="15" t="n">
        <v>0.206307109706037</v>
      </c>
      <c r="Q748" s="13" t="n">
        <v>-0.0170830957950814</v>
      </c>
      <c r="R748" s="15" t="n">
        <v>0.0487804878048781</v>
      </c>
      <c r="S748" s="32" t="n">
        <v>21247590000</v>
      </c>
      <c r="T748" s="15" t="n">
        <v>0.00179211469534057</v>
      </c>
      <c r="U748" s="32" t="n">
        <v>15049189282.5</v>
      </c>
      <c r="V748" s="14" t="n">
        <v>1.32545799961502</v>
      </c>
      <c r="W748" s="13" t="n">
        <v>0.0487804878048781</v>
      </c>
      <c r="X748" s="15" t="n">
        <v>0.00894454382826471</v>
      </c>
      <c r="Y748" s="13" t="n">
        <v>0.00757996417992413</v>
      </c>
      <c r="Z748" s="13" t="n">
        <v>0.0308485892652777</v>
      </c>
      <c r="AA748" s="30" t="s">
        <v>97</v>
      </c>
      <c r="AB748" s="28" t="s">
        <v>93</v>
      </c>
      <c r="AC748" s="28" t="s">
        <v>100</v>
      </c>
      <c r="AD748" s="28" t="s">
        <v>106</v>
      </c>
      <c r="AE748" s="28" t="s">
        <v>112</v>
      </c>
      <c r="AF748" s="28" t="s">
        <v>116</v>
      </c>
      <c r="AG748" s="30" t="s">
        <v>122</v>
      </c>
    </row>
    <row r="749" customFormat="false" ht="15" hidden="false" customHeight="false" outlineLevel="0" collapsed="false">
      <c r="A749" s="10" t="n">
        <v>2026</v>
      </c>
      <c r="B749" s="28" t="s">
        <v>75</v>
      </c>
      <c r="C749" s="29" t="n">
        <v>46048</v>
      </c>
      <c r="D749" s="30" t="s">
        <v>125</v>
      </c>
      <c r="E749" s="28" t="s">
        <v>539</v>
      </c>
      <c r="F749" s="30" t="s">
        <v>540</v>
      </c>
      <c r="G749" s="31" t="n">
        <v>50550</v>
      </c>
      <c r="H749" s="31" t="n">
        <v>1</v>
      </c>
      <c r="I749" s="31" t="n">
        <v>50550</v>
      </c>
      <c r="J749" s="29" t="n">
        <v>46059</v>
      </c>
      <c r="K749" s="31" t="n">
        <v>48102</v>
      </c>
      <c r="L749" s="30" t="s">
        <v>32</v>
      </c>
      <c r="M749" s="10" t="n">
        <v>9</v>
      </c>
      <c r="N749" s="12" t="n">
        <v>-2560</v>
      </c>
      <c r="O749" s="13" t="n">
        <v>-0.050635533822613</v>
      </c>
      <c r="P749" s="15" t="n">
        <v>0.192866539401193</v>
      </c>
      <c r="Q749" s="13" t="n">
        <v>-0.0722149137990721</v>
      </c>
      <c r="R749" s="15" t="n">
        <v>0.0978260869565217</v>
      </c>
      <c r="S749" s="32" t="n">
        <v>81477104000</v>
      </c>
      <c r="T749" s="15" t="n">
        <v>0.0631578947368421</v>
      </c>
      <c r="U749" s="32" t="n">
        <v>18317189717.5</v>
      </c>
      <c r="V749" s="14" t="n">
        <v>3.93186027806308</v>
      </c>
      <c r="W749" s="13" t="n">
        <v>0.0779082177161152</v>
      </c>
      <c r="X749" s="15" t="n">
        <v>0.00990099009900991</v>
      </c>
      <c r="Y749" s="13" t="n">
        <v>-0.00811211065175432</v>
      </c>
      <c r="Z749" s="13" t="n">
        <v>0.00916067576549651</v>
      </c>
      <c r="AA749" s="30" t="s">
        <v>97</v>
      </c>
      <c r="AB749" s="28" t="s">
        <v>93</v>
      </c>
      <c r="AC749" s="28" t="s">
        <v>101</v>
      </c>
      <c r="AD749" s="28" t="s">
        <v>108</v>
      </c>
      <c r="AE749" s="28" t="s">
        <v>101</v>
      </c>
      <c r="AF749" s="28" t="s">
        <v>118</v>
      </c>
      <c r="AG749" s="30" t="s">
        <v>122</v>
      </c>
    </row>
    <row r="750" customFormat="false" ht="15" hidden="false" customHeight="false" outlineLevel="0" collapsed="false">
      <c r="A750" s="10" t="n">
        <v>2026</v>
      </c>
      <c r="B750" s="28" t="s">
        <v>75</v>
      </c>
      <c r="C750" s="29" t="n">
        <v>46048</v>
      </c>
      <c r="D750" s="30" t="s">
        <v>125</v>
      </c>
      <c r="E750" s="28" t="s">
        <v>1079</v>
      </c>
      <c r="F750" s="30" t="s">
        <v>1080</v>
      </c>
      <c r="G750" s="31" t="n">
        <v>62920</v>
      </c>
      <c r="H750" s="31" t="n">
        <v>1</v>
      </c>
      <c r="I750" s="31" t="n">
        <v>62920</v>
      </c>
      <c r="J750" s="29" t="n">
        <v>46051</v>
      </c>
      <c r="K750" s="31" t="n">
        <v>75600</v>
      </c>
      <c r="L750" s="30" t="s">
        <v>31</v>
      </c>
      <c r="M750" s="10" t="n">
        <v>3</v>
      </c>
      <c r="N750" s="12" t="n">
        <v>12508</v>
      </c>
      <c r="O750" s="13" t="n">
        <v>0.19879801730955</v>
      </c>
      <c r="P750" s="15" t="n">
        <v>0.205266228378709</v>
      </c>
      <c r="Q750" s="13" t="n">
        <v>-0.0302455633734523</v>
      </c>
      <c r="R750" s="15" t="n">
        <v>0.13859649122807</v>
      </c>
      <c r="S750" s="32" t="n">
        <v>78642639900</v>
      </c>
      <c r="T750" s="15" t="n">
        <v>0.00620155038759696</v>
      </c>
      <c r="U750" s="32" t="n">
        <v>22532783955</v>
      </c>
      <c r="V750" s="14" t="n">
        <v>3.1532645336295</v>
      </c>
      <c r="W750" s="13" t="n">
        <v>0.10940170940171</v>
      </c>
      <c r="X750" s="15" t="n">
        <v>0</v>
      </c>
      <c r="Y750" s="13" t="n">
        <v>-0.00811211065175432</v>
      </c>
      <c r="Z750" s="13" t="n">
        <v>0.00916067576549651</v>
      </c>
      <c r="AA750" s="30" t="s">
        <v>97</v>
      </c>
      <c r="AB750" s="28" t="s">
        <v>93</v>
      </c>
      <c r="AC750" s="28" t="s">
        <v>102</v>
      </c>
      <c r="AD750" s="28" t="s">
        <v>108</v>
      </c>
      <c r="AE750" s="28" t="s">
        <v>112</v>
      </c>
      <c r="AF750" s="28" t="s">
        <v>118</v>
      </c>
      <c r="AG750" s="30" t="s">
        <v>122</v>
      </c>
    </row>
    <row r="751" customFormat="false" ht="15" hidden="false" customHeight="false" outlineLevel="0" collapsed="false">
      <c r="A751" s="10" t="n">
        <v>2026</v>
      </c>
      <c r="B751" s="28" t="s">
        <v>75</v>
      </c>
      <c r="C751" s="29" t="n">
        <v>46048</v>
      </c>
      <c r="D751" s="30" t="s">
        <v>125</v>
      </c>
      <c r="E751" s="28" t="s">
        <v>801</v>
      </c>
      <c r="F751" s="30" t="s">
        <v>802</v>
      </c>
      <c r="G751" s="31" t="n">
        <v>72973</v>
      </c>
      <c r="H751" s="31" t="n">
        <v>1</v>
      </c>
      <c r="I751" s="31" t="n">
        <v>72973</v>
      </c>
      <c r="J751" s="29" t="n">
        <v>46050</v>
      </c>
      <c r="K751" s="31" t="n">
        <v>87600</v>
      </c>
      <c r="L751" s="30" t="s">
        <v>31</v>
      </c>
      <c r="M751" s="10" t="n">
        <v>2</v>
      </c>
      <c r="N751" s="12" t="n">
        <v>14428</v>
      </c>
      <c r="O751" s="13" t="n">
        <v>0.197714686753576</v>
      </c>
      <c r="P751" s="15" t="n">
        <v>0.216890105778995</v>
      </c>
      <c r="Q751" s="13" t="n">
        <v>-0.0297768075545852</v>
      </c>
      <c r="R751" s="15" t="n">
        <v>0.125</v>
      </c>
      <c r="S751" s="32" t="n">
        <v>68064615900</v>
      </c>
      <c r="T751" s="15" t="n">
        <v>0.0267605633802817</v>
      </c>
      <c r="U751" s="32" t="n">
        <v>15204959065</v>
      </c>
      <c r="V751" s="14" t="n">
        <v>4.01718014194162</v>
      </c>
      <c r="W751" s="13" t="n">
        <v>0.106221547799697</v>
      </c>
      <c r="X751" s="15" t="n">
        <v>0.00137174211248281</v>
      </c>
      <c r="Y751" s="13" t="n">
        <v>-0.00811211065175432</v>
      </c>
      <c r="Z751" s="13" t="n">
        <v>0.00916067576549651</v>
      </c>
      <c r="AA751" s="30" t="s">
        <v>97</v>
      </c>
      <c r="AB751" s="28" t="s">
        <v>93</v>
      </c>
      <c r="AC751" s="28" t="s">
        <v>102</v>
      </c>
      <c r="AD751" s="28" t="s">
        <v>108</v>
      </c>
      <c r="AE751" s="28" t="s">
        <v>113</v>
      </c>
      <c r="AF751" s="28" t="s">
        <v>118</v>
      </c>
      <c r="AG751" s="30" t="s">
        <v>122</v>
      </c>
    </row>
    <row r="752" customFormat="false" ht="15" hidden="false" customHeight="false" outlineLevel="0" collapsed="false">
      <c r="A752" s="10" t="n">
        <v>2026</v>
      </c>
      <c r="B752" s="28" t="s">
        <v>75</v>
      </c>
      <c r="C752" s="29" t="n">
        <v>46048</v>
      </c>
      <c r="D752" s="30" t="s">
        <v>125</v>
      </c>
      <c r="E752" s="28" t="s">
        <v>867</v>
      </c>
      <c r="F752" s="30" t="s">
        <v>868</v>
      </c>
      <c r="G752" s="31" t="n">
        <v>34034</v>
      </c>
      <c r="H752" s="31" t="n">
        <v>2</v>
      </c>
      <c r="I752" s="31" t="n">
        <v>68068</v>
      </c>
      <c r="J752" s="29" t="n">
        <v>46049</v>
      </c>
      <c r="K752" s="31" t="n">
        <v>31968</v>
      </c>
      <c r="L752" s="30" t="s">
        <v>32</v>
      </c>
      <c r="M752" s="10" t="n">
        <v>1</v>
      </c>
      <c r="N752" s="12" t="n">
        <v>-4280</v>
      </c>
      <c r="O752" s="13" t="n">
        <v>-0.0628734882764292</v>
      </c>
      <c r="P752" s="15" t="n">
        <v>0.0327907386730919</v>
      </c>
      <c r="Q752" s="13" t="n">
        <v>-0.0715167185755419</v>
      </c>
      <c r="R752" s="15" t="n">
        <v>0.290322580645161</v>
      </c>
      <c r="S752" s="32" t="n">
        <v>53906388000</v>
      </c>
      <c r="T752" s="15" t="n">
        <v>0.111111111111111</v>
      </c>
      <c r="U752" s="32" t="n">
        <v>8386512650</v>
      </c>
      <c r="V752" s="14" t="n">
        <v>4.86101344773018</v>
      </c>
      <c r="W752" s="13" t="n">
        <v>0.133333333333333</v>
      </c>
      <c r="X752" s="15" t="n">
        <v>0.00588235294117645</v>
      </c>
      <c r="Y752" s="13" t="n">
        <v>-0.00811211065175432</v>
      </c>
      <c r="Z752" s="13" t="n">
        <v>0.00916067576549651</v>
      </c>
      <c r="AA752" s="30" t="s">
        <v>97</v>
      </c>
      <c r="AB752" s="28" t="s">
        <v>93</v>
      </c>
      <c r="AC752" s="28" t="s">
        <v>104</v>
      </c>
      <c r="AD752" s="28" t="s">
        <v>108</v>
      </c>
      <c r="AE752" s="28" t="s">
        <v>114</v>
      </c>
      <c r="AF752" s="28" t="s">
        <v>118</v>
      </c>
      <c r="AG752" s="30" t="s">
        <v>122</v>
      </c>
    </row>
    <row r="753" customFormat="false" ht="15" hidden="false" customHeight="false" outlineLevel="0" collapsed="false">
      <c r="A753" s="10" t="n">
        <v>2026</v>
      </c>
      <c r="B753" s="28" t="s">
        <v>75</v>
      </c>
      <c r="C753" s="29" t="n">
        <v>46048</v>
      </c>
      <c r="D753" s="30" t="s">
        <v>125</v>
      </c>
      <c r="E753" s="28" t="s">
        <v>567</v>
      </c>
      <c r="F753" s="30" t="s">
        <v>568</v>
      </c>
      <c r="G753" s="31" t="n">
        <v>49349</v>
      </c>
      <c r="H753" s="31" t="n">
        <v>2</v>
      </c>
      <c r="I753" s="31" t="n">
        <v>98699</v>
      </c>
      <c r="J753" s="29" t="n">
        <v>46085</v>
      </c>
      <c r="K753" s="31" t="n">
        <v>46953</v>
      </c>
      <c r="L753" s="30" t="s">
        <v>32</v>
      </c>
      <c r="M753" s="10" t="n">
        <v>23</v>
      </c>
      <c r="N753" s="12" t="n">
        <v>-5009</v>
      </c>
      <c r="O753" s="13" t="n">
        <v>-0.0507535333834522</v>
      </c>
      <c r="P753" s="15" t="n">
        <v>0.19961174727909</v>
      </c>
      <c r="Q753" s="13" t="n">
        <v>-0.0678692504250312</v>
      </c>
      <c r="R753" s="15" t="n">
        <v>0.121729237770194</v>
      </c>
      <c r="S753" s="32" t="n">
        <v>52213137000</v>
      </c>
      <c r="T753" s="15" t="n">
        <v>0.0378947368421052</v>
      </c>
      <c r="U753" s="32" t="n">
        <v>18995708765</v>
      </c>
      <c r="V753" s="14" t="n">
        <v>2.47826234986464</v>
      </c>
      <c r="W753" s="13" t="n">
        <v>0.0979955456570156</v>
      </c>
      <c r="X753" s="15" t="n">
        <v>0</v>
      </c>
      <c r="Y753" s="13" t="n">
        <v>-0.00811211065175432</v>
      </c>
      <c r="Z753" s="13" t="n">
        <v>0.00916067576549651</v>
      </c>
      <c r="AA753" s="30" t="s">
        <v>97</v>
      </c>
      <c r="AB753" s="28" t="s">
        <v>93</v>
      </c>
      <c r="AC753" s="28" t="s">
        <v>102</v>
      </c>
      <c r="AD753" s="28" t="s">
        <v>108</v>
      </c>
      <c r="AE753" s="28" t="s">
        <v>113</v>
      </c>
      <c r="AF753" s="28" t="s">
        <v>117</v>
      </c>
      <c r="AG753" s="30" t="s">
        <v>122</v>
      </c>
    </row>
    <row r="754" customFormat="false" ht="15" hidden="false" customHeight="false" outlineLevel="0" collapsed="false">
      <c r="A754" s="10" t="n">
        <v>2026</v>
      </c>
      <c r="B754" s="28" t="s">
        <v>75</v>
      </c>
      <c r="C754" s="29" t="n">
        <v>46048</v>
      </c>
      <c r="D754" s="30" t="s">
        <v>125</v>
      </c>
      <c r="E754" s="28" t="s">
        <v>161</v>
      </c>
      <c r="F754" s="30" t="s">
        <v>162</v>
      </c>
      <c r="G754" s="31" t="n">
        <v>52152</v>
      </c>
      <c r="H754" s="31" t="n">
        <v>1</v>
      </c>
      <c r="I754" s="31" t="n">
        <v>52152</v>
      </c>
      <c r="J754" s="29" t="n">
        <v>46052</v>
      </c>
      <c r="K754" s="31" t="n">
        <v>62600</v>
      </c>
      <c r="L754" s="30" t="s">
        <v>31</v>
      </c>
      <c r="M754" s="10" t="n">
        <v>4</v>
      </c>
      <c r="N754" s="12" t="n">
        <v>10305</v>
      </c>
      <c r="O754" s="13" t="n">
        <v>0.197604452840825</v>
      </c>
      <c r="P754" s="15" t="n">
        <v>0.259776691638496</v>
      </c>
      <c r="Q754" s="13" t="n">
        <v>-0.0201736842811697</v>
      </c>
      <c r="R754" s="15" t="n">
        <v>0.0337301587301588</v>
      </c>
      <c r="S754" s="32" t="n">
        <v>49026725200</v>
      </c>
      <c r="T754" s="15" t="n">
        <v>0.00192307692307692</v>
      </c>
      <c r="U754" s="32" t="n">
        <v>43106781697.5</v>
      </c>
      <c r="V754" s="14" t="n">
        <v>1.04966269000911</v>
      </c>
      <c r="W754" s="13" t="n">
        <v>0.0399201596806387</v>
      </c>
      <c r="X754" s="15" t="n">
        <v>0.00191938579654516</v>
      </c>
      <c r="Y754" s="13" t="n">
        <v>-0.00811211065175432</v>
      </c>
      <c r="Z754" s="13" t="n">
        <v>0.00916067576549651</v>
      </c>
      <c r="AA754" s="30" t="s">
        <v>97</v>
      </c>
      <c r="AB754" s="28" t="s">
        <v>93</v>
      </c>
      <c r="AC754" s="28" t="s">
        <v>100</v>
      </c>
      <c r="AD754" s="28" t="s">
        <v>107</v>
      </c>
      <c r="AE754" s="28" t="s">
        <v>112</v>
      </c>
      <c r="AF754" s="28" t="s">
        <v>116</v>
      </c>
      <c r="AG754" s="30" t="s">
        <v>122</v>
      </c>
    </row>
    <row r="755" customFormat="false" ht="15" hidden="false" customHeight="false" outlineLevel="0" collapsed="false">
      <c r="A755" s="10" t="n">
        <v>2026</v>
      </c>
      <c r="B755" s="28" t="s">
        <v>75</v>
      </c>
      <c r="C755" s="29" t="n">
        <v>46048</v>
      </c>
      <c r="D755" s="30" t="s">
        <v>125</v>
      </c>
      <c r="E755" s="28" t="s">
        <v>659</v>
      </c>
      <c r="F755" s="30" t="s">
        <v>660</v>
      </c>
      <c r="G755" s="31" t="n">
        <v>52052</v>
      </c>
      <c r="H755" s="31" t="n">
        <v>1</v>
      </c>
      <c r="I755" s="31" t="n">
        <v>52052</v>
      </c>
      <c r="J755" s="29" t="n">
        <v>46050</v>
      </c>
      <c r="K755" s="31" t="n">
        <v>62500</v>
      </c>
      <c r="L755" s="30" t="s">
        <v>31</v>
      </c>
      <c r="M755" s="10" t="n">
        <v>2</v>
      </c>
      <c r="N755" s="12" t="n">
        <v>10306</v>
      </c>
      <c r="O755" s="13" t="n">
        <v>0.197990801506186</v>
      </c>
      <c r="P755" s="15" t="n">
        <v>0.381310996695612</v>
      </c>
      <c r="Q755" s="13" t="n">
        <v>-0.0298163375086451</v>
      </c>
      <c r="R755" s="15" t="n">
        <v>0.0644831115660185</v>
      </c>
      <c r="S755" s="32" t="n">
        <v>46789808000</v>
      </c>
      <c r="T755" s="15" t="n">
        <v>0.0536980749746707</v>
      </c>
      <c r="U755" s="32" t="n">
        <v>25012526280</v>
      </c>
      <c r="V755" s="14" t="n">
        <v>1.54390465787685</v>
      </c>
      <c r="W755" s="13" t="n">
        <v>0.0721649484536082</v>
      </c>
      <c r="X755" s="15" t="n">
        <v>0.00961538461538458</v>
      </c>
      <c r="Y755" s="13" t="n">
        <v>-0.00811211065175432</v>
      </c>
      <c r="Z755" s="13" t="n">
        <v>0.00916067576549651</v>
      </c>
      <c r="AA755" s="30" t="s">
        <v>97</v>
      </c>
      <c r="AB755" s="28" t="s">
        <v>93</v>
      </c>
      <c r="AC755" s="28" t="s">
        <v>101</v>
      </c>
      <c r="AD755" s="28" t="s">
        <v>107</v>
      </c>
      <c r="AE755" s="28" t="s">
        <v>101</v>
      </c>
      <c r="AF755" s="28" t="s">
        <v>116</v>
      </c>
      <c r="AG755" s="30" t="s">
        <v>122</v>
      </c>
    </row>
    <row r="756" customFormat="false" ht="15" hidden="false" customHeight="false" outlineLevel="0" collapsed="false">
      <c r="A756" s="10" t="n">
        <v>2026</v>
      </c>
      <c r="B756" s="28" t="s">
        <v>75</v>
      </c>
      <c r="C756" s="29" t="n">
        <v>46048</v>
      </c>
      <c r="D756" s="30" t="s">
        <v>125</v>
      </c>
      <c r="E756" s="28" t="s">
        <v>1489</v>
      </c>
      <c r="F756" s="30" t="s">
        <v>1490</v>
      </c>
      <c r="G756" s="31" t="n">
        <v>35636</v>
      </c>
      <c r="H756" s="31" t="n">
        <v>2</v>
      </c>
      <c r="I756" s="31" t="n">
        <v>71271</v>
      </c>
      <c r="J756" s="29" t="n">
        <v>46085</v>
      </c>
      <c r="K756" s="31" t="n">
        <v>33417</v>
      </c>
      <c r="L756" s="30" t="s">
        <v>32</v>
      </c>
      <c r="M756" s="10" t="n">
        <v>23</v>
      </c>
      <c r="N756" s="12" t="n">
        <v>-4592</v>
      </c>
      <c r="O756" s="13" t="n">
        <v>-0.0644367127956312</v>
      </c>
      <c r="P756" s="15" t="n">
        <v>0.158953406144417</v>
      </c>
      <c r="Q756" s="13" t="n">
        <v>-0.214268877190226</v>
      </c>
      <c r="R756" s="15" t="n">
        <v>0.072289156626506</v>
      </c>
      <c r="S756" s="32" t="n">
        <v>29508377200</v>
      </c>
      <c r="T756" s="15" t="n">
        <v>0.0486008836524301</v>
      </c>
      <c r="U756" s="32" t="n">
        <v>3297960030</v>
      </c>
      <c r="V756" s="14" t="n">
        <v>8.11140463372113</v>
      </c>
      <c r="W756" s="13" t="n">
        <v>0.0289017341040463</v>
      </c>
      <c r="X756" s="15" t="n">
        <v>0.0070224719101124</v>
      </c>
      <c r="Y756" s="13" t="n">
        <v>-0.00811211065175432</v>
      </c>
      <c r="Z756" s="13" t="n">
        <v>0.00916067576549651</v>
      </c>
      <c r="AA756" s="30" t="s">
        <v>97</v>
      </c>
      <c r="AB756" s="28" t="s">
        <v>93</v>
      </c>
      <c r="AC756" s="28" t="s">
        <v>101</v>
      </c>
      <c r="AD756" s="28" t="s">
        <v>106</v>
      </c>
      <c r="AE756" s="28" t="s">
        <v>113</v>
      </c>
      <c r="AF756" s="28" t="s">
        <v>119</v>
      </c>
      <c r="AG756" s="30" t="s">
        <v>122</v>
      </c>
    </row>
    <row r="757" customFormat="false" ht="15" hidden="false" customHeight="false" outlineLevel="0" collapsed="false">
      <c r="A757" s="10" t="n">
        <v>2026</v>
      </c>
      <c r="B757" s="28" t="s">
        <v>75</v>
      </c>
      <c r="C757" s="29" t="n">
        <v>46048</v>
      </c>
      <c r="D757" s="30" t="s">
        <v>125</v>
      </c>
      <c r="E757" s="28" t="s">
        <v>1049</v>
      </c>
      <c r="F757" s="28" t="s">
        <v>1050</v>
      </c>
      <c r="G757" s="31" t="n">
        <v>13904</v>
      </c>
      <c r="H757" s="31" t="n">
        <v>7</v>
      </c>
      <c r="I757" s="31" t="n">
        <v>97327</v>
      </c>
      <c r="J757" s="29" t="n">
        <v>46051</v>
      </c>
      <c r="K757" s="31" t="n">
        <v>16690</v>
      </c>
      <c r="L757" s="30" t="s">
        <v>31</v>
      </c>
      <c r="M757" s="10" t="n">
        <v>3</v>
      </c>
      <c r="N757" s="12" t="n">
        <v>19237</v>
      </c>
      <c r="O757" s="13" t="n">
        <v>0.197652665297266</v>
      </c>
      <c r="P757" s="15" t="n">
        <v>0.273025031124383</v>
      </c>
      <c r="Q757" s="13" t="n">
        <v>-0.0240141428046394</v>
      </c>
      <c r="R757" s="15" t="n">
        <v>0.0381165919282511</v>
      </c>
      <c r="S757" s="32" t="n">
        <v>21017542380</v>
      </c>
      <c r="T757" s="15" t="n">
        <v>0.0168374816983894</v>
      </c>
      <c r="U757" s="32" t="n">
        <v>9657660480.5</v>
      </c>
      <c r="V757" s="14" t="n">
        <v>2.04604480404097</v>
      </c>
      <c r="W757" s="13" t="n">
        <v>0.0451467268623025</v>
      </c>
      <c r="X757" s="15" t="n">
        <v>0.00791936645068403</v>
      </c>
      <c r="Y757" s="13" t="n">
        <v>-0.00811211065175432</v>
      </c>
      <c r="Z757" s="13" t="n">
        <v>0.00916067576549651</v>
      </c>
      <c r="AA757" s="30" t="s">
        <v>97</v>
      </c>
      <c r="AB757" s="28" t="s">
        <v>93</v>
      </c>
      <c r="AC757" s="28" t="s">
        <v>100</v>
      </c>
      <c r="AD757" s="28" t="s">
        <v>106</v>
      </c>
      <c r="AE757" s="28" t="s">
        <v>112</v>
      </c>
      <c r="AF757" s="28" t="s">
        <v>117</v>
      </c>
      <c r="AG757" s="30" t="s">
        <v>122</v>
      </c>
    </row>
    <row r="758" customFormat="false" ht="15" hidden="false" customHeight="false" outlineLevel="0" collapsed="false">
      <c r="A758" s="10" t="n">
        <v>2026</v>
      </c>
      <c r="B758" s="28" t="s">
        <v>75</v>
      </c>
      <c r="C758" s="29" t="n">
        <v>46049</v>
      </c>
      <c r="D758" s="30" t="s">
        <v>126</v>
      </c>
      <c r="E758" s="28" t="s">
        <v>865</v>
      </c>
      <c r="F758" s="30" t="s">
        <v>866</v>
      </c>
      <c r="G758" s="31" t="n">
        <v>21622</v>
      </c>
      <c r="H758" s="31" t="n">
        <v>4</v>
      </c>
      <c r="I758" s="31" t="n">
        <v>86486</v>
      </c>
      <c r="J758" s="29" t="n">
        <v>46065</v>
      </c>
      <c r="K758" s="31" t="n">
        <v>25950</v>
      </c>
      <c r="L758" s="30" t="s">
        <v>31</v>
      </c>
      <c r="M758" s="10" t="n">
        <v>12</v>
      </c>
      <c r="N758" s="12" t="n">
        <v>17077</v>
      </c>
      <c r="O758" s="13" t="n">
        <v>0.197458294483294</v>
      </c>
      <c r="P758" s="15" t="n">
        <v>0.221001221001221</v>
      </c>
      <c r="Q758" s="13" t="n">
        <v>-0.0125615125615125</v>
      </c>
      <c r="R758" s="15" t="n">
        <v>0.0334928229665072</v>
      </c>
      <c r="S758" s="32" t="n">
        <v>44326418400</v>
      </c>
      <c r="T758" s="15" t="n">
        <v>0.0188679245283019</v>
      </c>
      <c r="U758" s="32" t="n">
        <v>22602319695</v>
      </c>
      <c r="V758" s="14" t="n">
        <v>1.88283462558556</v>
      </c>
      <c r="W758" s="13" t="n">
        <v>0.0285714285714285</v>
      </c>
      <c r="X758" s="15" t="n">
        <v>0</v>
      </c>
      <c r="Y758" s="13" t="n">
        <v>0.0273275160164781</v>
      </c>
      <c r="Z758" s="13" t="n">
        <v>0.0407511640996776</v>
      </c>
      <c r="AA758" s="30" t="s">
        <v>97</v>
      </c>
      <c r="AB758" s="28" t="s">
        <v>93</v>
      </c>
      <c r="AC758" s="28" t="s">
        <v>100</v>
      </c>
      <c r="AD758" s="28" t="s">
        <v>107</v>
      </c>
      <c r="AE758" s="28" t="s">
        <v>112</v>
      </c>
      <c r="AF758" s="28" t="s">
        <v>116</v>
      </c>
      <c r="AG758" s="30" t="s">
        <v>122</v>
      </c>
    </row>
    <row r="759" customFormat="false" ht="15" hidden="false" customHeight="false" outlineLevel="0" collapsed="false">
      <c r="A759" s="10" t="n">
        <v>2026</v>
      </c>
      <c r="B759" s="28" t="s">
        <v>75</v>
      </c>
      <c r="C759" s="29" t="n">
        <v>46049</v>
      </c>
      <c r="D759" s="30" t="s">
        <v>126</v>
      </c>
      <c r="E759" s="28" t="s">
        <v>1389</v>
      </c>
      <c r="F759" s="30" t="s">
        <v>1390</v>
      </c>
      <c r="G759" s="31" t="n">
        <v>23423</v>
      </c>
      <c r="H759" s="31" t="n">
        <v>4</v>
      </c>
      <c r="I759" s="31" t="n">
        <v>93694</v>
      </c>
      <c r="J759" s="29" t="n">
        <v>46059</v>
      </c>
      <c r="K759" s="31" t="n">
        <v>22278</v>
      </c>
      <c r="L759" s="30" t="s">
        <v>32</v>
      </c>
      <c r="M759" s="10" t="n">
        <v>8</v>
      </c>
      <c r="N759" s="12" t="n">
        <v>-4788</v>
      </c>
      <c r="O759" s="13" t="n">
        <v>-0.051107463690156</v>
      </c>
      <c r="P759" s="15" t="n">
        <v>0.144154990308837</v>
      </c>
      <c r="Q759" s="13" t="n">
        <v>-0.0479605864221248</v>
      </c>
      <c r="R759" s="15" t="n">
        <v>0.0588235294117647</v>
      </c>
      <c r="S759" s="32" t="n">
        <v>31623228000</v>
      </c>
      <c r="T759" s="15" t="n">
        <v>0.054054054054054</v>
      </c>
      <c r="U759" s="32" t="n">
        <v>7965944980.5</v>
      </c>
      <c r="V759" s="14" t="n">
        <v>3.54257614663123</v>
      </c>
      <c r="W759" s="13" t="n">
        <v>0.073394495412844</v>
      </c>
      <c r="X759" s="15" t="n">
        <v>0.0320512820512822</v>
      </c>
      <c r="Y759" s="13" t="n">
        <v>0.0273275160164781</v>
      </c>
      <c r="Z759" s="13" t="n">
        <v>0.0407511640996776</v>
      </c>
      <c r="AA759" s="30" t="s">
        <v>97</v>
      </c>
      <c r="AB759" s="28" t="s">
        <v>93</v>
      </c>
      <c r="AC759" s="28" t="s">
        <v>101</v>
      </c>
      <c r="AD759" s="28" t="s">
        <v>107</v>
      </c>
      <c r="AE759" s="28" t="s">
        <v>101</v>
      </c>
      <c r="AF759" s="28" t="s">
        <v>118</v>
      </c>
      <c r="AG759" s="30" t="s">
        <v>122</v>
      </c>
    </row>
    <row r="760" customFormat="false" ht="15" hidden="false" customHeight="false" outlineLevel="0" collapsed="false">
      <c r="A760" s="10" t="n">
        <v>2026</v>
      </c>
      <c r="B760" s="28" t="s">
        <v>75</v>
      </c>
      <c r="C760" s="29" t="n">
        <v>46049</v>
      </c>
      <c r="D760" s="30" t="s">
        <v>126</v>
      </c>
      <c r="E760" s="28" t="s">
        <v>1123</v>
      </c>
      <c r="F760" s="28" t="s">
        <v>1124</v>
      </c>
      <c r="G760" s="31" t="n">
        <v>16336</v>
      </c>
      <c r="H760" s="31" t="n">
        <v>6</v>
      </c>
      <c r="I760" s="31" t="n">
        <v>98018</v>
      </c>
      <c r="J760" s="29" t="n">
        <v>46059</v>
      </c>
      <c r="K760" s="31" t="n">
        <v>15534</v>
      </c>
      <c r="L760" s="30" t="s">
        <v>32</v>
      </c>
      <c r="M760" s="10" t="n">
        <v>8</v>
      </c>
      <c r="N760" s="12" t="n">
        <v>-5026</v>
      </c>
      <c r="O760" s="13" t="n">
        <v>-0.0512795730923486</v>
      </c>
      <c r="P760" s="15" t="n">
        <v>0.0345047109752994</v>
      </c>
      <c r="Q760" s="13" t="n">
        <v>-0.0732306908777496</v>
      </c>
      <c r="R760" s="15" t="n">
        <v>0.0743910467412772</v>
      </c>
      <c r="S760" s="32" t="n">
        <v>29496800640</v>
      </c>
      <c r="T760" s="15" t="n">
        <v>0.0576798444588464</v>
      </c>
      <c r="U760" s="32" t="n">
        <v>11970763249</v>
      </c>
      <c r="V760" s="14" t="n">
        <v>2.25651731894477</v>
      </c>
      <c r="W760" s="13" t="n">
        <v>0.0604288499025341</v>
      </c>
      <c r="X760" s="15" t="n">
        <v>0.0159313725490196</v>
      </c>
      <c r="Y760" s="13" t="n">
        <v>0.0273275160164781</v>
      </c>
      <c r="Z760" s="13" t="n">
        <v>0.0407511640996776</v>
      </c>
      <c r="AA760" s="30" t="s">
        <v>97</v>
      </c>
      <c r="AB760" s="28" t="s">
        <v>93</v>
      </c>
      <c r="AC760" s="28" t="s">
        <v>101</v>
      </c>
      <c r="AD760" s="28" t="s">
        <v>106</v>
      </c>
      <c r="AE760" s="28" t="s">
        <v>101</v>
      </c>
      <c r="AF760" s="28" t="s">
        <v>117</v>
      </c>
      <c r="AG760" s="30" t="s">
        <v>122</v>
      </c>
    </row>
    <row r="761" customFormat="false" ht="15" hidden="false" customHeight="false" outlineLevel="0" collapsed="false">
      <c r="A761" s="10" t="n">
        <v>2026</v>
      </c>
      <c r="B761" s="28" t="s">
        <v>75</v>
      </c>
      <c r="C761" s="29" t="n">
        <v>46049</v>
      </c>
      <c r="D761" s="30" t="s">
        <v>126</v>
      </c>
      <c r="E761" s="28" t="s">
        <v>391</v>
      </c>
      <c r="F761" s="28" t="s">
        <v>392</v>
      </c>
      <c r="G761" s="31" t="n">
        <v>16166</v>
      </c>
      <c r="H761" s="31" t="n">
        <v>6</v>
      </c>
      <c r="I761" s="31" t="n">
        <v>96997</v>
      </c>
      <c r="J761" s="29" t="n">
        <v>46062</v>
      </c>
      <c r="K761" s="31" t="n">
        <v>19400</v>
      </c>
      <c r="L761" s="30" t="s">
        <v>31</v>
      </c>
      <c r="M761" s="10" t="n">
        <v>9</v>
      </c>
      <c r="N761" s="12" t="n">
        <v>19138</v>
      </c>
      <c r="O761" s="13" t="n">
        <v>0.197308269284895</v>
      </c>
      <c r="P761" s="15" t="n">
        <v>0.258803116388256</v>
      </c>
      <c r="Q761" s="13" t="n">
        <v>-0.00532903628878845</v>
      </c>
      <c r="R761" s="15" t="n">
        <v>0.0144472361809045</v>
      </c>
      <c r="S761" s="32" t="n">
        <v>23647056100</v>
      </c>
      <c r="T761" s="15" t="n">
        <v>0.00685785536159611</v>
      </c>
      <c r="U761" s="32" t="n">
        <v>12310224184</v>
      </c>
      <c r="V761" s="14" t="n">
        <v>1.84179460173931</v>
      </c>
      <c r="W761" s="13" t="n">
        <v>0.017643352236925</v>
      </c>
      <c r="X761" s="15" t="n">
        <v>0.00804953560371513</v>
      </c>
      <c r="Y761" s="13" t="n">
        <v>0.0273275160164781</v>
      </c>
      <c r="Z761" s="13" t="n">
        <v>0.0407511640996776</v>
      </c>
      <c r="AA761" s="30" t="s">
        <v>97</v>
      </c>
      <c r="AB761" s="28" t="s">
        <v>93</v>
      </c>
      <c r="AC761" s="28" t="s">
        <v>99</v>
      </c>
      <c r="AD761" s="28" t="s">
        <v>106</v>
      </c>
      <c r="AE761" s="28" t="s">
        <v>112</v>
      </c>
      <c r="AF761" s="28" t="s">
        <v>116</v>
      </c>
      <c r="AG761" s="30" t="s">
        <v>122</v>
      </c>
    </row>
    <row r="762" customFormat="false" ht="15" hidden="false" customHeight="false" outlineLevel="0" collapsed="false">
      <c r="A762" s="10" t="n">
        <v>2026</v>
      </c>
      <c r="B762" s="28" t="s">
        <v>75</v>
      </c>
      <c r="C762" s="29" t="n">
        <v>46052</v>
      </c>
      <c r="D762" s="30" t="s">
        <v>129</v>
      </c>
      <c r="E762" s="28" t="s">
        <v>483</v>
      </c>
      <c r="F762" s="28" t="s">
        <v>484</v>
      </c>
      <c r="G762" s="31" t="n">
        <v>73173</v>
      </c>
      <c r="H762" s="31" t="n">
        <v>1</v>
      </c>
      <c r="I762" s="31" t="n">
        <v>73173</v>
      </c>
      <c r="J762" s="29" t="n">
        <v>46056</v>
      </c>
      <c r="K762" s="31" t="n">
        <v>69630</v>
      </c>
      <c r="L762" s="30" t="s">
        <v>32</v>
      </c>
      <c r="M762" s="10" t="n">
        <v>2</v>
      </c>
      <c r="N762" s="12" t="n">
        <v>-3703</v>
      </c>
      <c r="O762" s="13" t="n">
        <v>-0.0506126036753943</v>
      </c>
      <c r="P762" s="15" t="n">
        <v>0.0154004682048459</v>
      </c>
      <c r="Q762" s="13" t="n">
        <v>-0.0583971432124646</v>
      </c>
      <c r="R762" s="15" t="n">
        <v>0.0533141210374639</v>
      </c>
      <c r="S762" s="32" t="n">
        <v>25739606500</v>
      </c>
      <c r="T762" s="15" t="n">
        <v>0.0517985611510792</v>
      </c>
      <c r="U762" s="32" t="n">
        <v>6873125130</v>
      </c>
      <c r="V762" s="14" t="n">
        <v>3.36018696386975</v>
      </c>
      <c r="W762" s="13" t="n">
        <v>0.0533141210374639</v>
      </c>
      <c r="X762" s="15" t="n">
        <v>0.0314637482900138</v>
      </c>
      <c r="Y762" s="13" t="n">
        <v>0.000595642805841345</v>
      </c>
      <c r="Z762" s="13" t="n">
        <v>0.0469512451729135</v>
      </c>
      <c r="AA762" s="30" t="s">
        <v>97</v>
      </c>
      <c r="AB762" s="28" t="s">
        <v>93</v>
      </c>
      <c r="AC762" s="28" t="s">
        <v>101</v>
      </c>
      <c r="AD762" s="28" t="s">
        <v>106</v>
      </c>
      <c r="AE762" s="28" t="s">
        <v>101</v>
      </c>
      <c r="AF762" s="28" t="s">
        <v>118</v>
      </c>
      <c r="AG762" s="30" t="s">
        <v>122</v>
      </c>
    </row>
    <row r="763" customFormat="false" ht="15" hidden="false" customHeight="false" outlineLevel="0" collapsed="false">
      <c r="A763" s="10" t="n">
        <v>2026</v>
      </c>
      <c r="B763" s="28" t="s">
        <v>76</v>
      </c>
      <c r="C763" s="29" t="n">
        <v>46078</v>
      </c>
      <c r="D763" s="30" t="s">
        <v>127</v>
      </c>
      <c r="E763" s="28" t="s">
        <v>777</v>
      </c>
      <c r="F763" s="28" t="s">
        <v>778</v>
      </c>
      <c r="G763" s="31" t="n">
        <v>20120</v>
      </c>
      <c r="H763" s="31" t="n">
        <v>4</v>
      </c>
      <c r="I763" s="31" t="n">
        <v>80480</v>
      </c>
      <c r="J763" s="29" t="n">
        <v>46079</v>
      </c>
      <c r="K763" s="31" t="n">
        <v>19151</v>
      </c>
      <c r="L763" s="30" t="s">
        <v>32</v>
      </c>
      <c r="M763" s="10" t="n">
        <v>1</v>
      </c>
      <c r="N763" s="12" t="n">
        <v>-4054</v>
      </c>
      <c r="O763" s="13" t="n">
        <v>-0.050370639286087</v>
      </c>
      <c r="P763" s="15" t="n">
        <v>0.00148607611294183</v>
      </c>
      <c r="Q763" s="13" t="n">
        <v>-0.0477184507035253</v>
      </c>
      <c r="R763" s="15" t="n">
        <v>0.0474205315268368</v>
      </c>
      <c r="S763" s="32" t="n">
        <v>20809489800</v>
      </c>
      <c r="T763" s="15" t="n">
        <v>0.0457856399583767</v>
      </c>
      <c r="U763" s="32" t="n">
        <v>8632699993</v>
      </c>
      <c r="V763" s="14" t="n">
        <v>2.19221783399016</v>
      </c>
      <c r="W763" s="13" t="n">
        <v>0.0141271442986881</v>
      </c>
      <c r="X763" s="15" t="n">
        <v>0.00497512437810954</v>
      </c>
      <c r="Y763" s="13" t="n">
        <v>0.0191334820860218</v>
      </c>
      <c r="Z763" s="13" t="n">
        <v>0.104748311697273</v>
      </c>
      <c r="AA763" s="30" t="s">
        <v>97</v>
      </c>
      <c r="AB763" s="28" t="s">
        <v>93</v>
      </c>
      <c r="AC763" s="28" t="s">
        <v>100</v>
      </c>
      <c r="AD763" s="28" t="s">
        <v>106</v>
      </c>
      <c r="AE763" s="28" t="s">
        <v>113</v>
      </c>
      <c r="AF763" s="28" t="s">
        <v>117</v>
      </c>
      <c r="AG763" s="30" t="s">
        <v>122</v>
      </c>
    </row>
    <row r="764" customFormat="false" ht="15" hidden="false" customHeight="false" outlineLevel="0" collapsed="false">
      <c r="A764" s="10" t="n">
        <v>2026</v>
      </c>
      <c r="B764" s="28" t="s">
        <v>76</v>
      </c>
      <c r="C764" s="29" t="n">
        <v>46080</v>
      </c>
      <c r="D764" s="30" t="s">
        <v>129</v>
      </c>
      <c r="E764" s="28" t="s">
        <v>641</v>
      </c>
      <c r="F764" s="30" t="s">
        <v>642</v>
      </c>
      <c r="G764" s="31" t="n">
        <v>70352</v>
      </c>
      <c r="H764" s="31" t="n">
        <v>1</v>
      </c>
      <c r="I764" s="31" t="n">
        <v>70352</v>
      </c>
      <c r="J764" s="29" t="n">
        <v>46084</v>
      </c>
      <c r="K764" s="31" t="n">
        <v>66933</v>
      </c>
      <c r="L764" s="30" t="s">
        <v>32</v>
      </c>
      <c r="M764" s="10" t="n">
        <v>1</v>
      </c>
      <c r="N764" s="12" t="n">
        <v>-3573</v>
      </c>
      <c r="O764" s="13" t="n">
        <v>-0.050790109000203</v>
      </c>
      <c r="P764" s="15" t="n">
        <v>-0.00638445112838626</v>
      </c>
      <c r="Q764" s="13" t="n">
        <v>-0.120825266377827</v>
      </c>
      <c r="R764" s="15" t="n">
        <v>0.0234482758620691</v>
      </c>
      <c r="S764" s="32" t="n">
        <v>86925300000</v>
      </c>
      <c r="T764" s="15" t="n">
        <v>0.00134952766531726</v>
      </c>
      <c r="U764" s="32" t="n">
        <v>44760832855</v>
      </c>
      <c r="V764" s="14" t="n">
        <v>1.85494459906714</v>
      </c>
      <c r="W764" s="13" t="n">
        <v>0.0450704225352114</v>
      </c>
      <c r="X764" s="15" t="n">
        <v>0.00404312668463613</v>
      </c>
      <c r="Y764" s="13" t="n">
        <v>-0.0100106702265799</v>
      </c>
      <c r="Z764" s="13" t="n">
        <v>0.0749931566162179</v>
      </c>
      <c r="AA764" s="30" t="s">
        <v>97</v>
      </c>
      <c r="AB764" s="28" t="s">
        <v>93</v>
      </c>
      <c r="AC764" s="28" t="s">
        <v>99</v>
      </c>
      <c r="AD764" s="28" t="s">
        <v>108</v>
      </c>
      <c r="AE764" s="28" t="s">
        <v>112</v>
      </c>
      <c r="AF764" s="28" t="s">
        <v>116</v>
      </c>
      <c r="AG764" s="30" t="s">
        <v>122</v>
      </c>
    </row>
    <row r="765" customFormat="false" ht="15" hidden="false" customHeight="false" outlineLevel="0" collapsed="false">
      <c r="A765" s="10" t="n">
        <v>2026</v>
      </c>
      <c r="B765" s="28" t="s">
        <v>76</v>
      </c>
      <c r="C765" s="29" t="n">
        <v>46080</v>
      </c>
      <c r="D765" s="30" t="s">
        <v>129</v>
      </c>
      <c r="E765" s="28" t="s">
        <v>1113</v>
      </c>
      <c r="F765" s="30" t="s">
        <v>1114</v>
      </c>
      <c r="G765" s="31" t="n">
        <v>68168</v>
      </c>
      <c r="H765" s="31" t="n">
        <v>1</v>
      </c>
      <c r="I765" s="31" t="n">
        <v>68168</v>
      </c>
      <c r="J765" s="29" t="n">
        <v>46085</v>
      </c>
      <c r="K765" s="31" t="n">
        <v>64835</v>
      </c>
      <c r="L765" s="30" t="s">
        <v>32</v>
      </c>
      <c r="M765" s="10" t="n">
        <v>2</v>
      </c>
      <c r="N765" s="12" t="n">
        <v>-3483</v>
      </c>
      <c r="O765" s="13" t="n">
        <v>-0.0510887156895969</v>
      </c>
      <c r="P765" s="15" t="n">
        <v>0.139829333661933</v>
      </c>
      <c r="Q765" s="13" t="n">
        <v>-0.0655453210519289</v>
      </c>
      <c r="R765" s="15" t="n">
        <v>0.0878594249201279</v>
      </c>
      <c r="S765" s="32" t="n">
        <v>62165561700</v>
      </c>
      <c r="T765" s="15" t="n">
        <v>0.00442477876106184</v>
      </c>
      <c r="U765" s="32" t="n">
        <v>23907378915</v>
      </c>
      <c r="V765" s="14" t="n">
        <v>2.33918558733454</v>
      </c>
      <c r="W765" s="13" t="n">
        <v>0.0118870728083209</v>
      </c>
      <c r="X765" s="15" t="n">
        <v>0.0748898678414096</v>
      </c>
      <c r="Y765" s="13" t="n">
        <v>-0.0100106702265799</v>
      </c>
      <c r="Z765" s="13" t="n">
        <v>0.0749931566162179</v>
      </c>
      <c r="AA765" s="30" t="s">
        <v>97</v>
      </c>
      <c r="AB765" s="28" t="s">
        <v>93</v>
      </c>
      <c r="AC765" s="28" t="s">
        <v>101</v>
      </c>
      <c r="AD765" s="28" t="s">
        <v>108</v>
      </c>
      <c r="AE765" s="28" t="s">
        <v>112</v>
      </c>
      <c r="AF765" s="28" t="s">
        <v>117</v>
      </c>
      <c r="AG765" s="30" t="s">
        <v>122</v>
      </c>
    </row>
    <row r="766" customFormat="false" ht="15" hidden="false" customHeight="false" outlineLevel="0" collapsed="false">
      <c r="A766" s="10" t="n">
        <v>2026</v>
      </c>
      <c r="B766" s="28" t="s">
        <v>77</v>
      </c>
      <c r="C766" s="29" t="n">
        <v>46093</v>
      </c>
      <c r="D766" s="30" t="s">
        <v>128</v>
      </c>
      <c r="E766" s="28" t="s">
        <v>1491</v>
      </c>
      <c r="F766" s="30" t="s">
        <v>1492</v>
      </c>
      <c r="G766" s="31" t="n">
        <v>84384</v>
      </c>
      <c r="H766" s="31" t="n">
        <v>1</v>
      </c>
      <c r="I766" s="31" t="n">
        <v>84384</v>
      </c>
      <c r="J766" s="29" t="n">
        <v>46094</v>
      </c>
      <c r="K766" s="31" t="n">
        <v>80320</v>
      </c>
      <c r="L766" s="30" t="s">
        <v>32</v>
      </c>
      <c r="M766" s="10" t="n">
        <v>1</v>
      </c>
      <c r="N766" s="12" t="n">
        <v>-4250</v>
      </c>
      <c r="O766" s="13" t="n">
        <v>-0.0503653497747803</v>
      </c>
      <c r="P766" s="15" t="n">
        <v>0.0286273631469363</v>
      </c>
      <c r="Q766" s="13" t="n">
        <v>-0.0519563473300126</v>
      </c>
      <c r="R766" s="15" t="n">
        <v>0.078005115089514</v>
      </c>
      <c r="S766" s="32" t="n">
        <v>33576352800</v>
      </c>
      <c r="T766" s="15" t="n">
        <v>0.0267965895249696</v>
      </c>
      <c r="U766" s="32" t="n">
        <v>12976068920</v>
      </c>
      <c r="V766" s="14" t="n">
        <v>2.28979704939182</v>
      </c>
      <c r="W766" s="13" t="n">
        <v>0.078005115089514</v>
      </c>
      <c r="X766" s="15" t="n">
        <v>0.0201660735468565</v>
      </c>
      <c r="Y766" s="13" t="n">
        <v>-0.00475940070767111</v>
      </c>
      <c r="Z766" s="13" t="n">
        <v>-0.000116406096097643</v>
      </c>
      <c r="AA766" s="30" t="s">
        <v>96</v>
      </c>
      <c r="AB766" s="28" t="s">
        <v>94</v>
      </c>
      <c r="AC766" s="28" t="s">
        <v>101</v>
      </c>
      <c r="AD766" s="28" t="s">
        <v>107</v>
      </c>
      <c r="AE766" s="28" t="s">
        <v>113</v>
      </c>
      <c r="AF766" s="28" t="s">
        <v>117</v>
      </c>
      <c r="AG766" s="30" t="s">
        <v>122</v>
      </c>
    </row>
    <row r="767" customFormat="false" ht="15" hidden="false" customHeight="false" outlineLevel="0" collapsed="false">
      <c r="A767" s="10" t="n">
        <v>2026</v>
      </c>
      <c r="B767" s="28" t="s">
        <v>77</v>
      </c>
      <c r="C767" s="29" t="n">
        <v>46094</v>
      </c>
      <c r="D767" s="30" t="s">
        <v>129</v>
      </c>
      <c r="E767" s="28" t="s">
        <v>429</v>
      </c>
      <c r="F767" s="30" t="s">
        <v>430</v>
      </c>
      <c r="G767" s="31" t="n">
        <v>33884</v>
      </c>
      <c r="H767" s="31" t="n">
        <v>2</v>
      </c>
      <c r="I767" s="31" t="n">
        <v>67768</v>
      </c>
      <c r="J767" s="29" t="n">
        <v>46101</v>
      </c>
      <c r="K767" s="31" t="n">
        <v>32218</v>
      </c>
      <c r="L767" s="30" t="s">
        <v>32</v>
      </c>
      <c r="M767" s="10" t="n">
        <v>5</v>
      </c>
      <c r="N767" s="12" t="n">
        <v>-3481</v>
      </c>
      <c r="O767" s="13" t="n">
        <v>-0.0513652002355105</v>
      </c>
      <c r="P767" s="15" t="n">
        <v>0.156893328237494</v>
      </c>
      <c r="Q767" s="13" t="n">
        <v>-0.0482191368454292</v>
      </c>
      <c r="R767" s="15" t="n">
        <v>0.0746031746031746</v>
      </c>
      <c r="S767" s="32" t="n">
        <v>23018304650</v>
      </c>
      <c r="T767" s="15" t="n">
        <v>0.033587786259542</v>
      </c>
      <c r="U767" s="32" t="n">
        <v>4711289582.5</v>
      </c>
      <c r="V767" s="14" t="n">
        <v>4.39311672324345</v>
      </c>
      <c r="W767" s="13" t="n">
        <v>0.0644654088050314</v>
      </c>
      <c r="X767" s="15" t="n">
        <v>0.0457902511078288</v>
      </c>
      <c r="Y767" s="13" t="n">
        <v>-0.0171960775533964</v>
      </c>
      <c r="Z767" s="13" t="n">
        <v>-0.0174811589168593</v>
      </c>
      <c r="AA767" s="30" t="s">
        <v>96</v>
      </c>
      <c r="AB767" s="28" t="s">
        <v>94</v>
      </c>
      <c r="AC767" s="28" t="s">
        <v>101</v>
      </c>
      <c r="AD767" s="28" t="s">
        <v>106</v>
      </c>
      <c r="AE767" s="28" t="s">
        <v>113</v>
      </c>
      <c r="AF767" s="28" t="s">
        <v>118</v>
      </c>
      <c r="AG767" s="30" t="s">
        <v>122</v>
      </c>
    </row>
    <row r="768" customFormat="false" ht="15" hidden="false" customHeight="false" outlineLevel="0" collapsed="false">
      <c r="A768" s="10" t="n">
        <v>2026</v>
      </c>
      <c r="B768" s="28" t="s">
        <v>77</v>
      </c>
      <c r="C768" s="29" t="n">
        <v>46099</v>
      </c>
      <c r="D768" s="30" t="s">
        <v>127</v>
      </c>
      <c r="E768" s="28" t="s">
        <v>161</v>
      </c>
      <c r="F768" s="30" t="s">
        <v>162</v>
      </c>
      <c r="G768" s="31" t="n">
        <v>59660</v>
      </c>
      <c r="H768" s="31" t="n">
        <v>1</v>
      </c>
      <c r="I768" s="31" t="n">
        <v>59660</v>
      </c>
      <c r="J768" s="29" t="n">
        <v>46104</v>
      </c>
      <c r="K768" s="31" t="n">
        <v>56743</v>
      </c>
      <c r="L768" s="30" t="s">
        <v>32</v>
      </c>
      <c r="M768" s="10" t="n">
        <v>3</v>
      </c>
      <c r="N768" s="12" t="n">
        <v>-3047</v>
      </c>
      <c r="O768" s="13" t="n">
        <v>-0.0510789013000422</v>
      </c>
      <c r="P768" s="15" t="n">
        <v>0.0643718697409974</v>
      </c>
      <c r="Q768" s="13" t="n">
        <v>-0.0529604623564354</v>
      </c>
      <c r="R768" s="15" t="n">
        <v>0.0548672566371682</v>
      </c>
      <c r="S768" s="32" t="n">
        <v>71198040800</v>
      </c>
      <c r="T768" s="15" t="n">
        <v>0.0456140350877192</v>
      </c>
      <c r="U768" s="32" t="n">
        <v>35011256665</v>
      </c>
      <c r="V768" s="14" t="n">
        <v>1.80433245930956</v>
      </c>
      <c r="W768" s="13" t="n">
        <v>0.0222984562607205</v>
      </c>
      <c r="X768" s="15" t="n">
        <v>0.0201342281879196</v>
      </c>
      <c r="Y768" s="13" t="n">
        <v>0.0504478342268744</v>
      </c>
      <c r="Z768" s="13" t="n">
        <v>0.056164493444683</v>
      </c>
      <c r="AA768" s="30" t="s">
        <v>97</v>
      </c>
      <c r="AB768" s="28" t="s">
        <v>93</v>
      </c>
      <c r="AC768" s="28" t="s">
        <v>101</v>
      </c>
      <c r="AD768" s="28" t="s">
        <v>108</v>
      </c>
      <c r="AE768" s="28" t="s">
        <v>113</v>
      </c>
      <c r="AF768" s="28" t="s">
        <v>116</v>
      </c>
      <c r="AG768" s="30" t="s">
        <v>122</v>
      </c>
    </row>
    <row r="769" customFormat="false" ht="15" hidden="false" customHeight="false" outlineLevel="0" collapsed="false">
      <c r="A769" s="10" t="n">
        <v>2026</v>
      </c>
      <c r="B769" s="28" t="s">
        <v>77</v>
      </c>
      <c r="C769" s="29" t="n">
        <v>46099</v>
      </c>
      <c r="D769" s="30" t="s">
        <v>127</v>
      </c>
      <c r="E769" s="28" t="s">
        <v>435</v>
      </c>
      <c r="F769" s="30" t="s">
        <v>436</v>
      </c>
      <c r="G769" s="31" t="n">
        <v>37287</v>
      </c>
      <c r="H769" s="31" t="n">
        <v>2</v>
      </c>
      <c r="I769" s="31" t="n">
        <v>74574</v>
      </c>
      <c r="J769" s="29" t="n">
        <v>46104</v>
      </c>
      <c r="K769" s="31" t="n">
        <v>35464</v>
      </c>
      <c r="L769" s="30" t="s">
        <v>32</v>
      </c>
      <c r="M769" s="10" t="n">
        <v>3</v>
      </c>
      <c r="N769" s="12" t="n">
        <v>-3809</v>
      </c>
      <c r="O769" s="13" t="n">
        <v>-0.0510789013000423</v>
      </c>
      <c r="P769" s="15" t="n">
        <v>0.0459339318399723</v>
      </c>
      <c r="Q769" s="13" t="n">
        <v>-0.0720688707265886</v>
      </c>
      <c r="R769" s="15" t="n">
        <v>0.0448807854137447</v>
      </c>
      <c r="S769" s="32" t="n">
        <v>31312610750</v>
      </c>
      <c r="T769" s="15" t="n">
        <v>0.0177595628415301</v>
      </c>
      <c r="U769" s="32" t="n">
        <v>19960102540</v>
      </c>
      <c r="V769" s="14" t="n">
        <v>1.45693287852078</v>
      </c>
      <c r="W769" s="13" t="n">
        <v>0.00404312668463613</v>
      </c>
      <c r="X769" s="15" t="n">
        <v>0.0228187919463088</v>
      </c>
      <c r="Y769" s="13" t="n">
        <v>0.0504478342268744</v>
      </c>
      <c r="Z769" s="13" t="n">
        <v>0.056164493444683</v>
      </c>
      <c r="AA769" s="30" t="s">
        <v>97</v>
      </c>
      <c r="AB769" s="28" t="s">
        <v>93</v>
      </c>
      <c r="AC769" s="28" t="s">
        <v>100</v>
      </c>
      <c r="AD769" s="28" t="s">
        <v>107</v>
      </c>
      <c r="AE769" s="28" t="s">
        <v>112</v>
      </c>
      <c r="AF769" s="28" t="s">
        <v>116</v>
      </c>
      <c r="AG769" s="30" t="s">
        <v>122</v>
      </c>
    </row>
    <row r="770" customFormat="false" ht="15" hidden="false" customHeight="false" outlineLevel="0" collapsed="false">
      <c r="A770" s="10" t="n">
        <v>2026</v>
      </c>
      <c r="B770" s="28" t="s">
        <v>77</v>
      </c>
      <c r="C770" s="29" t="n">
        <v>46099</v>
      </c>
      <c r="D770" s="30" t="s">
        <v>127</v>
      </c>
      <c r="E770" s="28" t="s">
        <v>287</v>
      </c>
      <c r="F770" s="30" t="s">
        <v>288</v>
      </c>
      <c r="G770" s="31" t="n">
        <v>18328</v>
      </c>
      <c r="H770" s="31" t="n">
        <v>5</v>
      </c>
      <c r="I770" s="31" t="n">
        <v>91642</v>
      </c>
      <c r="J770" s="29" t="n">
        <v>46101</v>
      </c>
      <c r="K770" s="31" t="n">
        <v>17443</v>
      </c>
      <c r="L770" s="30" t="s">
        <v>32</v>
      </c>
      <c r="M770" s="10" t="n">
        <v>2</v>
      </c>
      <c r="N770" s="12" t="n">
        <v>-4630</v>
      </c>
      <c r="O770" s="13" t="n">
        <v>-0.0505240640026274</v>
      </c>
      <c r="P770" s="15" t="n">
        <v>-0.00809185353150388</v>
      </c>
      <c r="Q770" s="13" t="n">
        <v>-0.0484665525626747</v>
      </c>
      <c r="R770" s="15" t="n">
        <v>0.073900293255132</v>
      </c>
      <c r="S770" s="32" t="n">
        <v>22431709170</v>
      </c>
      <c r="T770" s="15" t="n">
        <v>0.00218938149972625</v>
      </c>
      <c r="U770" s="32" t="n">
        <v>12988759897.5</v>
      </c>
      <c r="V770" s="14" t="n">
        <v>1.63579009772492</v>
      </c>
      <c r="W770" s="13" t="n">
        <v>0.0589936379410063</v>
      </c>
      <c r="X770" s="15" t="n">
        <v>0.0152921900600764</v>
      </c>
      <c r="Y770" s="13" t="n">
        <v>0.0504478342268744</v>
      </c>
      <c r="Z770" s="13" t="n">
        <v>0.056164493444683</v>
      </c>
      <c r="AA770" s="30" t="s">
        <v>97</v>
      </c>
      <c r="AB770" s="28" t="s">
        <v>93</v>
      </c>
      <c r="AC770" s="28" t="s">
        <v>101</v>
      </c>
      <c r="AD770" s="28" t="s">
        <v>106</v>
      </c>
      <c r="AE770" s="28" t="s">
        <v>112</v>
      </c>
      <c r="AF770" s="28" t="s">
        <v>116</v>
      </c>
      <c r="AG770" s="30" t="s">
        <v>122</v>
      </c>
    </row>
    <row r="771" customFormat="false" ht="15" hidden="false" customHeight="false" outlineLevel="0" collapsed="false">
      <c r="A771" s="10" t="n">
        <v>2026</v>
      </c>
      <c r="B771" s="28" t="s">
        <v>77</v>
      </c>
      <c r="C771" s="29" t="n">
        <v>46101</v>
      </c>
      <c r="D771" s="30" t="s">
        <v>129</v>
      </c>
      <c r="E771" s="28" t="s">
        <v>1487</v>
      </c>
      <c r="F771" s="30" t="s">
        <v>1488</v>
      </c>
      <c r="G771" s="31" t="n">
        <v>17718</v>
      </c>
      <c r="H771" s="31" t="n">
        <v>5</v>
      </c>
      <c r="I771" s="31" t="n">
        <v>88588</v>
      </c>
      <c r="J771" s="29" t="n">
        <v>46104</v>
      </c>
      <c r="K771" s="31" t="n">
        <v>16863</v>
      </c>
      <c r="L771" s="30" t="s">
        <v>32</v>
      </c>
      <c r="M771" s="10" t="n">
        <v>1</v>
      </c>
      <c r="N771" s="12" t="n">
        <v>-4467</v>
      </c>
      <c r="O771" s="13" t="n">
        <v>-0.0504294215953539</v>
      </c>
      <c r="P771" s="15" t="n">
        <v>-0.0303481828905556</v>
      </c>
      <c r="Q771" s="13" t="n">
        <v>-0.136456763575408</v>
      </c>
      <c r="R771" s="15" t="n">
        <v>0.172185430463576</v>
      </c>
      <c r="S771" s="32" t="n">
        <v>176985415200</v>
      </c>
      <c r="T771" s="15" t="n">
        <v>0.0430170889805539</v>
      </c>
      <c r="U771" s="32" t="n">
        <v>43156279357</v>
      </c>
      <c r="V771" s="14" t="n">
        <v>3.6957912796939</v>
      </c>
      <c r="W771" s="13" t="n">
        <v>0.156862745098039</v>
      </c>
      <c r="X771" s="15" t="n">
        <v>0.0282485875706215</v>
      </c>
      <c r="Y771" s="13" t="n">
        <v>0.00311978373201094</v>
      </c>
      <c r="Z771" s="13" t="n">
        <v>0.0535715587435579</v>
      </c>
      <c r="AA771" s="30" t="s">
        <v>97</v>
      </c>
      <c r="AB771" s="28" t="s">
        <v>93</v>
      </c>
      <c r="AC771" s="28" t="s">
        <v>103</v>
      </c>
      <c r="AD771" s="28" t="s">
        <v>109</v>
      </c>
      <c r="AE771" s="28" t="s">
        <v>113</v>
      </c>
      <c r="AF771" s="28" t="s">
        <v>118</v>
      </c>
      <c r="AG771" s="30" t="s">
        <v>122</v>
      </c>
    </row>
    <row r="772" customFormat="false" ht="15" hidden="false" customHeight="false" outlineLevel="0" collapsed="false">
      <c r="A772" s="10" t="n">
        <v>2026</v>
      </c>
      <c r="B772" s="28" t="s">
        <v>77</v>
      </c>
      <c r="C772" s="29" t="n">
        <v>46101</v>
      </c>
      <c r="D772" s="30" t="s">
        <v>129</v>
      </c>
      <c r="E772" s="28" t="s">
        <v>413</v>
      </c>
      <c r="F772" s="30" t="s">
        <v>414</v>
      </c>
      <c r="G772" s="31" t="n">
        <v>22172</v>
      </c>
      <c r="H772" s="31" t="n">
        <v>4</v>
      </c>
      <c r="I772" s="31" t="n">
        <v>88689</v>
      </c>
      <c r="J772" s="29" t="n">
        <v>46111</v>
      </c>
      <c r="K772" s="31" t="n">
        <v>20679</v>
      </c>
      <c r="L772" s="30" t="s">
        <v>32</v>
      </c>
      <c r="M772" s="10" t="n">
        <v>6</v>
      </c>
      <c r="N772" s="12" t="n">
        <v>-6163</v>
      </c>
      <c r="O772" s="13" t="n">
        <v>-0.0694852018184976</v>
      </c>
      <c r="P772" s="15" t="n">
        <v>0.118520305879223</v>
      </c>
      <c r="Q772" s="13" t="n">
        <v>-0.0844370076875719</v>
      </c>
      <c r="R772" s="15" t="n">
        <v>0.114185110663984</v>
      </c>
      <c r="S772" s="32" t="n">
        <v>27407191750</v>
      </c>
      <c r="T772" s="15" t="n">
        <v>0.0884520884520885</v>
      </c>
      <c r="U772" s="32" t="n">
        <v>6444462249</v>
      </c>
      <c r="V772" s="14" t="n">
        <v>3.5234492496391</v>
      </c>
      <c r="W772" s="13" t="n">
        <v>0.113065326633166</v>
      </c>
      <c r="X772" s="15" t="n">
        <v>0.00225733634311509</v>
      </c>
      <c r="Y772" s="13" t="n">
        <v>0.00311978373201094</v>
      </c>
      <c r="Z772" s="13" t="n">
        <v>0.0535715587435579</v>
      </c>
      <c r="AA772" s="30" t="s">
        <v>97</v>
      </c>
      <c r="AB772" s="28" t="s">
        <v>93</v>
      </c>
      <c r="AC772" s="28" t="s">
        <v>102</v>
      </c>
      <c r="AD772" s="28" t="s">
        <v>106</v>
      </c>
      <c r="AE772" s="28" t="s">
        <v>101</v>
      </c>
      <c r="AF772" s="28" t="s">
        <v>118</v>
      </c>
      <c r="AG772" s="30" t="s">
        <v>122</v>
      </c>
    </row>
    <row r="773" customFormat="false" ht="15" hidden="false" customHeight="false" outlineLevel="0" collapsed="false">
      <c r="A773" s="10" t="n">
        <v>2026</v>
      </c>
      <c r="B773" s="28" t="s">
        <v>77</v>
      </c>
      <c r="C773" s="29" t="n">
        <v>46101</v>
      </c>
      <c r="D773" s="30" t="s">
        <v>129</v>
      </c>
      <c r="E773" s="28" t="s">
        <v>1493</v>
      </c>
      <c r="F773" s="30" t="s">
        <v>1494</v>
      </c>
      <c r="G773" s="31" t="n">
        <v>21071</v>
      </c>
      <c r="H773" s="31" t="n">
        <v>4</v>
      </c>
      <c r="I773" s="31" t="n">
        <v>84284</v>
      </c>
      <c r="J773" s="29" t="n">
        <v>46104</v>
      </c>
      <c r="K773" s="31" t="n">
        <v>20030</v>
      </c>
      <c r="L773" s="30" t="s">
        <v>32</v>
      </c>
      <c r="M773" s="10" t="n">
        <v>1</v>
      </c>
      <c r="N773" s="12" t="n">
        <v>-4349</v>
      </c>
      <c r="O773" s="13" t="n">
        <v>-0.0516027938807036</v>
      </c>
      <c r="P773" s="15" t="n">
        <v>-0.0128636209396305</v>
      </c>
      <c r="Q773" s="13" t="n">
        <v>-0.0973397149169121</v>
      </c>
      <c r="R773" s="15" t="n">
        <v>0.170745272525028</v>
      </c>
      <c r="S773" s="32" t="n">
        <v>26089201600</v>
      </c>
      <c r="T773" s="15" t="n">
        <v>0.0828189300411524</v>
      </c>
      <c r="U773" s="32" t="n">
        <v>3029290770.5</v>
      </c>
      <c r="V773" s="14" t="n">
        <v>7.17601202455863</v>
      </c>
      <c r="W773" s="13" t="n">
        <v>0.145890038105607</v>
      </c>
      <c r="X773" s="15" t="n">
        <v>0.0213776722090262</v>
      </c>
      <c r="Y773" s="13" t="n">
        <v>0.00311978373201094</v>
      </c>
      <c r="Z773" s="13" t="n">
        <v>0.0535715587435579</v>
      </c>
      <c r="AA773" s="30" t="s">
        <v>97</v>
      </c>
      <c r="AB773" s="28" t="s">
        <v>93</v>
      </c>
      <c r="AC773" s="28" t="s">
        <v>103</v>
      </c>
      <c r="AD773" s="28" t="s">
        <v>106</v>
      </c>
      <c r="AE773" s="28" t="s">
        <v>101</v>
      </c>
      <c r="AF773" s="28" t="s">
        <v>119</v>
      </c>
      <c r="AG773" s="30" t="s">
        <v>122</v>
      </c>
    </row>
    <row r="774" customFormat="false" ht="15" hidden="false" customHeight="false" outlineLevel="0" collapsed="false">
      <c r="A774" s="10" t="n">
        <v>2026</v>
      </c>
      <c r="B774" s="28" t="s">
        <v>77</v>
      </c>
      <c r="C774" s="29" t="n">
        <v>46101</v>
      </c>
      <c r="D774" s="30" t="s">
        <v>129</v>
      </c>
      <c r="E774" s="28" t="s">
        <v>827</v>
      </c>
      <c r="F774" s="30" t="s">
        <v>828</v>
      </c>
      <c r="G774" s="31" t="n">
        <v>11572</v>
      </c>
      <c r="H774" s="31" t="n">
        <v>8</v>
      </c>
      <c r="I774" s="31" t="n">
        <v>92572</v>
      </c>
      <c r="J774" s="29" t="n">
        <v>46104</v>
      </c>
      <c r="K774" s="31" t="n">
        <v>11009</v>
      </c>
      <c r="L774" s="30" t="s">
        <v>32</v>
      </c>
      <c r="M774" s="10" t="n">
        <v>1</v>
      </c>
      <c r="N774" s="12" t="n">
        <v>-4704</v>
      </c>
      <c r="O774" s="13" t="n">
        <v>-0.0508129449270454</v>
      </c>
      <c r="P774" s="15" t="n">
        <v>-0.0182827553069768</v>
      </c>
      <c r="Q774" s="13" t="n">
        <v>-0.0666772673693089</v>
      </c>
      <c r="R774" s="15" t="n">
        <v>0.0854460093896714</v>
      </c>
      <c r="S774" s="32" t="n">
        <v>21764613120</v>
      </c>
      <c r="T774" s="15" t="n">
        <v>0.0490018148820326</v>
      </c>
      <c r="U774" s="32" t="n">
        <v>7938510540.5</v>
      </c>
      <c r="V774" s="14" t="n">
        <v>2.41416577501948</v>
      </c>
      <c r="W774" s="13" t="n">
        <v>0.0693802035152638</v>
      </c>
      <c r="X774" s="15" t="n">
        <v>0.0181660899653979</v>
      </c>
      <c r="Y774" s="13" t="n">
        <v>0.00311978373201094</v>
      </c>
      <c r="Z774" s="13" t="n">
        <v>0.0535715587435579</v>
      </c>
      <c r="AA774" s="30" t="s">
        <v>97</v>
      </c>
      <c r="AB774" s="28" t="s">
        <v>93</v>
      </c>
      <c r="AC774" s="28" t="s">
        <v>101</v>
      </c>
      <c r="AD774" s="28" t="s">
        <v>106</v>
      </c>
      <c r="AE774" s="28" t="s">
        <v>113</v>
      </c>
      <c r="AF774" s="28" t="s">
        <v>117</v>
      </c>
      <c r="AG774" s="30" t="s">
        <v>122</v>
      </c>
    </row>
    <row r="775" customFormat="false" ht="15" hidden="false" customHeight="false" outlineLevel="0" collapsed="false">
      <c r="A775" s="10" t="n">
        <v>2026</v>
      </c>
      <c r="B775" s="28" t="s">
        <v>77</v>
      </c>
      <c r="C775" s="29" t="n">
        <v>46106</v>
      </c>
      <c r="D775" s="30" t="s">
        <v>127</v>
      </c>
      <c r="E775" s="28" t="s">
        <v>1495</v>
      </c>
      <c r="F775" s="30" t="s">
        <v>1496</v>
      </c>
      <c r="G775" s="31" t="n">
        <v>72572</v>
      </c>
      <c r="H775" s="31" t="n">
        <v>1</v>
      </c>
      <c r="I775" s="31" t="n">
        <v>72572</v>
      </c>
      <c r="J775" s="29" t="n">
        <v>46107</v>
      </c>
      <c r="K775" s="31" t="n">
        <v>69031</v>
      </c>
      <c r="L775" s="30" t="s">
        <v>32</v>
      </c>
      <c r="M775" s="10" t="n">
        <v>1</v>
      </c>
      <c r="N775" s="12" t="n">
        <v>-3701</v>
      </c>
      <c r="O775" s="13" t="n">
        <v>-0.0509959324813117</v>
      </c>
      <c r="P775" s="15" t="n">
        <v>0.0196699851872269</v>
      </c>
      <c r="Q775" s="13" t="n">
        <v>-0.0492266354335318</v>
      </c>
      <c r="R775" s="15" t="n">
        <v>0.0522496371552976</v>
      </c>
      <c r="S775" s="32" t="n">
        <v>27480472500</v>
      </c>
      <c r="T775" s="15" t="n">
        <v>0.0168302945301544</v>
      </c>
      <c r="U775" s="32" t="n">
        <v>18118098110</v>
      </c>
      <c r="V775" s="14" t="n">
        <v>1.3749535232547</v>
      </c>
      <c r="W775" s="13" t="n">
        <v>0.0492040520984081</v>
      </c>
      <c r="X775" s="15" t="n">
        <v>0.0110344827586206</v>
      </c>
      <c r="Y775" s="13" t="n">
        <v>0.0158968800414843</v>
      </c>
      <c r="Z775" s="13" t="n">
        <v>-0.0477330916467933</v>
      </c>
      <c r="AA775" s="30" t="s">
        <v>96</v>
      </c>
      <c r="AB775" s="28" t="s">
        <v>94</v>
      </c>
      <c r="AC775" s="28" t="s">
        <v>101</v>
      </c>
      <c r="AD775" s="28" t="s">
        <v>106</v>
      </c>
      <c r="AE775" s="28" t="s">
        <v>112</v>
      </c>
      <c r="AF775" s="28" t="s">
        <v>116</v>
      </c>
      <c r="AG775" s="30" t="s">
        <v>122</v>
      </c>
    </row>
    <row r="776" customFormat="false" ht="15" hidden="false" customHeight="false" outlineLevel="0" collapsed="false">
      <c r="A776" s="10" t="n">
        <v>2026</v>
      </c>
      <c r="B776" s="28" t="s">
        <v>77</v>
      </c>
      <c r="C776" s="29" t="n">
        <v>46106</v>
      </c>
      <c r="D776" s="30" t="s">
        <v>127</v>
      </c>
      <c r="E776" s="28" t="s">
        <v>351</v>
      </c>
      <c r="F776" s="30" t="s">
        <v>352</v>
      </c>
      <c r="G776" s="31" t="n">
        <v>19720</v>
      </c>
      <c r="H776" s="31" t="n">
        <v>5</v>
      </c>
      <c r="I776" s="31" t="n">
        <v>98598</v>
      </c>
      <c r="J776" s="29" t="n">
        <v>46108</v>
      </c>
      <c r="K776" s="31" t="n">
        <v>18771</v>
      </c>
      <c r="L776" s="30" t="s">
        <v>32</v>
      </c>
      <c r="M776" s="10" t="n">
        <v>2</v>
      </c>
      <c r="N776" s="12" t="n">
        <v>-4959</v>
      </c>
      <c r="O776" s="13" t="n">
        <v>-0.0502951899116114</v>
      </c>
      <c r="P776" s="15" t="n">
        <v>0.0547827806711057</v>
      </c>
      <c r="Q776" s="13" t="n">
        <v>-0.054245247138648</v>
      </c>
      <c r="R776" s="15" t="n">
        <v>0.0506666666666666</v>
      </c>
      <c r="S776" s="32" t="n">
        <v>22691070700</v>
      </c>
      <c r="T776" s="15" t="n">
        <v>0.046758767268863</v>
      </c>
      <c r="U776" s="32" t="n">
        <v>8290881258.5</v>
      </c>
      <c r="V776" s="14" t="n">
        <v>2.43507907821694</v>
      </c>
      <c r="W776" s="13" t="n">
        <v>0.0362966859547607</v>
      </c>
      <c r="X776" s="15" t="n">
        <v>0.0142131979695432</v>
      </c>
      <c r="Y776" s="13" t="n">
        <v>0.0158968800414843</v>
      </c>
      <c r="Z776" s="13" t="n">
        <v>-0.0477330916467933</v>
      </c>
      <c r="AA776" s="30" t="s">
        <v>96</v>
      </c>
      <c r="AB776" s="28" t="s">
        <v>94</v>
      </c>
      <c r="AC776" s="28" t="s">
        <v>101</v>
      </c>
      <c r="AD776" s="28" t="s">
        <v>106</v>
      </c>
      <c r="AE776" s="28" t="s">
        <v>113</v>
      </c>
      <c r="AF776" s="28" t="s">
        <v>117</v>
      </c>
      <c r="AG776" s="30" t="s">
        <v>122</v>
      </c>
    </row>
    <row r="777" customFormat="false" ht="15" hidden="false" customHeight="false" outlineLevel="0" collapsed="false">
      <c r="A777" s="10" t="n">
        <v>2026</v>
      </c>
      <c r="B777" s="28" t="s">
        <v>78</v>
      </c>
      <c r="C777" s="29" t="n">
        <v>46120</v>
      </c>
      <c r="D777" s="30" t="s">
        <v>127</v>
      </c>
      <c r="E777" s="28" t="s">
        <v>545</v>
      </c>
      <c r="F777" s="30" t="s">
        <v>546</v>
      </c>
      <c r="G777" s="31" t="n">
        <v>41291</v>
      </c>
      <c r="H777" s="31" t="n">
        <v>2</v>
      </c>
      <c r="I777" s="31" t="n">
        <v>82582</v>
      </c>
      <c r="J777" s="29" t="n">
        <v>46136</v>
      </c>
      <c r="K777" s="31" t="n">
        <v>49550</v>
      </c>
      <c r="L777" s="30" t="s">
        <v>31</v>
      </c>
      <c r="M777" s="10" t="n">
        <v>12</v>
      </c>
      <c r="N777" s="12" t="n">
        <v>16292</v>
      </c>
      <c r="O777" s="13" t="n">
        <v>0.197282083068447</v>
      </c>
      <c r="P777" s="15" t="n">
        <v>0.223019404837587</v>
      </c>
      <c r="Q777" s="13" t="n">
        <v>-0.0106862834135559</v>
      </c>
      <c r="R777" s="15" t="n">
        <v>0.0604113110539846</v>
      </c>
      <c r="S777" s="32" t="n">
        <v>28157291250</v>
      </c>
      <c r="T777" s="15" t="n">
        <v>0.03125</v>
      </c>
      <c r="U777" s="32" t="n">
        <v>21568475080</v>
      </c>
      <c r="V777" s="14" t="n">
        <v>1.20162291029967</v>
      </c>
      <c r="W777" s="13" t="n">
        <v>0.0172626387176325</v>
      </c>
      <c r="X777" s="15" t="n">
        <v>0.0157575757575759</v>
      </c>
      <c r="Y777" s="13" t="n">
        <v>0.0687124871241434</v>
      </c>
      <c r="Z777" s="13" t="n">
        <v>0.0718491612973882</v>
      </c>
      <c r="AA777" s="30" t="s">
        <v>97</v>
      </c>
      <c r="AB777" s="28" t="s">
        <v>93</v>
      </c>
      <c r="AC777" s="28" t="s">
        <v>101</v>
      </c>
      <c r="AD777" s="28" t="s">
        <v>106</v>
      </c>
      <c r="AE777" s="28" t="s">
        <v>113</v>
      </c>
      <c r="AF777" s="28" t="s">
        <v>116</v>
      </c>
      <c r="AG777" s="30" t="s">
        <v>122</v>
      </c>
    </row>
    <row r="778" customFormat="false" ht="15" hidden="false" customHeight="false" outlineLevel="0" collapsed="false">
      <c r="A778" s="10" t="n">
        <v>2026</v>
      </c>
      <c r="B778" s="28" t="s">
        <v>78</v>
      </c>
      <c r="C778" s="29" t="n">
        <v>46120</v>
      </c>
      <c r="D778" s="30" t="s">
        <v>127</v>
      </c>
      <c r="E778" s="28" t="s">
        <v>481</v>
      </c>
      <c r="F778" s="30" t="s">
        <v>482</v>
      </c>
      <c r="G778" s="31" t="n">
        <v>66266</v>
      </c>
      <c r="H778" s="31" t="n">
        <v>1</v>
      </c>
      <c r="I778" s="31" t="n">
        <v>66266</v>
      </c>
      <c r="J778" s="29" t="n">
        <v>46140</v>
      </c>
      <c r="K778" s="31" t="n">
        <v>79600</v>
      </c>
      <c r="L778" s="30" t="s">
        <v>31</v>
      </c>
      <c r="M778" s="10" t="n">
        <v>14</v>
      </c>
      <c r="N778" s="12" t="n">
        <v>13153</v>
      </c>
      <c r="O778" s="13" t="n">
        <v>0.198483088965415</v>
      </c>
      <c r="P778" s="15" t="n">
        <v>0.202724767679451</v>
      </c>
      <c r="Q778" s="13" t="n">
        <v>0.00956445367321512</v>
      </c>
      <c r="R778" s="15" t="n">
        <v>0.0711974110032363</v>
      </c>
      <c r="S778" s="32" t="n">
        <v>28089785400</v>
      </c>
      <c r="T778" s="15" t="n">
        <v>0.0491283676703644</v>
      </c>
      <c r="U778" s="32" t="n">
        <v>18060654665</v>
      </c>
      <c r="V778" s="14" t="n">
        <v>1.41807320881436</v>
      </c>
      <c r="W778" s="13" t="n">
        <v>0.0184615384615385</v>
      </c>
      <c r="X778" s="15" t="n">
        <v>0.012084592145015</v>
      </c>
      <c r="Y778" s="13" t="n">
        <v>0.0687124871241434</v>
      </c>
      <c r="Z778" s="13" t="n">
        <v>0.0718491612973882</v>
      </c>
      <c r="AA778" s="30" t="s">
        <v>97</v>
      </c>
      <c r="AB778" s="28" t="s">
        <v>93</v>
      </c>
      <c r="AC778" s="28" t="s">
        <v>101</v>
      </c>
      <c r="AD778" s="28" t="s">
        <v>106</v>
      </c>
      <c r="AE778" s="28" t="s">
        <v>113</v>
      </c>
      <c r="AF778" s="28" t="s">
        <v>116</v>
      </c>
      <c r="AG778" s="30" t="s">
        <v>122</v>
      </c>
    </row>
    <row r="779" customFormat="false" ht="15" hidden="false" customHeight="false" outlineLevel="0" collapsed="false">
      <c r="A779" s="10" t="n">
        <v>2026</v>
      </c>
      <c r="B779" s="28" t="s">
        <v>78</v>
      </c>
      <c r="C779" s="29" t="n">
        <v>46120</v>
      </c>
      <c r="D779" s="30" t="s">
        <v>127</v>
      </c>
      <c r="E779" s="28" t="s">
        <v>449</v>
      </c>
      <c r="F779" s="30" t="s">
        <v>450</v>
      </c>
      <c r="G779" s="31" t="n">
        <v>99399</v>
      </c>
      <c r="H779" s="31" t="n">
        <v>1</v>
      </c>
      <c r="I779" s="31" t="n">
        <v>99399</v>
      </c>
      <c r="J779" s="29" t="n">
        <v>46125</v>
      </c>
      <c r="K779" s="31" t="n">
        <v>94605</v>
      </c>
      <c r="L779" s="30" t="s">
        <v>32</v>
      </c>
      <c r="M779" s="10" t="n">
        <v>3</v>
      </c>
      <c r="N779" s="12" t="n">
        <v>-5012</v>
      </c>
      <c r="O779" s="13" t="n">
        <v>-0.0504260220142394</v>
      </c>
      <c r="P779" s="15" t="n">
        <v>0.0191218650433154</v>
      </c>
      <c r="Q779" s="13" t="n">
        <v>-0.0543192960111388</v>
      </c>
      <c r="R779" s="15" t="n">
        <v>0.0507936507936508</v>
      </c>
      <c r="S779" s="32" t="n">
        <v>24532164300</v>
      </c>
      <c r="T779" s="15" t="n">
        <v>0.0143003064351379</v>
      </c>
      <c r="U779" s="32" t="n">
        <v>24952881430</v>
      </c>
      <c r="V779" s="14" t="n">
        <v>0.917711462357359</v>
      </c>
      <c r="W779" s="13" t="n">
        <v>-0.00100603621730377</v>
      </c>
      <c r="X779" s="15" t="n">
        <v>0.00302114803625386</v>
      </c>
      <c r="Y779" s="13" t="n">
        <v>0.0687124871241434</v>
      </c>
      <c r="Z779" s="13" t="n">
        <v>0.0718491612973882</v>
      </c>
      <c r="AA779" s="30" t="s">
        <v>97</v>
      </c>
      <c r="AB779" s="28" t="s">
        <v>93</v>
      </c>
      <c r="AC779" s="28" t="s">
        <v>101</v>
      </c>
      <c r="AD779" s="28" t="s">
        <v>106</v>
      </c>
      <c r="AE779" s="28" t="s">
        <v>112</v>
      </c>
      <c r="AF779" s="28" t="s">
        <v>116</v>
      </c>
      <c r="AG779" s="30" t="s">
        <v>123</v>
      </c>
    </row>
    <row r="780" customFormat="false" ht="15" hidden="false" customHeight="false" outlineLevel="0" collapsed="false">
      <c r="A780" s="10" t="n">
        <v>2026</v>
      </c>
      <c r="B780" s="28" t="s">
        <v>78</v>
      </c>
      <c r="C780" s="29" t="n">
        <v>46121</v>
      </c>
      <c r="D780" s="30" t="s">
        <v>128</v>
      </c>
      <c r="E780" s="28" t="s">
        <v>621</v>
      </c>
      <c r="F780" s="30" t="s">
        <v>622</v>
      </c>
      <c r="G780" s="31" t="n">
        <v>39239</v>
      </c>
      <c r="H780" s="31" t="n">
        <v>2</v>
      </c>
      <c r="I780" s="31" t="n">
        <v>78478</v>
      </c>
      <c r="J780" s="29" t="n">
        <v>46141</v>
      </c>
      <c r="K780" s="31" t="n">
        <v>47100</v>
      </c>
      <c r="L780" s="30" t="s">
        <v>31</v>
      </c>
      <c r="M780" s="10" t="n">
        <v>14</v>
      </c>
      <c r="N780" s="12" t="n">
        <v>15507</v>
      </c>
      <c r="O780" s="13" t="n">
        <v>0.197599571856715</v>
      </c>
      <c r="P780" s="15" t="n">
        <v>0.218169585516524</v>
      </c>
      <c r="Q780" s="13" t="n">
        <v>-0.0277579563293848</v>
      </c>
      <c r="R780" s="15" t="n">
        <v>0.035667107001321</v>
      </c>
      <c r="S780" s="32" t="n">
        <v>67856140800</v>
      </c>
      <c r="T780" s="15" t="n">
        <v>0.035667107001321</v>
      </c>
      <c r="U780" s="32" t="n">
        <v>31652446270</v>
      </c>
      <c r="V780" s="14" t="n">
        <v>1.95224234085386</v>
      </c>
      <c r="W780" s="13" t="n">
        <v>0.0142302716688227</v>
      </c>
      <c r="X780" s="15" t="n">
        <v>0.028061224489796</v>
      </c>
      <c r="Y780" s="13" t="n">
        <v>-0.0160634431930031</v>
      </c>
      <c r="Z780" s="13" t="n">
        <v>0.103927169209312</v>
      </c>
      <c r="AA780" s="30" t="s">
        <v>97</v>
      </c>
      <c r="AB780" s="28" t="s">
        <v>93</v>
      </c>
      <c r="AC780" s="28" t="s">
        <v>100</v>
      </c>
      <c r="AD780" s="28" t="s">
        <v>108</v>
      </c>
      <c r="AE780" s="28" t="s">
        <v>113</v>
      </c>
      <c r="AF780" s="28" t="s">
        <v>116</v>
      </c>
      <c r="AG780" s="30" t="s">
        <v>122</v>
      </c>
    </row>
    <row r="781" customFormat="false" ht="15" hidden="false" customHeight="false" outlineLevel="0" collapsed="false">
      <c r="A781" s="10" t="n">
        <v>2026</v>
      </c>
      <c r="B781" s="28" t="s">
        <v>78</v>
      </c>
      <c r="C781" s="29" t="n">
        <v>46121</v>
      </c>
      <c r="D781" s="30" t="s">
        <v>128</v>
      </c>
      <c r="E781" s="28" t="s">
        <v>855</v>
      </c>
      <c r="F781" s="30" t="s">
        <v>856</v>
      </c>
      <c r="G781" s="31" t="n">
        <v>17057</v>
      </c>
      <c r="H781" s="31" t="n">
        <v>5</v>
      </c>
      <c r="I781" s="31" t="n">
        <v>85285</v>
      </c>
      <c r="J781" s="29" t="n">
        <v>46125</v>
      </c>
      <c r="K781" s="31" t="n">
        <v>16234</v>
      </c>
      <c r="L781" s="30" t="s">
        <v>32</v>
      </c>
      <c r="M781" s="10" t="n">
        <v>2</v>
      </c>
      <c r="N781" s="12" t="n">
        <v>-4304</v>
      </c>
      <c r="O781" s="13" t="n">
        <v>-0.0504631001920614</v>
      </c>
      <c r="P781" s="15" t="n">
        <v>0.00896755826333306</v>
      </c>
      <c r="Q781" s="13" t="n">
        <v>-0.0508317973106705</v>
      </c>
      <c r="R781" s="15" t="n">
        <v>0.0422018348623854</v>
      </c>
      <c r="S781" s="32" t="n">
        <v>32814166560</v>
      </c>
      <c r="T781" s="15" t="n">
        <v>0.00709219858156018</v>
      </c>
      <c r="U781" s="32" t="n">
        <v>11358591920</v>
      </c>
      <c r="V781" s="14" t="n">
        <v>2.70956825073786</v>
      </c>
      <c r="W781" s="13" t="n">
        <v>0.065</v>
      </c>
      <c r="X781" s="15" t="n">
        <v>0.0234741784037558</v>
      </c>
      <c r="Y781" s="13" t="n">
        <v>-0.0160634431930031</v>
      </c>
      <c r="Z781" s="13" t="n">
        <v>0.103927169209312</v>
      </c>
      <c r="AA781" s="30" t="s">
        <v>97</v>
      </c>
      <c r="AB781" s="28" t="s">
        <v>93</v>
      </c>
      <c r="AC781" s="28" t="s">
        <v>100</v>
      </c>
      <c r="AD781" s="28" t="s">
        <v>107</v>
      </c>
      <c r="AE781" s="28" t="s">
        <v>112</v>
      </c>
      <c r="AF781" s="28" t="s">
        <v>117</v>
      </c>
      <c r="AG781" s="30" t="s">
        <v>122</v>
      </c>
    </row>
    <row r="782" customFormat="false" ht="15" hidden="false" customHeight="false" outlineLevel="0" collapsed="false">
      <c r="A782" s="10" t="n">
        <v>2026</v>
      </c>
      <c r="B782" s="28" t="s">
        <v>78</v>
      </c>
      <c r="C782" s="29" t="n">
        <v>46122</v>
      </c>
      <c r="D782" s="30" t="s">
        <v>129</v>
      </c>
      <c r="E782" s="28" t="s">
        <v>1497</v>
      </c>
      <c r="F782" s="28" t="s">
        <v>1498</v>
      </c>
      <c r="G782" s="31" t="n">
        <v>56356</v>
      </c>
      <c r="H782" s="31" t="n">
        <v>1</v>
      </c>
      <c r="I782" s="31" t="n">
        <v>56356</v>
      </c>
      <c r="J782" s="29" t="n">
        <v>46127</v>
      </c>
      <c r="K782" s="31" t="n">
        <v>53646</v>
      </c>
      <c r="L782" s="30" t="s">
        <v>32</v>
      </c>
      <c r="M782" s="10" t="n">
        <v>3</v>
      </c>
      <c r="N782" s="12" t="n">
        <v>-2834</v>
      </c>
      <c r="O782" s="13" t="n">
        <v>-0.0502835173707288</v>
      </c>
      <c r="P782" s="15" t="n">
        <v>0.0344894891964165</v>
      </c>
      <c r="Q782" s="13" t="n">
        <v>-0.0595550098214396</v>
      </c>
      <c r="R782" s="15" t="n">
        <v>0.0662878787878789</v>
      </c>
      <c r="S782" s="32" t="n">
        <v>63290264300</v>
      </c>
      <c r="T782" s="15" t="n">
        <v>0.0662878787878789</v>
      </c>
      <c r="U782" s="32" t="n">
        <v>4123963440</v>
      </c>
      <c r="V782" s="14" t="n">
        <v>13.596890580059</v>
      </c>
      <c r="W782" s="13" t="n">
        <v>0.0723809523809524</v>
      </c>
      <c r="X782" s="15" t="n">
        <v>0.00710479573712264</v>
      </c>
      <c r="Y782" s="13" t="n">
        <v>0.0139944375312606</v>
      </c>
      <c r="Z782" s="13" t="n">
        <v>0.0895560969259666</v>
      </c>
      <c r="AA782" s="30" t="s">
        <v>97</v>
      </c>
      <c r="AB782" s="28" t="s">
        <v>93</v>
      </c>
      <c r="AC782" s="28" t="s">
        <v>101</v>
      </c>
      <c r="AD782" s="28" t="s">
        <v>108</v>
      </c>
      <c r="AE782" s="28" t="s">
        <v>101</v>
      </c>
      <c r="AF782" s="28" t="s">
        <v>120</v>
      </c>
      <c r="AG782" s="30" t="s">
        <v>122</v>
      </c>
    </row>
    <row r="783" customFormat="false" ht="15" hidden="false" customHeight="false" outlineLevel="0" collapsed="false">
      <c r="A783" s="10" t="n">
        <v>2026</v>
      </c>
      <c r="B783" s="28" t="s">
        <v>78</v>
      </c>
      <c r="C783" s="29" t="n">
        <v>46122</v>
      </c>
      <c r="D783" s="30" t="s">
        <v>129</v>
      </c>
      <c r="E783" s="28" t="s">
        <v>407</v>
      </c>
      <c r="F783" s="30" t="s">
        <v>408</v>
      </c>
      <c r="G783" s="31" t="n">
        <v>98799</v>
      </c>
      <c r="H783" s="31" t="n">
        <v>1</v>
      </c>
      <c r="I783" s="31" t="n">
        <v>98799</v>
      </c>
      <c r="J783" s="29" t="n">
        <v>46156</v>
      </c>
      <c r="K783" s="31" t="n">
        <v>94006</v>
      </c>
      <c r="L783" s="30" t="s">
        <v>32</v>
      </c>
      <c r="M783" s="10" t="n">
        <v>22</v>
      </c>
      <c r="N783" s="12" t="n">
        <v>-5010</v>
      </c>
      <c r="O783" s="13" t="n">
        <v>-0.0507064616234829</v>
      </c>
      <c r="P783" s="15" t="n">
        <v>0.0263292938064976</v>
      </c>
      <c r="Q783" s="13" t="n">
        <v>-0.0546434315431275</v>
      </c>
      <c r="R783" s="15" t="n">
        <v>0.0217391304347827</v>
      </c>
      <c r="S783" s="32" t="n">
        <v>62199851700</v>
      </c>
      <c r="T783" s="15" t="n">
        <v>0.0081716036772217</v>
      </c>
      <c r="U783" s="32" t="n">
        <v>135733938445</v>
      </c>
      <c r="V783" s="14" t="n">
        <v>0.431305078888311</v>
      </c>
      <c r="W783" s="13" t="n">
        <v>0.0175257731958762</v>
      </c>
      <c r="X783" s="15" t="n">
        <v>0.011144883485309</v>
      </c>
      <c r="Y783" s="13" t="n">
        <v>0.0139944375312606</v>
      </c>
      <c r="Z783" s="13" t="n">
        <v>0.0895560969259666</v>
      </c>
      <c r="AA783" s="30" t="s">
        <v>97</v>
      </c>
      <c r="AB783" s="28" t="s">
        <v>93</v>
      </c>
      <c r="AC783" s="28" t="s">
        <v>99</v>
      </c>
      <c r="AD783" s="28" t="s">
        <v>108</v>
      </c>
      <c r="AE783" s="28" t="s">
        <v>112</v>
      </c>
      <c r="AF783" s="28" t="s">
        <v>116</v>
      </c>
      <c r="AG783" s="30" t="s">
        <v>122</v>
      </c>
    </row>
    <row r="784" customFormat="false" ht="15" hidden="false" customHeight="false" outlineLevel="0" collapsed="false">
      <c r="A784" s="10" t="n">
        <v>2026</v>
      </c>
      <c r="B784" s="28" t="s">
        <v>78</v>
      </c>
      <c r="C784" s="29" t="n">
        <v>46122</v>
      </c>
      <c r="D784" s="30" t="s">
        <v>129</v>
      </c>
      <c r="E784" s="28" t="s">
        <v>573</v>
      </c>
      <c r="F784" s="30" t="s">
        <v>574</v>
      </c>
      <c r="G784" s="31" t="n">
        <v>34184</v>
      </c>
      <c r="H784" s="31" t="n">
        <v>2</v>
      </c>
      <c r="I784" s="31" t="n">
        <v>68368</v>
      </c>
      <c r="J784" s="29" t="n">
        <v>46149</v>
      </c>
      <c r="K784" s="31" t="n">
        <v>32517</v>
      </c>
      <c r="L784" s="30" t="s">
        <v>32</v>
      </c>
      <c r="M784" s="10" t="n">
        <v>17</v>
      </c>
      <c r="N784" s="12" t="n">
        <v>-3483</v>
      </c>
      <c r="O784" s="13" t="n">
        <v>-0.0509516878436351</v>
      </c>
      <c r="P784" s="15" t="n">
        <v>0.0604329784417634</v>
      </c>
      <c r="Q784" s="13" t="n">
        <v>-0.0551176495539598</v>
      </c>
      <c r="R784" s="15" t="n">
        <v>0.0317220543806647</v>
      </c>
      <c r="S784" s="32" t="n">
        <v>60158161900</v>
      </c>
      <c r="T784" s="15" t="n">
        <v>0.00737463126843663</v>
      </c>
      <c r="U784" s="32" t="n">
        <v>67311314640</v>
      </c>
      <c r="V784" s="14" t="n">
        <v>0.859794413009941</v>
      </c>
      <c r="W784" s="13" t="n">
        <v>0.0239880059970015</v>
      </c>
      <c r="X784" s="15" t="n">
        <v>0.0102489019033676</v>
      </c>
      <c r="Y784" s="13" t="n">
        <v>0.0139944375312606</v>
      </c>
      <c r="Z784" s="13" t="n">
        <v>0.0895560969259666</v>
      </c>
      <c r="AA784" s="30" t="s">
        <v>97</v>
      </c>
      <c r="AB784" s="28" t="s">
        <v>93</v>
      </c>
      <c r="AC784" s="28" t="s">
        <v>100</v>
      </c>
      <c r="AD784" s="28" t="s">
        <v>108</v>
      </c>
      <c r="AE784" s="28" t="s">
        <v>112</v>
      </c>
      <c r="AF784" s="28" t="s">
        <v>116</v>
      </c>
      <c r="AG784" s="30" t="s">
        <v>122</v>
      </c>
    </row>
    <row r="785" customFormat="false" ht="15" hidden="false" customHeight="false" outlineLevel="0" collapsed="false">
      <c r="A785" s="10" t="n">
        <v>2026</v>
      </c>
      <c r="B785" s="28" t="s">
        <v>78</v>
      </c>
      <c r="C785" s="29" t="n">
        <v>46122</v>
      </c>
      <c r="D785" s="30" t="s">
        <v>129</v>
      </c>
      <c r="E785" s="28" t="s">
        <v>385</v>
      </c>
      <c r="F785" s="28" t="s">
        <v>386</v>
      </c>
      <c r="G785" s="31" t="n">
        <v>21672</v>
      </c>
      <c r="H785" s="31" t="n">
        <v>4</v>
      </c>
      <c r="I785" s="31" t="n">
        <v>86687</v>
      </c>
      <c r="J785" s="29" t="n">
        <v>46134</v>
      </c>
      <c r="K785" s="31" t="n">
        <v>20629</v>
      </c>
      <c r="L785" s="30" t="s">
        <v>32</v>
      </c>
      <c r="M785" s="10" t="n">
        <v>8</v>
      </c>
      <c r="N785" s="12" t="n">
        <v>-4360</v>
      </c>
      <c r="O785" s="13" t="n">
        <v>-0.0502916875272535</v>
      </c>
      <c r="P785" s="15" t="n">
        <v>-0.00330616265951134</v>
      </c>
      <c r="Q785" s="13" t="n">
        <v>-0.0471422342092087</v>
      </c>
      <c r="R785" s="15" t="n">
        <v>0.0383693045563549</v>
      </c>
      <c r="S785" s="32" t="n">
        <v>55927535700</v>
      </c>
      <c r="T785" s="15" t="n">
        <v>0.0188235294117647</v>
      </c>
      <c r="U785" s="32" t="n">
        <v>29698998803</v>
      </c>
      <c r="V785" s="14" t="n">
        <v>1.76830822251023</v>
      </c>
      <c r="W785" s="13" t="n">
        <v>0.0433734939759036</v>
      </c>
      <c r="X785" s="15" t="n">
        <v>0.0115473441108545</v>
      </c>
      <c r="Y785" s="13" t="n">
        <v>0.0139944375312606</v>
      </c>
      <c r="Z785" s="13" t="n">
        <v>0.0895560969259666</v>
      </c>
      <c r="AA785" s="30" t="s">
        <v>97</v>
      </c>
      <c r="AB785" s="28" t="s">
        <v>93</v>
      </c>
      <c r="AC785" s="28" t="s">
        <v>100</v>
      </c>
      <c r="AD785" s="28" t="s">
        <v>108</v>
      </c>
      <c r="AE785" s="28" t="s">
        <v>112</v>
      </c>
      <c r="AF785" s="28" t="s">
        <v>116</v>
      </c>
      <c r="AG785" s="30" t="s">
        <v>122</v>
      </c>
    </row>
    <row r="786" customFormat="false" ht="15" hidden="false" customHeight="false" outlineLevel="0" collapsed="false">
      <c r="A786" s="10" t="n">
        <v>2026</v>
      </c>
      <c r="B786" s="28" t="s">
        <v>78</v>
      </c>
      <c r="C786" s="29" t="n">
        <v>46122</v>
      </c>
      <c r="D786" s="30" t="s">
        <v>129</v>
      </c>
      <c r="E786" s="28" t="s">
        <v>1357</v>
      </c>
      <c r="F786" s="30" t="s">
        <v>1358</v>
      </c>
      <c r="G786" s="31" t="n">
        <v>5365</v>
      </c>
      <c r="H786" s="31" t="n">
        <v>18</v>
      </c>
      <c r="I786" s="31" t="n">
        <v>96576</v>
      </c>
      <c r="J786" s="29" t="n">
        <v>46174</v>
      </c>
      <c r="K786" s="31" t="n">
        <v>5105</v>
      </c>
      <c r="L786" s="30" t="s">
        <v>32</v>
      </c>
      <c r="M786" s="10" t="n">
        <v>33</v>
      </c>
      <c r="N786" s="12" t="n">
        <v>-4901</v>
      </c>
      <c r="O786" s="13" t="n">
        <v>-0.0507422274553804</v>
      </c>
      <c r="P786" s="15" t="n">
        <v>0.185381782396708</v>
      </c>
      <c r="Q786" s="13" t="n">
        <v>-0.0475941968479281</v>
      </c>
      <c r="R786" s="15" t="n">
        <v>0.0307692307692307</v>
      </c>
      <c r="S786" s="32" t="n">
        <v>38739378560</v>
      </c>
      <c r="T786" s="15" t="n">
        <v>0.00562851782363971</v>
      </c>
      <c r="U786" s="32" t="n">
        <v>19584979571.75</v>
      </c>
      <c r="V786" s="14" t="n">
        <v>1.8761512848762</v>
      </c>
      <c r="W786" s="13" t="n">
        <v>0.0287907869481765</v>
      </c>
      <c r="X786" s="15" t="n">
        <v>0.0298507462686568</v>
      </c>
      <c r="Y786" s="13" t="n">
        <v>0.0139944375312606</v>
      </c>
      <c r="Z786" s="13" t="n">
        <v>0.0895560969259666</v>
      </c>
      <c r="AA786" s="30" t="s">
        <v>97</v>
      </c>
      <c r="AB786" s="28" t="s">
        <v>93</v>
      </c>
      <c r="AC786" s="28" t="s">
        <v>100</v>
      </c>
      <c r="AD786" s="28" t="s">
        <v>107</v>
      </c>
      <c r="AE786" s="28" t="s">
        <v>112</v>
      </c>
      <c r="AF786" s="28" t="s">
        <v>116</v>
      </c>
      <c r="AG786" s="30" t="s">
        <v>122</v>
      </c>
    </row>
    <row r="787" customFormat="false" ht="15" hidden="false" customHeight="false" outlineLevel="0" collapsed="false">
      <c r="A787" s="10" t="n">
        <v>2026</v>
      </c>
      <c r="B787" s="28" t="s">
        <v>78</v>
      </c>
      <c r="C787" s="29" t="n">
        <v>46122</v>
      </c>
      <c r="D787" s="30" t="s">
        <v>129</v>
      </c>
      <c r="E787" s="28" t="s">
        <v>239</v>
      </c>
      <c r="F787" s="28" t="s">
        <v>240</v>
      </c>
      <c r="G787" s="31" t="n">
        <v>62162</v>
      </c>
      <c r="H787" s="31" t="n">
        <v>1</v>
      </c>
      <c r="I787" s="31" t="n">
        <v>62162</v>
      </c>
      <c r="J787" s="29" t="n">
        <v>46148</v>
      </c>
      <c r="K787" s="31" t="n">
        <v>59141</v>
      </c>
      <c r="L787" s="30" t="s">
        <v>32</v>
      </c>
      <c r="M787" s="10" t="n">
        <v>16</v>
      </c>
      <c r="N787" s="12" t="n">
        <v>-3158</v>
      </c>
      <c r="O787" s="13" t="n">
        <v>-0.0507990726664639</v>
      </c>
      <c r="P787" s="15" t="n">
        <v>0.0472619168271344</v>
      </c>
      <c r="Q787" s="13" t="n">
        <v>-0.0589121023903632</v>
      </c>
      <c r="R787" s="15" t="n">
        <v>0.0180327868852459</v>
      </c>
      <c r="S787" s="32" t="n">
        <v>22452441300</v>
      </c>
      <c r="T787" s="15" t="n">
        <v>0.0114006514657981</v>
      </c>
      <c r="U787" s="32" t="n">
        <v>26736023920</v>
      </c>
      <c r="V787" s="14" t="n">
        <v>0.809558782369208</v>
      </c>
      <c r="W787" s="13" t="n">
        <v>0.0180327868852459</v>
      </c>
      <c r="X787" s="15" t="n">
        <v>0.0144927536231885</v>
      </c>
      <c r="Y787" s="13" t="n">
        <v>0.0139944375312606</v>
      </c>
      <c r="Z787" s="13" t="n">
        <v>0.0895560969259666</v>
      </c>
      <c r="AA787" s="30" t="s">
        <v>97</v>
      </c>
      <c r="AB787" s="28" t="s">
        <v>93</v>
      </c>
      <c r="AC787" s="28" t="s">
        <v>99</v>
      </c>
      <c r="AD787" s="28" t="s">
        <v>106</v>
      </c>
      <c r="AE787" s="28" t="s">
        <v>112</v>
      </c>
      <c r="AF787" s="28" t="s">
        <v>116</v>
      </c>
      <c r="AG787" s="30" t="s">
        <v>122</v>
      </c>
    </row>
    <row r="788" customFormat="false" ht="15" hidden="false" customHeight="false" outlineLevel="0" collapsed="false">
      <c r="A788" s="10" t="n">
        <v>2026</v>
      </c>
      <c r="B788" s="28" t="s">
        <v>78</v>
      </c>
      <c r="C788" s="29" t="n">
        <v>46122</v>
      </c>
      <c r="D788" s="30" t="s">
        <v>129</v>
      </c>
      <c r="E788" s="28" t="s">
        <v>1449</v>
      </c>
      <c r="F788" s="28" t="s">
        <v>1450</v>
      </c>
      <c r="G788" s="31" t="n">
        <v>71772</v>
      </c>
      <c r="H788" s="31" t="n">
        <v>1</v>
      </c>
      <c r="I788" s="31" t="n">
        <v>71772</v>
      </c>
      <c r="J788" s="29" t="n">
        <v>46156</v>
      </c>
      <c r="K788" s="31" t="n">
        <v>68232</v>
      </c>
      <c r="L788" s="30" t="s">
        <v>32</v>
      </c>
      <c r="M788" s="10" t="n">
        <v>22</v>
      </c>
      <c r="N788" s="12" t="n">
        <v>-3697</v>
      </c>
      <c r="O788" s="13" t="n">
        <v>-0.0515170172923312</v>
      </c>
      <c r="P788" s="15" t="n">
        <v>0.170377739415397</v>
      </c>
      <c r="Q788" s="13" t="n">
        <v>-0.0497647401413092</v>
      </c>
      <c r="R788" s="15" t="n">
        <v>0.0331412103746398</v>
      </c>
      <c r="S788" s="32" t="n">
        <v>20141462100</v>
      </c>
      <c r="T788" s="15" t="n">
        <v>0.0213675213675213</v>
      </c>
      <c r="U788" s="32" t="n">
        <v>16706256160</v>
      </c>
      <c r="V788" s="14" t="n">
        <v>1.1156091275558</v>
      </c>
      <c r="W788" s="13" t="n">
        <v>0.0316546762589929</v>
      </c>
      <c r="X788" s="15" t="n">
        <v>0.0125523012552302</v>
      </c>
      <c r="Y788" s="13" t="n">
        <v>0.0139944375312606</v>
      </c>
      <c r="Z788" s="13" t="n">
        <v>0.0895560969259666</v>
      </c>
      <c r="AA788" s="30" t="s">
        <v>97</v>
      </c>
      <c r="AB788" s="28" t="s">
        <v>93</v>
      </c>
      <c r="AC788" s="28" t="s">
        <v>100</v>
      </c>
      <c r="AD788" s="28" t="s">
        <v>106</v>
      </c>
      <c r="AE788" s="28" t="s">
        <v>113</v>
      </c>
      <c r="AF788" s="28" t="s">
        <v>116</v>
      </c>
      <c r="AG788" s="30" t="s">
        <v>122</v>
      </c>
    </row>
    <row r="789" customFormat="false" ht="15" hidden="false" customHeight="false" outlineLevel="0" collapsed="false">
      <c r="A789" s="10" t="n">
        <v>2026</v>
      </c>
      <c r="B789" s="28" t="s">
        <v>78</v>
      </c>
      <c r="C789" s="29" t="n">
        <v>46125</v>
      </c>
      <c r="D789" s="30" t="s">
        <v>125</v>
      </c>
      <c r="E789" s="28" t="s">
        <v>1499</v>
      </c>
      <c r="F789" s="30" t="s">
        <v>1500</v>
      </c>
      <c r="G789" s="31" t="n">
        <v>3784</v>
      </c>
      <c r="H789" s="31" t="n">
        <v>26</v>
      </c>
      <c r="I789" s="31" t="n">
        <v>98378</v>
      </c>
      <c r="J789" s="29" t="n">
        <v>46126</v>
      </c>
      <c r="K789" s="31" t="n">
        <v>3601</v>
      </c>
      <c r="L789" s="30" t="s">
        <v>32</v>
      </c>
      <c r="M789" s="10" t="n">
        <v>1</v>
      </c>
      <c r="N789" s="12" t="n">
        <v>-4958</v>
      </c>
      <c r="O789" s="13" t="n">
        <v>-0.0503981643356644</v>
      </c>
      <c r="P789" s="15" t="n">
        <v>0.0320367463224607</v>
      </c>
      <c r="Q789" s="13" t="n">
        <v>-0.0604633461776318</v>
      </c>
      <c r="R789" s="15" t="n">
        <v>0.115044247787611</v>
      </c>
      <c r="S789" s="32" t="n">
        <v>74442083940</v>
      </c>
      <c r="T789" s="15" t="n">
        <v>0.100436681222707</v>
      </c>
      <c r="U789" s="32" t="n">
        <v>15361956138.25</v>
      </c>
      <c r="V789" s="14" t="n">
        <v>4.08023528269566</v>
      </c>
      <c r="W789" s="13" t="n">
        <v>0.05</v>
      </c>
      <c r="X789" s="15" t="n">
        <v>0.101851851851852</v>
      </c>
      <c r="Y789" s="13" t="n">
        <v>-0.00857673920056257</v>
      </c>
      <c r="Z789" s="13" t="n">
        <v>0.0657373039797591</v>
      </c>
      <c r="AA789" s="30" t="s">
        <v>97</v>
      </c>
      <c r="AB789" s="28" t="s">
        <v>93</v>
      </c>
      <c r="AC789" s="28" t="s">
        <v>102</v>
      </c>
      <c r="AD789" s="28" t="s">
        <v>108</v>
      </c>
      <c r="AE789" s="28" t="s">
        <v>114</v>
      </c>
      <c r="AF789" s="28" t="s">
        <v>118</v>
      </c>
      <c r="AG789" s="30" t="s">
        <v>122</v>
      </c>
    </row>
    <row r="790" customFormat="false" ht="15" hidden="false" customHeight="false" outlineLevel="0" collapsed="false">
      <c r="A790" s="10" t="n">
        <v>2026</v>
      </c>
      <c r="B790" s="28" t="s">
        <v>78</v>
      </c>
      <c r="C790" s="29" t="n">
        <v>46125</v>
      </c>
      <c r="D790" s="30" t="s">
        <v>125</v>
      </c>
      <c r="E790" s="28" t="s">
        <v>209</v>
      </c>
      <c r="F790" s="30" t="s">
        <v>210</v>
      </c>
      <c r="G790" s="31" t="n">
        <v>83083</v>
      </c>
      <c r="H790" s="31" t="n">
        <v>1</v>
      </c>
      <c r="I790" s="31" t="n">
        <v>83083</v>
      </c>
      <c r="J790" s="29" t="n">
        <v>46139</v>
      </c>
      <c r="K790" s="31" t="n">
        <v>103000</v>
      </c>
      <c r="L790" s="30" t="s">
        <v>31</v>
      </c>
      <c r="M790" s="10" t="n">
        <v>10</v>
      </c>
      <c r="N790" s="12" t="n">
        <v>19683</v>
      </c>
      <c r="O790" s="13" t="n">
        <v>0.236908724408122</v>
      </c>
      <c r="P790" s="15" t="n">
        <v>0.351660387804966</v>
      </c>
      <c r="Q790" s="13" t="n">
        <v>-0.00220261666044785</v>
      </c>
      <c r="R790" s="15" t="n">
        <v>0.0246913580246915</v>
      </c>
      <c r="S790" s="32" t="n">
        <v>41227262000</v>
      </c>
      <c r="T790" s="15" t="n">
        <v>0.00484261501210659</v>
      </c>
      <c r="U790" s="32" t="n">
        <v>21187565355</v>
      </c>
      <c r="V790" s="14" t="n">
        <v>1.80778906931695</v>
      </c>
      <c r="W790" s="13" t="n">
        <v>0.0493046776232617</v>
      </c>
      <c r="X790" s="15" t="n">
        <v>0.0120481927710843</v>
      </c>
      <c r="Y790" s="13" t="n">
        <v>-0.00857673920056257</v>
      </c>
      <c r="Z790" s="13" t="n">
        <v>0.0657373039797591</v>
      </c>
      <c r="AA790" s="30" t="s">
        <v>97</v>
      </c>
      <c r="AB790" s="28" t="s">
        <v>93</v>
      </c>
      <c r="AC790" s="28" t="s">
        <v>99</v>
      </c>
      <c r="AD790" s="28" t="s">
        <v>107</v>
      </c>
      <c r="AE790" s="28" t="s">
        <v>112</v>
      </c>
      <c r="AF790" s="28" t="s">
        <v>116</v>
      </c>
      <c r="AG790" s="30" t="s">
        <v>122</v>
      </c>
    </row>
    <row r="791" customFormat="false" ht="15" hidden="false" customHeight="false" outlineLevel="0" collapsed="false">
      <c r="A791" s="10" t="n">
        <v>2026</v>
      </c>
      <c r="B791" s="28" t="s">
        <v>78</v>
      </c>
      <c r="C791" s="29" t="n">
        <v>46125</v>
      </c>
      <c r="D791" s="30" t="s">
        <v>125</v>
      </c>
      <c r="E791" s="28" t="s">
        <v>733</v>
      </c>
      <c r="F791" s="28" t="s">
        <v>734</v>
      </c>
      <c r="G791" s="31" t="n">
        <v>84685</v>
      </c>
      <c r="H791" s="31" t="n">
        <v>1</v>
      </c>
      <c r="I791" s="31" t="n">
        <v>84685</v>
      </c>
      <c r="J791" s="29" t="n">
        <v>46136</v>
      </c>
      <c r="K791" s="31" t="n">
        <v>101700</v>
      </c>
      <c r="L791" s="30" t="s">
        <v>31</v>
      </c>
      <c r="M791" s="10" t="n">
        <v>9</v>
      </c>
      <c r="N791" s="12" t="n">
        <v>16784</v>
      </c>
      <c r="O791" s="13" t="n">
        <v>0.198194740366017</v>
      </c>
      <c r="P791" s="15" t="n">
        <v>0.367426899341793</v>
      </c>
      <c r="Q791" s="13" t="n">
        <v>-0.0175309324245494</v>
      </c>
      <c r="R791" s="15" t="n">
        <v>0.0535491905354919</v>
      </c>
      <c r="S791" s="32" t="n">
        <v>32432340600</v>
      </c>
      <c r="T791" s="15" t="n">
        <v>0.0483271375464685</v>
      </c>
      <c r="U791" s="32" t="n">
        <v>14219248980</v>
      </c>
      <c r="V791" s="14" t="n">
        <v>2.05225978984414</v>
      </c>
      <c r="W791" s="13" t="n">
        <v>0.0846153846153845</v>
      </c>
      <c r="X791" s="15" t="n">
        <v>0.00827423167848695</v>
      </c>
      <c r="Y791" s="13" t="n">
        <v>-0.00857673920056257</v>
      </c>
      <c r="Z791" s="13" t="n">
        <v>0.0657373039797591</v>
      </c>
      <c r="AA791" s="30" t="s">
        <v>97</v>
      </c>
      <c r="AB791" s="28" t="s">
        <v>93</v>
      </c>
      <c r="AC791" s="28" t="s">
        <v>101</v>
      </c>
      <c r="AD791" s="28" t="s">
        <v>107</v>
      </c>
      <c r="AE791" s="28" t="s">
        <v>113</v>
      </c>
      <c r="AF791" s="28" t="s">
        <v>117</v>
      </c>
      <c r="AG791" s="30" t="s">
        <v>122</v>
      </c>
    </row>
    <row r="792" customFormat="false" ht="15" hidden="false" customHeight="false" outlineLevel="0" collapsed="false">
      <c r="A792" s="10" t="n">
        <v>2026</v>
      </c>
      <c r="B792" s="28" t="s">
        <v>78</v>
      </c>
      <c r="C792" s="29" t="n">
        <v>46125</v>
      </c>
      <c r="D792" s="30" t="s">
        <v>125</v>
      </c>
      <c r="E792" s="28" t="s">
        <v>1501</v>
      </c>
      <c r="F792" s="30" t="s">
        <v>1502</v>
      </c>
      <c r="G792" s="31" t="n">
        <v>7387</v>
      </c>
      <c r="H792" s="31" t="n">
        <v>13</v>
      </c>
      <c r="I792" s="31" t="n">
        <v>96036</v>
      </c>
      <c r="J792" s="29" t="n">
        <v>46127</v>
      </c>
      <c r="K792" s="31" t="n">
        <v>8870</v>
      </c>
      <c r="L792" s="30" t="s">
        <v>31</v>
      </c>
      <c r="M792" s="10" t="n">
        <v>2</v>
      </c>
      <c r="N792" s="12" t="n">
        <v>19012</v>
      </c>
      <c r="O792" s="13" t="n">
        <v>0.19796482555385</v>
      </c>
      <c r="P792" s="15" t="n">
        <v>0.337415971562313</v>
      </c>
      <c r="Q792" s="13" t="n">
        <v>0.0220132171351686</v>
      </c>
      <c r="R792" s="15" t="n">
        <v>0.0497866287339972</v>
      </c>
      <c r="S792" s="32" t="n">
        <v>24775065900</v>
      </c>
      <c r="T792" s="15" t="n">
        <v>0.00544959128065403</v>
      </c>
      <c r="U792" s="32" t="n">
        <v>8056434287.5</v>
      </c>
      <c r="V792" s="14" t="n">
        <v>2.87938034211401</v>
      </c>
      <c r="W792" s="13" t="n">
        <v>0.055793991416309</v>
      </c>
      <c r="X792" s="15" t="n">
        <v>0.0609756097560976</v>
      </c>
      <c r="Y792" s="13" t="n">
        <v>-0.00857673920056257</v>
      </c>
      <c r="Z792" s="13" t="n">
        <v>0.0657373039797591</v>
      </c>
      <c r="AA792" s="30" t="s">
        <v>97</v>
      </c>
      <c r="AB792" s="28" t="s">
        <v>93</v>
      </c>
      <c r="AC792" s="28" t="s">
        <v>100</v>
      </c>
      <c r="AD792" s="28" t="s">
        <v>106</v>
      </c>
      <c r="AE792" s="28" t="s">
        <v>112</v>
      </c>
      <c r="AF792" s="28" t="s">
        <v>117</v>
      </c>
      <c r="AG792" s="30" t="s">
        <v>122</v>
      </c>
    </row>
    <row r="793" customFormat="false" ht="15" hidden="false" customHeight="false" outlineLevel="0" collapsed="false">
      <c r="A793" s="10" t="n">
        <v>2026</v>
      </c>
      <c r="B793" s="28" t="s">
        <v>78</v>
      </c>
      <c r="C793" s="29" t="n">
        <v>46126</v>
      </c>
      <c r="D793" s="30" t="s">
        <v>126</v>
      </c>
      <c r="E793" s="28" t="s">
        <v>241</v>
      </c>
      <c r="F793" s="30" t="s">
        <v>242</v>
      </c>
      <c r="G793" s="31" t="n">
        <v>72472</v>
      </c>
      <c r="H793" s="31" t="n">
        <v>1</v>
      </c>
      <c r="I793" s="31" t="n">
        <v>72472</v>
      </c>
      <c r="J793" s="29" t="n">
        <v>46132</v>
      </c>
      <c r="K793" s="31" t="n">
        <v>68931</v>
      </c>
      <c r="L793" s="30" t="s">
        <v>32</v>
      </c>
      <c r="M793" s="10" t="n">
        <v>4</v>
      </c>
      <c r="N793" s="12" t="n">
        <v>-3700</v>
      </c>
      <c r="O793" s="13" t="n">
        <v>-0.0510604383185876</v>
      </c>
      <c r="P793" s="15" t="n">
        <v>0.0141791909747713</v>
      </c>
      <c r="Q793" s="13" t="n">
        <v>-0.0520529194562343</v>
      </c>
      <c r="R793" s="15" t="n">
        <v>0.108728943338438</v>
      </c>
      <c r="S793" s="32" t="n">
        <v>721567939200</v>
      </c>
      <c r="T793" s="15" t="n">
        <v>0.0357653791130186</v>
      </c>
      <c r="U793" s="32" t="n">
        <v>186405726390</v>
      </c>
      <c r="V793" s="14" t="n">
        <v>3.49594941947815</v>
      </c>
      <c r="W793" s="13" t="n">
        <v>0.0741839762611276</v>
      </c>
      <c r="X793" s="15" t="n">
        <v>0.0234806629834254</v>
      </c>
      <c r="Y793" s="13" t="n">
        <v>0.0273954915281083</v>
      </c>
      <c r="Z793" s="13" t="n">
        <v>0.0860762396310681</v>
      </c>
      <c r="AA793" s="30" t="s">
        <v>97</v>
      </c>
      <c r="AB793" s="28" t="s">
        <v>93</v>
      </c>
      <c r="AC793" s="28" t="s">
        <v>102</v>
      </c>
      <c r="AD793" s="28" t="s">
        <v>110</v>
      </c>
      <c r="AE793" s="28" t="s">
        <v>113</v>
      </c>
      <c r="AF793" s="28" t="s">
        <v>118</v>
      </c>
      <c r="AG793" s="30" t="s">
        <v>122</v>
      </c>
    </row>
    <row r="794" customFormat="false" ht="15" hidden="false" customHeight="false" outlineLevel="0" collapsed="false">
      <c r="A794" s="10" t="n">
        <v>2026</v>
      </c>
      <c r="B794" s="28" t="s">
        <v>78</v>
      </c>
      <c r="C794" s="29" t="n">
        <v>46126</v>
      </c>
      <c r="D794" s="30" t="s">
        <v>126</v>
      </c>
      <c r="E794" s="28" t="s">
        <v>1085</v>
      </c>
      <c r="F794" s="30" t="s">
        <v>1086</v>
      </c>
      <c r="G794" s="31" t="n">
        <v>53253</v>
      </c>
      <c r="H794" s="31" t="n">
        <v>1</v>
      </c>
      <c r="I794" s="31" t="n">
        <v>53253</v>
      </c>
      <c r="J794" s="29" t="n">
        <v>46127</v>
      </c>
      <c r="K794" s="31" t="n">
        <v>50649</v>
      </c>
      <c r="L794" s="30" t="s">
        <v>32</v>
      </c>
      <c r="M794" s="10" t="n">
        <v>1</v>
      </c>
      <c r="N794" s="12" t="n">
        <v>-2721</v>
      </c>
      <c r="O794" s="13" t="n">
        <v>-0.051091464456596</v>
      </c>
      <c r="P794" s="15" t="n">
        <v>0.104158998895841</v>
      </c>
      <c r="Q794" s="13" t="n">
        <v>-0.0498223580930347</v>
      </c>
      <c r="R794" s="15" t="n">
        <v>0.108333333333333</v>
      </c>
      <c r="S794" s="32" t="n">
        <v>161424440800</v>
      </c>
      <c r="T794" s="15" t="n">
        <v>0.0969072164948455</v>
      </c>
      <c r="U794" s="32" t="n">
        <v>56634132435</v>
      </c>
      <c r="V794" s="14" t="n">
        <v>2.36526459847151</v>
      </c>
      <c r="W794" s="13" t="n">
        <v>0.0802030456852791</v>
      </c>
      <c r="X794" s="15" t="n">
        <v>0.0169172932330828</v>
      </c>
      <c r="Y794" s="13" t="n">
        <v>0.0273954915281083</v>
      </c>
      <c r="Z794" s="13" t="n">
        <v>0.0860762396310681</v>
      </c>
      <c r="AA794" s="30" t="s">
        <v>97</v>
      </c>
      <c r="AB794" s="28" t="s">
        <v>93</v>
      </c>
      <c r="AC794" s="28" t="s">
        <v>102</v>
      </c>
      <c r="AD794" s="28" t="s">
        <v>109</v>
      </c>
      <c r="AE794" s="28" t="s">
        <v>101</v>
      </c>
      <c r="AF794" s="28" t="s">
        <v>117</v>
      </c>
      <c r="AG794" s="30" t="s">
        <v>122</v>
      </c>
    </row>
    <row r="795" customFormat="false" ht="15" hidden="false" customHeight="false" outlineLevel="0" collapsed="false">
      <c r="A795" s="10" t="n">
        <v>2026</v>
      </c>
      <c r="B795" s="28" t="s">
        <v>78</v>
      </c>
      <c r="C795" s="29" t="n">
        <v>46126</v>
      </c>
      <c r="D795" s="30" t="s">
        <v>126</v>
      </c>
      <c r="E795" s="28" t="s">
        <v>1503</v>
      </c>
      <c r="F795" s="30" t="s">
        <v>1504</v>
      </c>
      <c r="G795" s="31" t="n">
        <v>60961</v>
      </c>
      <c r="H795" s="31" t="n">
        <v>1</v>
      </c>
      <c r="I795" s="31" t="n">
        <v>60961</v>
      </c>
      <c r="J795" s="29" t="n">
        <v>46127</v>
      </c>
      <c r="K795" s="31" t="n">
        <v>57942</v>
      </c>
      <c r="L795" s="30" t="s">
        <v>32</v>
      </c>
      <c r="M795" s="10" t="n">
        <v>1</v>
      </c>
      <c r="N795" s="12" t="n">
        <v>-3153</v>
      </c>
      <c r="O795" s="13" t="n">
        <v>-0.0517154345654345</v>
      </c>
      <c r="P795" s="15" t="n">
        <v>0.0203261434788529</v>
      </c>
      <c r="Q795" s="13" t="n">
        <v>-0.0584128515162997</v>
      </c>
      <c r="R795" s="15" t="n">
        <v>0.203557312252964</v>
      </c>
      <c r="S795" s="32" t="n">
        <v>75563684700</v>
      </c>
      <c r="T795" s="15" t="n">
        <v>0.0133111480865225</v>
      </c>
      <c r="U795" s="32" t="n">
        <v>10017762697.5</v>
      </c>
      <c r="V795" s="14" t="n">
        <v>6.52047595712339</v>
      </c>
      <c r="W795" s="13" t="n">
        <v>0.153409090909091</v>
      </c>
      <c r="X795" s="15" t="n">
        <v>0.0656814449917897</v>
      </c>
      <c r="Y795" s="13" t="n">
        <v>0.0273954915281083</v>
      </c>
      <c r="Z795" s="13" t="n">
        <v>0.0860762396310681</v>
      </c>
      <c r="AA795" s="30" t="s">
        <v>97</v>
      </c>
      <c r="AB795" s="28" t="s">
        <v>93</v>
      </c>
      <c r="AC795" s="28" t="s">
        <v>104</v>
      </c>
      <c r="AD795" s="28" t="s">
        <v>108</v>
      </c>
      <c r="AE795" s="28" t="s">
        <v>112</v>
      </c>
      <c r="AF795" s="28" t="s">
        <v>119</v>
      </c>
      <c r="AG795" s="30" t="s">
        <v>122</v>
      </c>
    </row>
    <row r="796" customFormat="false" ht="15" hidden="false" customHeight="false" outlineLevel="0" collapsed="false">
      <c r="A796" s="10" t="n">
        <v>2026</v>
      </c>
      <c r="B796" s="28" t="s">
        <v>78</v>
      </c>
      <c r="C796" s="29" t="n">
        <v>46126</v>
      </c>
      <c r="D796" s="30" t="s">
        <v>126</v>
      </c>
      <c r="E796" s="28" t="s">
        <v>1505</v>
      </c>
      <c r="F796" s="30" t="s">
        <v>1506</v>
      </c>
      <c r="G796" s="31" t="n">
        <v>30180</v>
      </c>
      <c r="H796" s="31" t="n">
        <v>3</v>
      </c>
      <c r="I796" s="31" t="n">
        <v>90540</v>
      </c>
      <c r="J796" s="29" t="n">
        <v>46128</v>
      </c>
      <c r="K796" s="31" t="n">
        <v>28721</v>
      </c>
      <c r="L796" s="30" t="s">
        <v>32</v>
      </c>
      <c r="M796" s="10" t="n">
        <v>2</v>
      </c>
      <c r="N796" s="12" t="n">
        <v>-4576</v>
      </c>
      <c r="O796" s="13" t="n">
        <v>-0.0505357895835509</v>
      </c>
      <c r="P796" s="15" t="n">
        <v>0.0768667485085397</v>
      </c>
      <c r="Q796" s="13" t="n">
        <v>-0.0689244420587704</v>
      </c>
      <c r="R796" s="15" t="n">
        <v>0.175438596491228</v>
      </c>
      <c r="S796" s="32" t="n">
        <v>58311456750</v>
      </c>
      <c r="T796" s="15" t="n">
        <v>0.0255102040816326</v>
      </c>
      <c r="U796" s="32" t="n">
        <v>3519227635</v>
      </c>
      <c r="V796" s="14" t="n">
        <v>14.8673938503156</v>
      </c>
      <c r="W796" s="13" t="n">
        <v>0.159615384615385</v>
      </c>
      <c r="X796" s="15" t="n">
        <v>0.104477611940299</v>
      </c>
      <c r="Y796" s="13" t="n">
        <v>0.0273954915281083</v>
      </c>
      <c r="Z796" s="13" t="n">
        <v>0.0860762396310681</v>
      </c>
      <c r="AA796" s="30" t="s">
        <v>97</v>
      </c>
      <c r="AB796" s="28" t="s">
        <v>93</v>
      </c>
      <c r="AC796" s="28" t="s">
        <v>103</v>
      </c>
      <c r="AD796" s="28" t="s">
        <v>108</v>
      </c>
      <c r="AE796" s="28" t="s">
        <v>113</v>
      </c>
      <c r="AF796" s="28" t="s">
        <v>120</v>
      </c>
      <c r="AG796" s="30" t="s">
        <v>122</v>
      </c>
    </row>
    <row r="797" customFormat="false" ht="15" hidden="false" customHeight="false" outlineLevel="0" collapsed="false">
      <c r="A797" s="10" t="n">
        <v>2026</v>
      </c>
      <c r="B797" s="28" t="s">
        <v>78</v>
      </c>
      <c r="C797" s="29" t="n">
        <v>46126</v>
      </c>
      <c r="D797" s="30" t="s">
        <v>126</v>
      </c>
      <c r="E797" s="28" t="s">
        <v>1507</v>
      </c>
      <c r="F797" s="30" t="s">
        <v>1508</v>
      </c>
      <c r="G797" s="31" t="n">
        <v>4039</v>
      </c>
      <c r="H797" s="31" t="n">
        <v>24</v>
      </c>
      <c r="I797" s="31" t="n">
        <v>96937</v>
      </c>
      <c r="J797" s="29" t="n">
        <v>46128</v>
      </c>
      <c r="K797" s="31" t="n">
        <v>3841</v>
      </c>
      <c r="L797" s="30" t="s">
        <v>32</v>
      </c>
      <c r="M797" s="10" t="n">
        <v>2</v>
      </c>
      <c r="N797" s="12" t="n">
        <v>-4962</v>
      </c>
      <c r="O797" s="13" t="n">
        <v>-0.0511865677073854</v>
      </c>
      <c r="P797" s="15" t="n">
        <v>0.0423281798746484</v>
      </c>
      <c r="Q797" s="13" t="n">
        <v>-0.0505157791403144</v>
      </c>
      <c r="R797" s="15" t="n">
        <v>0.0702917771883289</v>
      </c>
      <c r="S797" s="32" t="n">
        <v>47990752665</v>
      </c>
      <c r="T797" s="15" t="n">
        <v>0.0150943396226415</v>
      </c>
      <c r="U797" s="32" t="n">
        <v>5541320508.75</v>
      </c>
      <c r="V797" s="14" t="n">
        <v>8.04384625035126</v>
      </c>
      <c r="W797" s="13" t="n">
        <v>0.0590551181102361</v>
      </c>
      <c r="X797" s="15" t="n">
        <v>0.0681536555142503</v>
      </c>
      <c r="Y797" s="13" t="n">
        <v>0.0273954915281083</v>
      </c>
      <c r="Z797" s="13" t="n">
        <v>0.0860762396310681</v>
      </c>
      <c r="AA797" s="30" t="s">
        <v>97</v>
      </c>
      <c r="AB797" s="28" t="s">
        <v>93</v>
      </c>
      <c r="AC797" s="28" t="s">
        <v>101</v>
      </c>
      <c r="AD797" s="28" t="s">
        <v>107</v>
      </c>
      <c r="AE797" s="28" t="s">
        <v>112</v>
      </c>
      <c r="AF797" s="28" t="s">
        <v>119</v>
      </c>
      <c r="AG797" s="30" t="s">
        <v>122</v>
      </c>
    </row>
    <row r="798" customFormat="false" ht="15" hidden="false" customHeight="false" outlineLevel="0" collapsed="false">
      <c r="A798" s="10" t="n">
        <v>2026</v>
      </c>
      <c r="B798" s="28" t="s">
        <v>78</v>
      </c>
      <c r="C798" s="29" t="n">
        <v>46126</v>
      </c>
      <c r="D798" s="30" t="s">
        <v>126</v>
      </c>
      <c r="E798" s="28" t="s">
        <v>883</v>
      </c>
      <c r="F798" s="30" t="s">
        <v>884</v>
      </c>
      <c r="G798" s="31" t="n">
        <v>60861</v>
      </c>
      <c r="H798" s="31" t="n">
        <v>1</v>
      </c>
      <c r="I798" s="31" t="n">
        <v>60861</v>
      </c>
      <c r="J798" s="29" t="n">
        <v>46150</v>
      </c>
      <c r="K798" s="31" t="n">
        <v>73100</v>
      </c>
      <c r="L798" s="30" t="s">
        <v>31</v>
      </c>
      <c r="M798" s="10" t="n">
        <v>16</v>
      </c>
      <c r="N798" s="12" t="n">
        <v>12073</v>
      </c>
      <c r="O798" s="13" t="n">
        <v>0.198369161759293</v>
      </c>
      <c r="P798" s="15" t="n">
        <v>0.245465061254535</v>
      </c>
      <c r="Q798" s="13" t="n">
        <v>-0.0272885009727114</v>
      </c>
      <c r="R798" s="15" t="n">
        <v>0.201581027667984</v>
      </c>
      <c r="S798" s="32" t="n">
        <v>37220908800</v>
      </c>
      <c r="T798" s="15" t="n">
        <v>0.153700189753321</v>
      </c>
      <c r="U798" s="32" t="n">
        <v>3951605047.5</v>
      </c>
      <c r="V798" s="14" t="n">
        <v>7.67204214832119</v>
      </c>
      <c r="W798" s="13" t="n">
        <v>0.176015473887814</v>
      </c>
      <c r="X798" s="15" t="n">
        <v>0.0296052631578947</v>
      </c>
      <c r="Y798" s="13" t="n">
        <v>0.0273954915281083</v>
      </c>
      <c r="Z798" s="13" t="n">
        <v>0.0860762396310681</v>
      </c>
      <c r="AA798" s="30" t="s">
        <v>97</v>
      </c>
      <c r="AB798" s="28" t="s">
        <v>93</v>
      </c>
      <c r="AC798" s="28" t="s">
        <v>104</v>
      </c>
      <c r="AD798" s="28" t="s">
        <v>107</v>
      </c>
      <c r="AE798" s="28" t="s">
        <v>114</v>
      </c>
      <c r="AF798" s="28" t="s">
        <v>119</v>
      </c>
      <c r="AG798" s="30" t="s">
        <v>122</v>
      </c>
    </row>
    <row r="799" customFormat="false" ht="15" hidden="false" customHeight="false" outlineLevel="0" collapsed="false">
      <c r="A799" s="10" t="n">
        <v>2026</v>
      </c>
      <c r="B799" s="28" t="s">
        <v>78</v>
      </c>
      <c r="C799" s="29" t="n">
        <v>46126</v>
      </c>
      <c r="D799" s="30" t="s">
        <v>126</v>
      </c>
      <c r="E799" s="28" t="s">
        <v>459</v>
      </c>
      <c r="F799" s="30" t="s">
        <v>460</v>
      </c>
      <c r="G799" s="31" t="n">
        <v>68068</v>
      </c>
      <c r="H799" s="31" t="n">
        <v>1</v>
      </c>
      <c r="I799" s="31" t="n">
        <v>68068</v>
      </c>
      <c r="J799" s="29" t="n">
        <v>46141</v>
      </c>
      <c r="K799" s="31" t="n">
        <v>81700</v>
      </c>
      <c r="L799" s="30" t="s">
        <v>31</v>
      </c>
      <c r="M799" s="10" t="n">
        <v>11</v>
      </c>
      <c r="N799" s="12" t="n">
        <v>13446</v>
      </c>
      <c r="O799" s="13" t="n">
        <v>0.197539736733855</v>
      </c>
      <c r="P799" s="15" t="n">
        <v>0.204677675265911</v>
      </c>
      <c r="Q799" s="13" t="n">
        <v>-0.00834459657989051</v>
      </c>
      <c r="R799" s="15" t="n">
        <v>0.0845295055821371</v>
      </c>
      <c r="S799" s="32" t="n">
        <v>21911436000</v>
      </c>
      <c r="T799" s="15" t="n">
        <v>0.0510046367851622</v>
      </c>
      <c r="U799" s="32" t="n">
        <v>13152395425</v>
      </c>
      <c r="V799" s="14" t="n">
        <v>1.47874686016343</v>
      </c>
      <c r="W799" s="13" t="n">
        <v>0.0675039246467819</v>
      </c>
      <c r="X799" s="15" t="n">
        <v>0.013235294117647</v>
      </c>
      <c r="Y799" s="13" t="n">
        <v>0.0273954915281083</v>
      </c>
      <c r="Z799" s="13" t="n">
        <v>0.0860762396310681</v>
      </c>
      <c r="AA799" s="30" t="s">
        <v>97</v>
      </c>
      <c r="AB799" s="28" t="s">
        <v>93</v>
      </c>
      <c r="AC799" s="28" t="s">
        <v>101</v>
      </c>
      <c r="AD799" s="28" t="s">
        <v>106</v>
      </c>
      <c r="AE799" s="28" t="s">
        <v>101</v>
      </c>
      <c r="AF799" s="28" t="s">
        <v>116</v>
      </c>
      <c r="AG799" s="30" t="s">
        <v>122</v>
      </c>
    </row>
    <row r="800" customFormat="false" ht="15" hidden="false" customHeight="false" outlineLevel="0" collapsed="false">
      <c r="A800" s="10" t="n">
        <v>2026</v>
      </c>
      <c r="B800" s="28" t="s">
        <v>78</v>
      </c>
      <c r="C800" s="29" t="n">
        <v>46127</v>
      </c>
      <c r="D800" s="30" t="s">
        <v>127</v>
      </c>
      <c r="E800" s="28" t="s">
        <v>955</v>
      </c>
      <c r="F800" s="30" t="s">
        <v>956</v>
      </c>
      <c r="G800" s="31" t="n">
        <v>71199</v>
      </c>
      <c r="H800" s="31" t="n">
        <v>1</v>
      </c>
      <c r="I800" s="31" t="n">
        <v>71199</v>
      </c>
      <c r="J800" s="29" t="n">
        <v>46133</v>
      </c>
      <c r="K800" s="31" t="n">
        <v>85500</v>
      </c>
      <c r="L800" s="30" t="s">
        <v>31</v>
      </c>
      <c r="M800" s="10" t="n">
        <v>4</v>
      </c>
      <c r="N800" s="12" t="n">
        <v>14107</v>
      </c>
      <c r="O800" s="13" t="n">
        <v>0.198130668415072</v>
      </c>
      <c r="P800" s="15" t="n">
        <v>0.222215284715285</v>
      </c>
      <c r="Q800" s="13" t="n">
        <v>0.0231955544455547</v>
      </c>
      <c r="R800" s="15" t="n">
        <v>0.207547169811321</v>
      </c>
      <c r="S800" s="32" t="n">
        <v>55600256000</v>
      </c>
      <c r="T800" s="15" t="n">
        <v>0.117903930131004</v>
      </c>
      <c r="U800" s="32" t="n">
        <v>4100065610</v>
      </c>
      <c r="V800" s="14" t="n">
        <v>11.4993950849661</v>
      </c>
      <c r="W800" s="13" t="n">
        <v>0.180811808118081</v>
      </c>
      <c r="X800" s="15" t="n">
        <v>0.05</v>
      </c>
      <c r="Y800" s="13" t="n">
        <v>0.0207180260567217</v>
      </c>
      <c r="Z800" s="13" t="n">
        <v>0.0373019954566665</v>
      </c>
      <c r="AA800" s="30" t="s">
        <v>97</v>
      </c>
      <c r="AB800" s="28" t="s">
        <v>93</v>
      </c>
      <c r="AC800" s="28" t="s">
        <v>104</v>
      </c>
      <c r="AD800" s="28" t="s">
        <v>108</v>
      </c>
      <c r="AE800" s="28" t="s">
        <v>114</v>
      </c>
      <c r="AF800" s="28" t="s">
        <v>120</v>
      </c>
      <c r="AG800" s="30" t="s">
        <v>122</v>
      </c>
    </row>
    <row r="801" customFormat="false" ht="15" hidden="false" customHeight="false" outlineLevel="0" collapsed="false">
      <c r="A801" s="10" t="n">
        <v>2026</v>
      </c>
      <c r="B801" s="28" t="s">
        <v>78</v>
      </c>
      <c r="C801" s="29" t="n">
        <v>46127</v>
      </c>
      <c r="D801" s="30" t="s">
        <v>127</v>
      </c>
      <c r="E801" s="28" t="s">
        <v>369</v>
      </c>
      <c r="F801" s="28" t="s">
        <v>370</v>
      </c>
      <c r="G801" s="31" t="n">
        <v>50651</v>
      </c>
      <c r="H801" s="31" t="n">
        <v>1</v>
      </c>
      <c r="I801" s="31" t="n">
        <v>50651</v>
      </c>
      <c r="J801" s="29" t="n">
        <v>46134</v>
      </c>
      <c r="K801" s="31" t="n">
        <v>60800</v>
      </c>
      <c r="L801" s="30" t="s">
        <v>31</v>
      </c>
      <c r="M801" s="10" t="n">
        <v>5</v>
      </c>
      <c r="N801" s="12" t="n">
        <v>10011</v>
      </c>
      <c r="O801" s="13" t="n">
        <v>0.197649828629868</v>
      </c>
      <c r="P801" s="15" t="n">
        <v>0.218149439493313</v>
      </c>
      <c r="Q801" s="13" t="n">
        <v>0.0187441017480545</v>
      </c>
      <c r="R801" s="15" t="n">
        <v>0.137078651685393</v>
      </c>
      <c r="S801" s="32" t="n">
        <v>47251393200</v>
      </c>
      <c r="T801" s="15" t="n">
        <v>0.114537444933921</v>
      </c>
      <c r="U801" s="32" t="n">
        <v>7678354692.5</v>
      </c>
      <c r="V801" s="14" t="n">
        <v>5.36339320534167</v>
      </c>
      <c r="W801" s="13" t="n">
        <v>0.104803493449782</v>
      </c>
      <c r="X801" s="15" t="n">
        <v>0.0217391304347827</v>
      </c>
      <c r="Y801" s="13" t="n">
        <v>0.0207180260567217</v>
      </c>
      <c r="Z801" s="13" t="n">
        <v>0.0373019954566665</v>
      </c>
      <c r="AA801" s="30" t="s">
        <v>97</v>
      </c>
      <c r="AB801" s="28" t="s">
        <v>93</v>
      </c>
      <c r="AC801" s="28" t="s">
        <v>102</v>
      </c>
      <c r="AD801" s="28" t="s">
        <v>107</v>
      </c>
      <c r="AE801" s="28" t="s">
        <v>114</v>
      </c>
      <c r="AF801" s="28" t="s">
        <v>119</v>
      </c>
      <c r="AG801" s="30" t="s">
        <v>122</v>
      </c>
    </row>
    <row r="802" customFormat="false" ht="15" hidden="false" customHeight="false" outlineLevel="0" collapsed="false">
      <c r="A802" s="10" t="n">
        <v>2026</v>
      </c>
      <c r="B802" s="28" t="s">
        <v>78</v>
      </c>
      <c r="C802" s="29" t="n">
        <v>46127</v>
      </c>
      <c r="D802" s="30" t="s">
        <v>127</v>
      </c>
      <c r="E802" s="28" t="s">
        <v>1191</v>
      </c>
      <c r="F802" s="30" t="s">
        <v>1192</v>
      </c>
      <c r="G802" s="31" t="n">
        <v>21972</v>
      </c>
      <c r="H802" s="31" t="n">
        <v>4</v>
      </c>
      <c r="I802" s="31" t="n">
        <v>87888</v>
      </c>
      <c r="J802" s="29" t="n">
        <v>46154</v>
      </c>
      <c r="K802" s="31" t="n">
        <v>20879</v>
      </c>
      <c r="L802" s="30" t="s">
        <v>32</v>
      </c>
      <c r="M802" s="10" t="n">
        <v>17</v>
      </c>
      <c r="N802" s="12" t="n">
        <v>-4564</v>
      </c>
      <c r="O802" s="13" t="n">
        <v>-0.0519314788855791</v>
      </c>
      <c r="P802" s="15" t="n">
        <v>0.160570636652641</v>
      </c>
      <c r="Q802" s="13" t="n">
        <v>-0.109318927086581</v>
      </c>
      <c r="R802" s="15" t="n">
        <v>0.092039800995025</v>
      </c>
      <c r="S802" s="32" t="n">
        <v>37718111750</v>
      </c>
      <c r="T802" s="15" t="n">
        <v>0.0681265206812651</v>
      </c>
      <c r="U802" s="32" t="n">
        <v>11742671704.5</v>
      </c>
      <c r="V802" s="14" t="n">
        <v>2.89364127732683</v>
      </c>
      <c r="W802" s="13" t="n">
        <v>0.0707317073170732</v>
      </c>
      <c r="X802" s="15" t="n">
        <v>0.00227790432801833</v>
      </c>
      <c r="Y802" s="13" t="n">
        <v>0.0207180260567217</v>
      </c>
      <c r="Z802" s="13" t="n">
        <v>0.0373019954566665</v>
      </c>
      <c r="AA802" s="30" t="s">
        <v>97</v>
      </c>
      <c r="AB802" s="28" t="s">
        <v>93</v>
      </c>
      <c r="AC802" s="28" t="s">
        <v>101</v>
      </c>
      <c r="AD802" s="28" t="s">
        <v>107</v>
      </c>
      <c r="AE802" s="28" t="s">
        <v>101</v>
      </c>
      <c r="AF802" s="28" t="s">
        <v>117</v>
      </c>
      <c r="AG802" s="30" t="s">
        <v>122</v>
      </c>
    </row>
    <row r="803" customFormat="false" ht="15" hidden="false" customHeight="false" outlineLevel="0" collapsed="false">
      <c r="A803" s="10" t="n">
        <v>2026</v>
      </c>
      <c r="B803" s="28" t="s">
        <v>78</v>
      </c>
      <c r="C803" s="29" t="n">
        <v>46127</v>
      </c>
      <c r="D803" s="30" t="s">
        <v>127</v>
      </c>
      <c r="E803" s="28" t="s">
        <v>821</v>
      </c>
      <c r="F803" s="30" t="s">
        <v>822</v>
      </c>
      <c r="G803" s="31" t="n">
        <v>3393</v>
      </c>
      <c r="H803" s="31" t="n">
        <v>29</v>
      </c>
      <c r="I803" s="31" t="n">
        <v>98408</v>
      </c>
      <c r="J803" s="29" t="n">
        <v>46141</v>
      </c>
      <c r="K803" s="31" t="n">
        <v>3217</v>
      </c>
      <c r="L803" s="30" t="s">
        <v>32</v>
      </c>
      <c r="M803" s="10" t="n">
        <v>10</v>
      </c>
      <c r="N803" s="12" t="n">
        <v>-5337</v>
      </c>
      <c r="O803" s="13" t="n">
        <v>-0.0542334024382696</v>
      </c>
      <c r="P803" s="15" t="n">
        <v>0.156660448695847</v>
      </c>
      <c r="Q803" s="13" t="n">
        <v>-0.0643574714371173</v>
      </c>
      <c r="R803" s="15" t="n">
        <v>0.102439024390244</v>
      </c>
      <c r="S803" s="32" t="n">
        <v>32074396860</v>
      </c>
      <c r="T803" s="15" t="n">
        <v>0.0335365853658536</v>
      </c>
      <c r="U803" s="32" t="n">
        <v>3279345377.75</v>
      </c>
      <c r="V803" s="14" t="n">
        <v>8.93462253889969</v>
      </c>
      <c r="W803" s="13" t="n">
        <v>0.0830670926517572</v>
      </c>
      <c r="X803" s="15" t="n">
        <v>0.110619469026549</v>
      </c>
      <c r="Y803" s="13" t="n">
        <v>0.0207180260567217</v>
      </c>
      <c r="Z803" s="13" t="n">
        <v>0.0373019954566665</v>
      </c>
      <c r="AA803" s="30" t="s">
        <v>97</v>
      </c>
      <c r="AB803" s="28" t="s">
        <v>93</v>
      </c>
      <c r="AC803" s="28" t="s">
        <v>102</v>
      </c>
      <c r="AD803" s="28" t="s">
        <v>107</v>
      </c>
      <c r="AE803" s="28" t="s">
        <v>113</v>
      </c>
      <c r="AF803" s="28" t="s">
        <v>119</v>
      </c>
      <c r="AG803" s="30" t="s">
        <v>122</v>
      </c>
    </row>
    <row r="804" customFormat="false" ht="15" hidden="false" customHeight="false" outlineLevel="0" collapsed="false">
      <c r="A804" s="10" t="n">
        <v>2026</v>
      </c>
      <c r="B804" s="28" t="s">
        <v>78</v>
      </c>
      <c r="C804" s="29" t="n">
        <v>46127</v>
      </c>
      <c r="D804" s="30" t="s">
        <v>127</v>
      </c>
      <c r="E804" s="28" t="s">
        <v>311</v>
      </c>
      <c r="F804" s="30" t="s">
        <v>312</v>
      </c>
      <c r="G804" s="31" t="n">
        <v>93393</v>
      </c>
      <c r="H804" s="31" t="n">
        <v>1</v>
      </c>
      <c r="I804" s="31" t="n">
        <v>93393</v>
      </c>
      <c r="J804" s="29" t="n">
        <v>46142</v>
      </c>
      <c r="K804" s="31" t="n">
        <v>120000</v>
      </c>
      <c r="L804" s="30" t="s">
        <v>31</v>
      </c>
      <c r="M804" s="10" t="n">
        <v>11</v>
      </c>
      <c r="N804" s="12" t="n">
        <v>26335</v>
      </c>
      <c r="O804" s="13" t="n">
        <v>0.281976233894723</v>
      </c>
      <c r="P804" s="15" t="n">
        <v>0.292383929039878</v>
      </c>
      <c r="Q804" s="13" t="n">
        <v>-0.0299089977546568</v>
      </c>
      <c r="R804" s="15" t="n">
        <v>0.0298013245033113</v>
      </c>
      <c r="S804" s="32" t="n">
        <v>26705352300</v>
      </c>
      <c r="T804" s="15" t="n">
        <v>0.019672131147541</v>
      </c>
      <c r="U804" s="32" t="n">
        <v>16984990345</v>
      </c>
      <c r="V804" s="14" t="n">
        <v>1.45842090808714</v>
      </c>
      <c r="W804" s="13" t="n">
        <v>0.0119305856832972</v>
      </c>
      <c r="X804" s="15" t="n">
        <v>0.00321543408360125</v>
      </c>
      <c r="Y804" s="13" t="n">
        <v>0.0207180260567217</v>
      </c>
      <c r="Z804" s="13" t="n">
        <v>0.0373019954566665</v>
      </c>
      <c r="AA804" s="30" t="s">
        <v>97</v>
      </c>
      <c r="AB804" s="28" t="s">
        <v>93</v>
      </c>
      <c r="AC804" s="28" t="s">
        <v>99</v>
      </c>
      <c r="AD804" s="28" t="s">
        <v>106</v>
      </c>
      <c r="AE804" s="28" t="s">
        <v>112</v>
      </c>
      <c r="AF804" s="28" t="s">
        <v>116</v>
      </c>
      <c r="AG804" s="30" t="s">
        <v>122</v>
      </c>
    </row>
    <row r="805" customFormat="false" ht="15" hidden="false" customHeight="false" outlineLevel="0" collapsed="false">
      <c r="A805" s="10" t="n">
        <v>2026</v>
      </c>
      <c r="B805" s="28" t="s">
        <v>78</v>
      </c>
      <c r="C805" s="29" t="n">
        <v>46127</v>
      </c>
      <c r="D805" s="30" t="s">
        <v>127</v>
      </c>
      <c r="E805" s="28" t="s">
        <v>875</v>
      </c>
      <c r="F805" s="30" t="s">
        <v>876</v>
      </c>
      <c r="G805" s="31" t="n">
        <v>56757</v>
      </c>
      <c r="H805" s="31" t="n">
        <v>1</v>
      </c>
      <c r="I805" s="31" t="n">
        <v>56757</v>
      </c>
      <c r="J805" s="29" t="n">
        <v>46149</v>
      </c>
      <c r="K805" s="31" t="n">
        <v>53946</v>
      </c>
      <c r="L805" s="30" t="s">
        <v>32</v>
      </c>
      <c r="M805" s="10" t="n">
        <v>14</v>
      </c>
      <c r="N805" s="12" t="n">
        <v>-2935</v>
      </c>
      <c r="O805" s="13" t="n">
        <v>-0.0517154345654346</v>
      </c>
      <c r="P805" s="15" t="n">
        <v>0.0782867925725068</v>
      </c>
      <c r="Q805" s="13" t="n">
        <v>-0.0556181032371508</v>
      </c>
      <c r="R805" s="15" t="n">
        <v>0.0422794117647058</v>
      </c>
      <c r="S805" s="32" t="n">
        <v>24797631600</v>
      </c>
      <c r="T805" s="15" t="n">
        <v>0.0384615384615386</v>
      </c>
      <c r="U805" s="32" t="n">
        <v>9500011070</v>
      </c>
      <c r="V805" s="14" t="n">
        <v>2.42883065999686</v>
      </c>
      <c r="W805" s="13" t="n">
        <v>0.0161290322580645</v>
      </c>
      <c r="X805" s="15" t="n">
        <v>0.0176366843033511</v>
      </c>
      <c r="Y805" s="13" t="n">
        <v>0.0207180260567217</v>
      </c>
      <c r="Z805" s="13" t="n">
        <v>0.0373019954566665</v>
      </c>
      <c r="AA805" s="30" t="s">
        <v>97</v>
      </c>
      <c r="AB805" s="28" t="s">
        <v>93</v>
      </c>
      <c r="AC805" s="28" t="s">
        <v>100</v>
      </c>
      <c r="AD805" s="28" t="s">
        <v>106</v>
      </c>
      <c r="AE805" s="28" t="s">
        <v>113</v>
      </c>
      <c r="AF805" s="28" t="s">
        <v>117</v>
      </c>
      <c r="AG805" s="30" t="s">
        <v>122</v>
      </c>
    </row>
    <row r="806" customFormat="false" ht="15" hidden="false" customHeight="false" outlineLevel="0" collapsed="false">
      <c r="A806" s="10" t="n">
        <v>2026</v>
      </c>
      <c r="B806" s="28" t="s">
        <v>78</v>
      </c>
      <c r="C806" s="29" t="n">
        <v>46127</v>
      </c>
      <c r="D806" s="30" t="s">
        <v>127</v>
      </c>
      <c r="E806" s="28" t="s">
        <v>1235</v>
      </c>
      <c r="F806" s="30" t="s">
        <v>1236</v>
      </c>
      <c r="G806" s="31" t="n">
        <v>32132</v>
      </c>
      <c r="H806" s="31" t="n">
        <v>3</v>
      </c>
      <c r="I806" s="31" t="n">
        <v>96396</v>
      </c>
      <c r="J806" s="29" t="n">
        <v>46128</v>
      </c>
      <c r="K806" s="31" t="n">
        <v>30569</v>
      </c>
      <c r="L806" s="30" t="s">
        <v>32</v>
      </c>
      <c r="M806" s="10" t="n">
        <v>1</v>
      </c>
      <c r="N806" s="12" t="n">
        <v>-4900</v>
      </c>
      <c r="O806" s="13" t="n">
        <v>-0.0508290471211031</v>
      </c>
      <c r="P806" s="15" t="n">
        <v>-0.000999000999000854</v>
      </c>
      <c r="Q806" s="13" t="n">
        <v>-0.0523495196392391</v>
      </c>
      <c r="R806" s="15" t="n">
        <v>0.0507364975450082</v>
      </c>
      <c r="S806" s="32" t="n">
        <v>24250201800</v>
      </c>
      <c r="T806" s="15" t="n">
        <v>0.00784929356357922</v>
      </c>
      <c r="U806" s="32" t="n">
        <v>7576494730</v>
      </c>
      <c r="V806" s="14" t="n">
        <v>2.87163186939754</v>
      </c>
      <c r="W806" s="13" t="n">
        <v>-0.0123076923076924</v>
      </c>
      <c r="X806" s="15" t="n">
        <v>0.0654205607476635</v>
      </c>
      <c r="Y806" s="13" t="n">
        <v>0.0207180260567217</v>
      </c>
      <c r="Z806" s="13" t="n">
        <v>0.0373019954566665</v>
      </c>
      <c r="AA806" s="30" t="s">
        <v>97</v>
      </c>
      <c r="AB806" s="28" t="s">
        <v>93</v>
      </c>
      <c r="AC806" s="28" t="s">
        <v>101</v>
      </c>
      <c r="AD806" s="28" t="s">
        <v>106</v>
      </c>
      <c r="AE806" s="28" t="s">
        <v>112</v>
      </c>
      <c r="AF806" s="28" t="s">
        <v>117</v>
      </c>
      <c r="AG806" s="30" t="s">
        <v>123</v>
      </c>
    </row>
    <row r="807" customFormat="false" ht="15" hidden="false" customHeight="false" outlineLevel="0" collapsed="false">
      <c r="A807" s="10" t="n">
        <v>2026</v>
      </c>
      <c r="B807" s="28" t="s">
        <v>78</v>
      </c>
      <c r="C807" s="29" t="n">
        <v>46127</v>
      </c>
      <c r="D807" s="30" t="s">
        <v>127</v>
      </c>
      <c r="E807" s="28" t="s">
        <v>175</v>
      </c>
      <c r="F807" s="30" t="s">
        <v>176</v>
      </c>
      <c r="G807" s="31" t="n">
        <v>51451</v>
      </c>
      <c r="H807" s="31" t="n">
        <v>1</v>
      </c>
      <c r="I807" s="31" t="n">
        <v>51451</v>
      </c>
      <c r="J807" s="29" t="n">
        <v>46139</v>
      </c>
      <c r="K807" s="31" t="n">
        <v>61800</v>
      </c>
      <c r="L807" s="30" t="s">
        <v>31</v>
      </c>
      <c r="M807" s="10" t="n">
        <v>8</v>
      </c>
      <c r="N807" s="12" t="n">
        <v>10208</v>
      </c>
      <c r="O807" s="13" t="n">
        <v>0.198401059835107</v>
      </c>
      <c r="P807" s="15" t="n">
        <v>0.20307707856346</v>
      </c>
      <c r="Q807" s="13" t="n">
        <v>-0.024321981520425</v>
      </c>
      <c r="R807" s="15" t="n">
        <v>0.0447154471544715</v>
      </c>
      <c r="S807" s="32" t="n">
        <v>20326952400</v>
      </c>
      <c r="T807" s="15" t="n">
        <v>0.0300601202404809</v>
      </c>
      <c r="U807" s="32" t="n">
        <v>5850104690</v>
      </c>
      <c r="V807" s="14" t="n">
        <v>3.20848378197148</v>
      </c>
      <c r="W807" s="13" t="n">
        <v>0.0218687872763419</v>
      </c>
      <c r="X807" s="15" t="n">
        <v>0.027237354085603</v>
      </c>
      <c r="Y807" s="13" t="n">
        <v>0.0207180260567217</v>
      </c>
      <c r="Z807" s="13" t="n">
        <v>0.0373019954566665</v>
      </c>
      <c r="AA807" s="30" t="s">
        <v>97</v>
      </c>
      <c r="AB807" s="28" t="s">
        <v>93</v>
      </c>
      <c r="AC807" s="28" t="s">
        <v>100</v>
      </c>
      <c r="AD807" s="28" t="s">
        <v>106</v>
      </c>
      <c r="AE807" s="28" t="s">
        <v>113</v>
      </c>
      <c r="AF807" s="28" t="s">
        <v>118</v>
      </c>
      <c r="AG807" s="30" t="s">
        <v>122</v>
      </c>
    </row>
    <row r="808" customFormat="false" ht="15" hidden="false" customHeight="false" outlineLevel="0" collapsed="false">
      <c r="A808" s="10" t="n">
        <v>2026</v>
      </c>
      <c r="B808" s="28" t="s">
        <v>78</v>
      </c>
      <c r="C808" s="29" t="n">
        <v>46128</v>
      </c>
      <c r="D808" s="30" t="s">
        <v>128</v>
      </c>
      <c r="E808" s="28" t="s">
        <v>741</v>
      </c>
      <c r="F808" s="30" t="s">
        <v>742</v>
      </c>
      <c r="G808" s="31" t="n">
        <v>81682</v>
      </c>
      <c r="H808" s="31" t="n">
        <v>1</v>
      </c>
      <c r="I808" s="31" t="n">
        <v>81682</v>
      </c>
      <c r="J808" s="29" t="n">
        <v>46129</v>
      </c>
      <c r="K808" s="31" t="n">
        <v>77722</v>
      </c>
      <c r="L808" s="30" t="s">
        <v>32</v>
      </c>
      <c r="M808" s="10" t="n">
        <v>1</v>
      </c>
      <c r="N808" s="12" t="n">
        <v>-4139</v>
      </c>
      <c r="O808" s="13" t="n">
        <v>-0.0506693670300287</v>
      </c>
      <c r="P808" s="15" t="n">
        <v>-0.00344753285929744</v>
      </c>
      <c r="Q808" s="13" t="n">
        <v>-0.0866976161093808</v>
      </c>
      <c r="R808" s="15" t="n">
        <v>0.0225563909774436</v>
      </c>
      <c r="S808" s="32" t="n">
        <v>103550318400</v>
      </c>
      <c r="T808" s="15" t="n">
        <v>0.0225563909774436</v>
      </c>
      <c r="U808" s="32" t="n">
        <v>31880765220</v>
      </c>
      <c r="V808" s="14" t="n">
        <v>2.93820877251659</v>
      </c>
      <c r="W808" s="13" t="n">
        <v>-0.00729927007299269</v>
      </c>
      <c r="X808" s="15" t="n">
        <v>0.107843137254902</v>
      </c>
      <c r="Y808" s="13" t="n">
        <v>0.0221066127763943</v>
      </c>
      <c r="Z808" s="13" t="n">
        <v>0.0775422680126894</v>
      </c>
      <c r="AA808" s="30" t="s">
        <v>97</v>
      </c>
      <c r="AB808" s="28" t="s">
        <v>93</v>
      </c>
      <c r="AC808" s="28" t="s">
        <v>99</v>
      </c>
      <c r="AD808" s="28" t="s">
        <v>109</v>
      </c>
      <c r="AE808" s="28" t="s">
        <v>113</v>
      </c>
      <c r="AF808" s="28" t="s">
        <v>117</v>
      </c>
      <c r="AG808" s="30" t="s">
        <v>123</v>
      </c>
    </row>
    <row r="809" customFormat="false" ht="15" hidden="false" customHeight="false" outlineLevel="0" collapsed="false">
      <c r="A809" s="10" t="n">
        <v>2026</v>
      </c>
      <c r="B809" s="28" t="s">
        <v>78</v>
      </c>
      <c r="C809" s="29" t="n">
        <v>46128</v>
      </c>
      <c r="D809" s="30" t="s">
        <v>128</v>
      </c>
      <c r="E809" s="28" t="s">
        <v>613</v>
      </c>
      <c r="F809" s="30" t="s">
        <v>614</v>
      </c>
      <c r="G809" s="31" t="n">
        <v>50651</v>
      </c>
      <c r="H809" s="31" t="n">
        <v>1</v>
      </c>
      <c r="I809" s="31" t="n">
        <v>50651</v>
      </c>
      <c r="J809" s="29" t="n">
        <v>46134</v>
      </c>
      <c r="K809" s="31" t="n">
        <v>48202</v>
      </c>
      <c r="L809" s="30" t="s">
        <v>32</v>
      </c>
      <c r="M809" s="10" t="n">
        <v>4</v>
      </c>
      <c r="N809" s="12" t="n">
        <v>-2560</v>
      </c>
      <c r="O809" s="13" t="n">
        <v>-0.0505439491832278</v>
      </c>
      <c r="P809" s="15" t="n">
        <v>0.000975309275704772</v>
      </c>
      <c r="Q809" s="13" t="n">
        <v>-0.0503567578666392</v>
      </c>
      <c r="R809" s="15" t="n">
        <v>0.0201612903225807</v>
      </c>
      <c r="S809" s="32" t="n">
        <v>65275619200</v>
      </c>
      <c r="T809" s="15" t="n">
        <v>0.012</v>
      </c>
      <c r="U809" s="32" t="n">
        <v>62157841057.5</v>
      </c>
      <c r="V809" s="14" t="n">
        <v>0.986526560937859</v>
      </c>
      <c r="W809" s="13" t="n">
        <v>0</v>
      </c>
      <c r="X809" s="15" t="n">
        <v>0.0118577075098814</v>
      </c>
      <c r="Y809" s="13" t="n">
        <v>0.0221066127763943</v>
      </c>
      <c r="Z809" s="13" t="n">
        <v>0.0775422680126894</v>
      </c>
      <c r="AA809" s="30" t="s">
        <v>97</v>
      </c>
      <c r="AB809" s="28" t="s">
        <v>93</v>
      </c>
      <c r="AC809" s="28" t="s">
        <v>99</v>
      </c>
      <c r="AD809" s="28" t="s">
        <v>108</v>
      </c>
      <c r="AE809" s="28" t="s">
        <v>112</v>
      </c>
      <c r="AF809" s="28" t="s">
        <v>116</v>
      </c>
      <c r="AG809" s="30" t="s">
        <v>123</v>
      </c>
    </row>
    <row r="810" customFormat="false" ht="15" hidden="false" customHeight="false" outlineLevel="0" collapsed="false">
      <c r="A810" s="10" t="n">
        <v>2026</v>
      </c>
      <c r="B810" s="28" t="s">
        <v>78</v>
      </c>
      <c r="C810" s="29" t="n">
        <v>46128</v>
      </c>
      <c r="D810" s="30" t="s">
        <v>128</v>
      </c>
      <c r="E810" s="28" t="s">
        <v>539</v>
      </c>
      <c r="F810" s="30" t="s">
        <v>540</v>
      </c>
      <c r="G810" s="31" t="n">
        <v>45996</v>
      </c>
      <c r="H810" s="31" t="n">
        <v>2</v>
      </c>
      <c r="I810" s="31" t="n">
        <v>91992</v>
      </c>
      <c r="J810" s="29" t="n">
        <v>46129</v>
      </c>
      <c r="K810" s="31" t="n">
        <v>43756</v>
      </c>
      <c r="L810" s="30" t="s">
        <v>32</v>
      </c>
      <c r="M810" s="10" t="n">
        <v>1</v>
      </c>
      <c r="N810" s="12" t="n">
        <v>-4681</v>
      </c>
      <c r="O810" s="13" t="n">
        <v>-0.0508898114399204</v>
      </c>
      <c r="P810" s="15" t="n">
        <v>-0.019478888902175</v>
      </c>
      <c r="Q810" s="13" t="n">
        <v>-0.0542645602493262</v>
      </c>
      <c r="R810" s="15" t="n">
        <v>0.151629072681704</v>
      </c>
      <c r="S810" s="32" t="n">
        <v>64786329450</v>
      </c>
      <c r="T810" s="15" t="n">
        <v>0.134567901234568</v>
      </c>
      <c r="U810" s="32" t="n">
        <v>8528820807.5</v>
      </c>
      <c r="V810" s="14" t="n">
        <v>6.4613565617485</v>
      </c>
      <c r="W810" s="13" t="n">
        <v>0.131773399014778</v>
      </c>
      <c r="X810" s="15" t="n">
        <v>0.0141458106637649</v>
      </c>
      <c r="Y810" s="13" t="n">
        <v>0.0221066127763943</v>
      </c>
      <c r="Z810" s="13" t="n">
        <v>0.0775422680126894</v>
      </c>
      <c r="AA810" s="30" t="s">
        <v>97</v>
      </c>
      <c r="AB810" s="28" t="s">
        <v>93</v>
      </c>
      <c r="AC810" s="28" t="s">
        <v>103</v>
      </c>
      <c r="AD810" s="28" t="s">
        <v>108</v>
      </c>
      <c r="AE810" s="28" t="s">
        <v>114</v>
      </c>
      <c r="AF810" s="28" t="s">
        <v>119</v>
      </c>
      <c r="AG810" s="30" t="s">
        <v>122</v>
      </c>
    </row>
    <row r="811" customFormat="false" ht="15" hidden="false" customHeight="false" outlineLevel="0" collapsed="false">
      <c r="A811" s="10" t="n">
        <v>2026</v>
      </c>
      <c r="B811" s="28" t="s">
        <v>78</v>
      </c>
      <c r="C811" s="29" t="n">
        <v>46128</v>
      </c>
      <c r="D811" s="30" t="s">
        <v>128</v>
      </c>
      <c r="E811" s="28" t="s">
        <v>729</v>
      </c>
      <c r="F811" s="28" t="s">
        <v>730</v>
      </c>
      <c r="G811" s="31" t="n">
        <v>15546</v>
      </c>
      <c r="H811" s="31" t="n">
        <v>6</v>
      </c>
      <c r="I811" s="31" t="n">
        <v>93273</v>
      </c>
      <c r="J811" s="29" t="n">
        <v>46129</v>
      </c>
      <c r="K811" s="31" t="n">
        <v>14795</v>
      </c>
      <c r="L811" s="30" t="s">
        <v>32</v>
      </c>
      <c r="M811" s="10" t="n">
        <v>1</v>
      </c>
      <c r="N811" s="12" t="n">
        <v>-4707</v>
      </c>
      <c r="O811" s="13" t="n">
        <v>-0.0504634765106111</v>
      </c>
      <c r="P811" s="15" t="n">
        <v>0.00865007497332049</v>
      </c>
      <c r="Q811" s="13" t="n">
        <v>-0.0897704999443569</v>
      </c>
      <c r="R811" s="15" t="n">
        <v>0.0557443915703604</v>
      </c>
      <c r="S811" s="32" t="n">
        <v>60213770150</v>
      </c>
      <c r="T811" s="15" t="n">
        <v>0.0381016042780749</v>
      </c>
      <c r="U811" s="32" t="n">
        <v>15182805027</v>
      </c>
      <c r="V811" s="14" t="n">
        <v>3.63412308060015</v>
      </c>
      <c r="W811" s="13" t="n">
        <v>0.0422818791946309</v>
      </c>
      <c r="X811" s="15" t="n">
        <v>0.0946555054732776</v>
      </c>
      <c r="Y811" s="13" t="n">
        <v>0.0221066127763943</v>
      </c>
      <c r="Z811" s="13" t="n">
        <v>0.0775422680126894</v>
      </c>
      <c r="AA811" s="30" t="s">
        <v>97</v>
      </c>
      <c r="AB811" s="28" t="s">
        <v>93</v>
      </c>
      <c r="AC811" s="28" t="s">
        <v>101</v>
      </c>
      <c r="AD811" s="28" t="s">
        <v>108</v>
      </c>
      <c r="AE811" s="28" t="s">
        <v>113</v>
      </c>
      <c r="AF811" s="28" t="s">
        <v>118</v>
      </c>
      <c r="AG811" s="30" t="s">
        <v>122</v>
      </c>
    </row>
    <row r="812" customFormat="false" ht="15" hidden="false" customHeight="false" outlineLevel="0" collapsed="false">
      <c r="A812" s="10" t="n">
        <v>2026</v>
      </c>
      <c r="B812" s="28" t="s">
        <v>78</v>
      </c>
      <c r="C812" s="29" t="n">
        <v>46128</v>
      </c>
      <c r="D812" s="30" t="s">
        <v>128</v>
      </c>
      <c r="E812" s="28" t="s">
        <v>961</v>
      </c>
      <c r="F812" s="30" t="s">
        <v>962</v>
      </c>
      <c r="G812" s="31" t="n">
        <v>30981</v>
      </c>
      <c r="H812" s="31" t="n">
        <v>3</v>
      </c>
      <c r="I812" s="31" t="n">
        <v>92943</v>
      </c>
      <c r="J812" s="29" t="n">
        <v>46134</v>
      </c>
      <c r="K812" s="31" t="n">
        <v>29171</v>
      </c>
      <c r="L812" s="30" t="s">
        <v>32</v>
      </c>
      <c r="M812" s="10" t="n">
        <v>4</v>
      </c>
      <c r="N812" s="12" t="n">
        <v>-5633</v>
      </c>
      <c r="O812" s="13" t="n">
        <v>-0.0606022204774224</v>
      </c>
      <c r="P812" s="15" t="n">
        <v>0.111973648322598</v>
      </c>
      <c r="Q812" s="13" t="n">
        <v>-0.0574853256598006</v>
      </c>
      <c r="R812" s="15" t="n">
        <v>0.00978792822185981</v>
      </c>
      <c r="S812" s="32" t="n">
        <v>57303925000</v>
      </c>
      <c r="T812" s="15" t="n">
        <v>0.00978792822185981</v>
      </c>
      <c r="U812" s="32" t="n">
        <v>34654872407.5</v>
      </c>
      <c r="V812" s="14" t="n">
        <v>1.50330245467003</v>
      </c>
      <c r="W812" s="13" t="n">
        <v>-0.00960000000000005</v>
      </c>
      <c r="X812" s="15" t="n">
        <v>0.0436187399030694</v>
      </c>
      <c r="Y812" s="13" t="n">
        <v>0.0221066127763943</v>
      </c>
      <c r="Z812" s="13" t="n">
        <v>0.0775422680126894</v>
      </c>
      <c r="AA812" s="30" t="s">
        <v>97</v>
      </c>
      <c r="AB812" s="28" t="s">
        <v>93</v>
      </c>
      <c r="AC812" s="28" t="s">
        <v>99</v>
      </c>
      <c r="AD812" s="28" t="s">
        <v>108</v>
      </c>
      <c r="AE812" s="28" t="s">
        <v>112</v>
      </c>
      <c r="AF812" s="28" t="s">
        <v>116</v>
      </c>
      <c r="AG812" s="30" t="s">
        <v>123</v>
      </c>
    </row>
    <row r="813" customFormat="false" ht="15" hidden="false" customHeight="false" outlineLevel="0" collapsed="false">
      <c r="A813" s="10" t="n">
        <v>2026</v>
      </c>
      <c r="B813" s="28" t="s">
        <v>78</v>
      </c>
      <c r="C813" s="29" t="n">
        <v>46128</v>
      </c>
      <c r="D813" s="30" t="s">
        <v>128</v>
      </c>
      <c r="E813" s="28" t="s">
        <v>965</v>
      </c>
      <c r="F813" s="30" t="s">
        <v>966</v>
      </c>
      <c r="G813" s="31" t="n">
        <v>85385</v>
      </c>
      <c r="H813" s="31" t="n">
        <v>1</v>
      </c>
      <c r="I813" s="31" t="n">
        <v>85385</v>
      </c>
      <c r="J813" s="29" t="n">
        <v>46148</v>
      </c>
      <c r="K813" s="31" t="n">
        <v>81219</v>
      </c>
      <c r="L813" s="30" t="s">
        <v>32</v>
      </c>
      <c r="M813" s="10" t="n">
        <v>12</v>
      </c>
      <c r="N813" s="12" t="n">
        <v>-4354</v>
      </c>
      <c r="O813" s="13" t="n">
        <v>-0.0509927118602383</v>
      </c>
      <c r="P813" s="15" t="n">
        <v>0.0376493377665712</v>
      </c>
      <c r="Q813" s="13" t="n">
        <v>-0.051358957572322</v>
      </c>
      <c r="R813" s="15" t="n">
        <v>0.0609452736318408</v>
      </c>
      <c r="S813" s="32" t="n">
        <v>51317503600</v>
      </c>
      <c r="T813" s="15" t="n">
        <v>0.00471142520612489</v>
      </c>
      <c r="U813" s="32" t="n">
        <v>8726781735</v>
      </c>
      <c r="V813" s="14" t="n">
        <v>5.46713242991741</v>
      </c>
      <c r="W813" s="13" t="n">
        <v>-0.0306818181818181</v>
      </c>
      <c r="X813" s="15" t="n">
        <v>0.0328253223915591</v>
      </c>
      <c r="Y813" s="13" t="n">
        <v>0.0221066127763943</v>
      </c>
      <c r="Z813" s="13" t="n">
        <v>0.0775422680126894</v>
      </c>
      <c r="AA813" s="30" t="s">
        <v>97</v>
      </c>
      <c r="AB813" s="28" t="s">
        <v>93</v>
      </c>
      <c r="AC813" s="28" t="s">
        <v>101</v>
      </c>
      <c r="AD813" s="28" t="s">
        <v>108</v>
      </c>
      <c r="AE813" s="28" t="s">
        <v>112</v>
      </c>
      <c r="AF813" s="28" t="s">
        <v>119</v>
      </c>
      <c r="AG813" s="30" t="s">
        <v>123</v>
      </c>
    </row>
    <row r="814" customFormat="false" ht="15" hidden="false" customHeight="false" outlineLevel="0" collapsed="false">
      <c r="A814" s="10" t="n">
        <v>2026</v>
      </c>
      <c r="B814" s="28" t="s">
        <v>78</v>
      </c>
      <c r="C814" s="29" t="n">
        <v>46128</v>
      </c>
      <c r="D814" s="30" t="s">
        <v>128</v>
      </c>
      <c r="E814" s="28" t="s">
        <v>1509</v>
      </c>
      <c r="F814" s="30" t="s">
        <v>1510</v>
      </c>
      <c r="G814" s="31" t="n">
        <v>4024</v>
      </c>
      <c r="H814" s="31" t="n">
        <v>24</v>
      </c>
      <c r="I814" s="31" t="n">
        <v>96576</v>
      </c>
      <c r="J814" s="29" t="n">
        <v>46129</v>
      </c>
      <c r="K814" s="31" t="n">
        <v>3826</v>
      </c>
      <c r="L814" s="30" t="s">
        <v>32</v>
      </c>
      <c r="M814" s="10" t="n">
        <v>1</v>
      </c>
      <c r="N814" s="12" t="n">
        <v>-4960</v>
      </c>
      <c r="O814" s="13" t="n">
        <v>-0.0513615410708693</v>
      </c>
      <c r="P814" s="15" t="n">
        <v>0.011426384560713</v>
      </c>
      <c r="Q814" s="13" t="n">
        <v>-0.0581557745736849</v>
      </c>
      <c r="R814" s="15" t="n">
        <v>0.137199434229137</v>
      </c>
      <c r="S814" s="32" t="n">
        <v>48010108260</v>
      </c>
      <c r="T814" s="15" t="n">
        <v>0.0320924261874198</v>
      </c>
      <c r="U814" s="32" t="n">
        <v>8741719677.25</v>
      </c>
      <c r="V814" s="14" t="n">
        <v>4.90789952008432</v>
      </c>
      <c r="W814" s="13" t="n">
        <v>0.116666666666667</v>
      </c>
      <c r="X814" s="15" t="n">
        <v>0.0646766169154229</v>
      </c>
      <c r="Y814" s="13" t="n">
        <v>0.0221066127763943</v>
      </c>
      <c r="Z814" s="13" t="n">
        <v>0.0775422680126894</v>
      </c>
      <c r="AA814" s="30" t="s">
        <v>97</v>
      </c>
      <c r="AB814" s="28" t="s">
        <v>93</v>
      </c>
      <c r="AC814" s="28" t="s">
        <v>102</v>
      </c>
      <c r="AD814" s="28" t="s">
        <v>107</v>
      </c>
      <c r="AE814" s="28" t="s">
        <v>113</v>
      </c>
      <c r="AF814" s="28" t="s">
        <v>118</v>
      </c>
      <c r="AG814" s="30" t="s">
        <v>122</v>
      </c>
    </row>
    <row r="815" customFormat="false" ht="15" hidden="false" customHeight="false" outlineLevel="0" collapsed="false">
      <c r="A815" s="10" t="n">
        <v>2026</v>
      </c>
      <c r="B815" s="28" t="s">
        <v>78</v>
      </c>
      <c r="C815" s="29" t="n">
        <v>46128</v>
      </c>
      <c r="D815" s="30" t="s">
        <v>128</v>
      </c>
      <c r="E815" s="28" t="s">
        <v>177</v>
      </c>
      <c r="F815" s="30" t="s">
        <v>178</v>
      </c>
      <c r="G815" s="31" t="n">
        <v>46046</v>
      </c>
      <c r="H815" s="31" t="n">
        <v>2</v>
      </c>
      <c r="I815" s="31" t="n">
        <v>92092</v>
      </c>
      <c r="J815" s="29" t="n">
        <v>46132</v>
      </c>
      <c r="K815" s="31" t="n">
        <v>43806</v>
      </c>
      <c r="L815" s="30" t="s">
        <v>32</v>
      </c>
      <c r="M815" s="10" t="n">
        <v>2</v>
      </c>
      <c r="N815" s="12" t="n">
        <v>-4682</v>
      </c>
      <c r="O815" s="13" t="n">
        <v>-0.0508391634995437</v>
      </c>
      <c r="P815" s="15" t="n">
        <v>0.00334448160535139</v>
      </c>
      <c r="Q815" s="13" t="n">
        <v>-0.0813534291795161</v>
      </c>
      <c r="R815" s="15" t="n">
        <v>0.0478359908883828</v>
      </c>
      <c r="S815" s="32" t="n">
        <v>47802694000</v>
      </c>
      <c r="T815" s="15" t="n">
        <v>0.00217864923747269</v>
      </c>
      <c r="U815" s="32" t="n">
        <v>31443778565</v>
      </c>
      <c r="V815" s="14" t="n">
        <v>1.32227346920287</v>
      </c>
      <c r="W815" s="13" t="n">
        <v>0.0419026047565119</v>
      </c>
      <c r="X815" s="15" t="n">
        <v>0.0163043478260869</v>
      </c>
      <c r="Y815" s="13" t="n">
        <v>0.0221066127763943</v>
      </c>
      <c r="Z815" s="13" t="n">
        <v>0.0775422680126894</v>
      </c>
      <c r="AA815" s="30" t="s">
        <v>97</v>
      </c>
      <c r="AB815" s="28" t="s">
        <v>93</v>
      </c>
      <c r="AC815" s="28" t="s">
        <v>100</v>
      </c>
      <c r="AD815" s="28" t="s">
        <v>107</v>
      </c>
      <c r="AE815" s="28" t="s">
        <v>112</v>
      </c>
      <c r="AF815" s="28" t="s">
        <v>116</v>
      </c>
      <c r="AG815" s="30" t="s">
        <v>122</v>
      </c>
    </row>
    <row r="816" customFormat="false" ht="15" hidden="false" customHeight="false" outlineLevel="0" collapsed="false">
      <c r="A816" s="10" t="n">
        <v>2026</v>
      </c>
      <c r="B816" s="28" t="s">
        <v>78</v>
      </c>
      <c r="C816" s="29" t="n">
        <v>46128</v>
      </c>
      <c r="D816" s="30" t="s">
        <v>128</v>
      </c>
      <c r="E816" s="28" t="s">
        <v>203</v>
      </c>
      <c r="F816" s="28" t="s">
        <v>204</v>
      </c>
      <c r="G816" s="31" t="n">
        <v>21021</v>
      </c>
      <c r="H816" s="31" t="n">
        <v>4</v>
      </c>
      <c r="I816" s="31" t="n">
        <v>84084</v>
      </c>
      <c r="J816" s="29" t="n">
        <v>46132</v>
      </c>
      <c r="K816" s="31" t="n">
        <v>19980</v>
      </c>
      <c r="L816" s="30" t="s">
        <v>32</v>
      </c>
      <c r="M816" s="10" t="n">
        <v>2</v>
      </c>
      <c r="N816" s="12" t="n">
        <v>-4348</v>
      </c>
      <c r="O816" s="13" t="n">
        <v>-0.0517154345654344</v>
      </c>
      <c r="P816" s="15" t="n">
        <v>0.0251653108795968</v>
      </c>
      <c r="Q816" s="13" t="n">
        <v>-0.0514247657104798</v>
      </c>
      <c r="R816" s="15" t="n">
        <v>0.0897768552153606</v>
      </c>
      <c r="S816" s="32" t="n">
        <v>34553190000</v>
      </c>
      <c r="T816" s="15" t="n">
        <v>0.0344827586206897</v>
      </c>
      <c r="U816" s="32" t="n">
        <v>16191498684</v>
      </c>
      <c r="V816" s="14" t="n">
        <v>1.73429142607759</v>
      </c>
      <c r="W816" s="13" t="n">
        <v>0.0676156583629892</v>
      </c>
      <c r="X816" s="15" t="n">
        <v>0.0119047619047619</v>
      </c>
      <c r="Y816" s="13" t="n">
        <v>0.0221066127763943</v>
      </c>
      <c r="Z816" s="13" t="n">
        <v>0.0775422680126894</v>
      </c>
      <c r="AA816" s="30" t="s">
        <v>97</v>
      </c>
      <c r="AB816" s="28" t="s">
        <v>93</v>
      </c>
      <c r="AC816" s="28" t="s">
        <v>101</v>
      </c>
      <c r="AD816" s="28" t="s">
        <v>107</v>
      </c>
      <c r="AE816" s="28" t="s">
        <v>113</v>
      </c>
      <c r="AF816" s="28" t="s">
        <v>116</v>
      </c>
      <c r="AG816" s="30" t="s">
        <v>122</v>
      </c>
    </row>
    <row r="817" customFormat="false" ht="15" hidden="false" customHeight="false" outlineLevel="0" collapsed="false">
      <c r="A817" s="10" t="n">
        <v>2026</v>
      </c>
      <c r="B817" s="28" t="s">
        <v>78</v>
      </c>
      <c r="C817" s="29" t="n">
        <v>46128</v>
      </c>
      <c r="D817" s="30" t="s">
        <v>128</v>
      </c>
      <c r="E817" s="28" t="s">
        <v>1455</v>
      </c>
      <c r="F817" s="30" t="s">
        <v>1456</v>
      </c>
      <c r="G817" s="31" t="n">
        <v>71171</v>
      </c>
      <c r="H817" s="31" t="n">
        <v>1</v>
      </c>
      <c r="I817" s="31" t="n">
        <v>71171</v>
      </c>
      <c r="J817" s="29" t="n">
        <v>46129</v>
      </c>
      <c r="K817" s="31" t="n">
        <v>67732</v>
      </c>
      <c r="L817" s="30" t="s">
        <v>32</v>
      </c>
      <c r="M817" s="10" t="n">
        <v>1</v>
      </c>
      <c r="N817" s="12" t="n">
        <v>-3595</v>
      </c>
      <c r="O817" s="13" t="n">
        <v>-0.050514884482606</v>
      </c>
      <c r="P817" s="15" t="n">
        <v>0.00602632248201873</v>
      </c>
      <c r="Q817" s="13" t="n">
        <v>-0.0557965241509544</v>
      </c>
      <c r="R817" s="15" t="n">
        <v>0.171334431630972</v>
      </c>
      <c r="S817" s="32" t="n">
        <v>34181893800</v>
      </c>
      <c r="T817" s="15" t="n">
        <v>0.165573770491803</v>
      </c>
      <c r="U817" s="32" t="n">
        <v>5610093320</v>
      </c>
      <c r="V817" s="14" t="n">
        <v>4.84899771397391</v>
      </c>
      <c r="W817" s="13" t="n">
        <v>0.159869494290375</v>
      </c>
      <c r="X817" s="15" t="n">
        <v>0.00421940928270037</v>
      </c>
      <c r="Y817" s="13" t="n">
        <v>0.0221066127763943</v>
      </c>
      <c r="Z817" s="13" t="n">
        <v>0.0775422680126894</v>
      </c>
      <c r="AA817" s="30" t="s">
        <v>97</v>
      </c>
      <c r="AB817" s="28" t="s">
        <v>93</v>
      </c>
      <c r="AC817" s="28" t="s">
        <v>103</v>
      </c>
      <c r="AD817" s="28" t="s">
        <v>107</v>
      </c>
      <c r="AE817" s="28" t="s">
        <v>114</v>
      </c>
      <c r="AF817" s="28" t="s">
        <v>118</v>
      </c>
      <c r="AG817" s="30" t="s">
        <v>122</v>
      </c>
    </row>
    <row r="818" customFormat="false" ht="15" hidden="false" customHeight="false" outlineLevel="0" collapsed="false">
      <c r="A818" s="10" t="n">
        <v>2026</v>
      </c>
      <c r="B818" s="28" t="s">
        <v>78</v>
      </c>
      <c r="C818" s="29" t="n">
        <v>46128</v>
      </c>
      <c r="D818" s="30" t="s">
        <v>128</v>
      </c>
      <c r="E818" s="28" t="s">
        <v>1271</v>
      </c>
      <c r="F818" s="28" t="s">
        <v>1272</v>
      </c>
      <c r="G818" s="31" t="n">
        <v>7307</v>
      </c>
      <c r="H818" s="31" t="n">
        <v>13</v>
      </c>
      <c r="I818" s="31" t="n">
        <v>94995</v>
      </c>
      <c r="J818" s="29" t="n">
        <v>46136</v>
      </c>
      <c r="K818" s="31" t="n">
        <v>8770</v>
      </c>
      <c r="L818" s="30" t="s">
        <v>31</v>
      </c>
      <c r="M818" s="10" t="n">
        <v>6</v>
      </c>
      <c r="N818" s="12" t="n">
        <v>18756</v>
      </c>
      <c r="O818" s="13" t="n">
        <v>0.19743932847974</v>
      </c>
      <c r="P818" s="15" t="n">
        <v>0.389021936967143</v>
      </c>
      <c r="Q818" s="13" t="n">
        <v>-0.0215264187866927</v>
      </c>
      <c r="R818" s="15" t="n">
        <v>0.0398860398860399</v>
      </c>
      <c r="S818" s="32" t="n">
        <v>29984049200</v>
      </c>
      <c r="T818" s="15" t="n">
        <v>0.028169014084507</v>
      </c>
      <c r="U818" s="32" t="n">
        <v>12508763742.5</v>
      </c>
      <c r="V818" s="14" t="n">
        <v>2.20632295639898</v>
      </c>
      <c r="W818" s="13" t="n">
        <v>0.0369318181818181</v>
      </c>
      <c r="X818" s="15" t="n">
        <v>0.015068493150685</v>
      </c>
      <c r="Y818" s="13" t="n">
        <v>0.0221066127763943</v>
      </c>
      <c r="Z818" s="13" t="n">
        <v>0.0775422680126894</v>
      </c>
      <c r="AA818" s="30" t="s">
        <v>97</v>
      </c>
      <c r="AB818" s="28" t="s">
        <v>93</v>
      </c>
      <c r="AC818" s="28" t="s">
        <v>100</v>
      </c>
      <c r="AD818" s="28" t="s">
        <v>106</v>
      </c>
      <c r="AE818" s="28" t="s">
        <v>113</v>
      </c>
      <c r="AF818" s="28" t="s">
        <v>117</v>
      </c>
      <c r="AG818" s="30" t="s">
        <v>122</v>
      </c>
    </row>
    <row r="819" customFormat="false" ht="15" hidden="false" customHeight="false" outlineLevel="0" collapsed="false">
      <c r="A819" s="10" t="n">
        <v>2026</v>
      </c>
      <c r="B819" s="28" t="s">
        <v>78</v>
      </c>
      <c r="C819" s="29" t="n">
        <v>46128</v>
      </c>
      <c r="D819" s="30" t="s">
        <v>128</v>
      </c>
      <c r="E819" s="28" t="s">
        <v>1099</v>
      </c>
      <c r="F819" s="30" t="s">
        <v>1100</v>
      </c>
      <c r="G819" s="31" t="n">
        <v>36136</v>
      </c>
      <c r="H819" s="31" t="n">
        <v>2</v>
      </c>
      <c r="I819" s="31" t="n">
        <v>72272</v>
      </c>
      <c r="J819" s="29" t="n">
        <v>46160</v>
      </c>
      <c r="K819" s="31" t="n">
        <v>34366</v>
      </c>
      <c r="L819" s="30" t="s">
        <v>32</v>
      </c>
      <c r="M819" s="10" t="n">
        <v>20</v>
      </c>
      <c r="N819" s="12" t="n">
        <v>-3700</v>
      </c>
      <c r="O819" s="13" t="n">
        <v>-0.0511899860527284</v>
      </c>
      <c r="P819" s="15" t="n">
        <v>0.17749286724356</v>
      </c>
      <c r="Q819" s="13" t="n">
        <v>-0.0867857903868984</v>
      </c>
      <c r="R819" s="15" t="n">
        <v>0.0664697193500738</v>
      </c>
      <c r="S819" s="32" t="n">
        <v>29599581300</v>
      </c>
      <c r="T819" s="15" t="n">
        <v>0.0299572039942939</v>
      </c>
      <c r="U819" s="32" t="n">
        <v>9359523045</v>
      </c>
      <c r="V819" s="14" t="n">
        <v>2.83239292507156</v>
      </c>
      <c r="W819" s="13" t="n">
        <v>0.0680473372781065</v>
      </c>
      <c r="X819" s="15" t="n">
        <v>0.0110803324099722</v>
      </c>
      <c r="Y819" s="13" t="n">
        <v>0.0221066127763943</v>
      </c>
      <c r="Z819" s="13" t="n">
        <v>0.0775422680126894</v>
      </c>
      <c r="AA819" s="30" t="s">
        <v>97</v>
      </c>
      <c r="AB819" s="28" t="s">
        <v>93</v>
      </c>
      <c r="AC819" s="28" t="s">
        <v>101</v>
      </c>
      <c r="AD819" s="28" t="s">
        <v>106</v>
      </c>
      <c r="AE819" s="28" t="s">
        <v>113</v>
      </c>
      <c r="AF819" s="28" t="s">
        <v>117</v>
      </c>
      <c r="AG819" s="30" t="s">
        <v>122</v>
      </c>
    </row>
    <row r="820" customFormat="false" ht="15" hidden="false" customHeight="false" outlineLevel="0" collapsed="false">
      <c r="A820" s="10" t="n">
        <v>2026</v>
      </c>
      <c r="B820" s="28" t="s">
        <v>78</v>
      </c>
      <c r="C820" s="29" t="n">
        <v>46128</v>
      </c>
      <c r="D820" s="30" t="s">
        <v>128</v>
      </c>
      <c r="E820" s="28" t="s">
        <v>1115</v>
      </c>
      <c r="F820" s="30" t="s">
        <v>1116</v>
      </c>
      <c r="G820" s="31" t="n">
        <v>11211</v>
      </c>
      <c r="H820" s="31" t="n">
        <v>8</v>
      </c>
      <c r="I820" s="31" t="n">
        <v>89690</v>
      </c>
      <c r="J820" s="29" t="n">
        <v>46132</v>
      </c>
      <c r="K820" s="31" t="n">
        <v>13460</v>
      </c>
      <c r="L820" s="30" t="s">
        <v>31</v>
      </c>
      <c r="M820" s="10" t="n">
        <v>2</v>
      </c>
      <c r="N820" s="12" t="n">
        <v>17745</v>
      </c>
      <c r="O820" s="13" t="n">
        <v>0.197853871128871</v>
      </c>
      <c r="P820" s="15" t="n">
        <v>0.256778935350364</v>
      </c>
      <c r="Q820" s="13" t="n">
        <v>-0.0429213643499357</v>
      </c>
      <c r="R820" s="15" t="n">
        <v>0.051643192488263</v>
      </c>
      <c r="S820" s="32" t="n">
        <v>28948315200</v>
      </c>
      <c r="T820" s="15" t="n">
        <v>0.051643192488263</v>
      </c>
      <c r="U820" s="32" t="n">
        <v>5493907715</v>
      </c>
      <c r="V820" s="14" t="n">
        <v>4.61109433144983</v>
      </c>
      <c r="W820" s="13" t="n">
        <v>0.0418604651162791</v>
      </c>
      <c r="X820" s="15" t="n">
        <v>0.0607142857142857</v>
      </c>
      <c r="Y820" s="13" t="n">
        <v>0.0221066127763943</v>
      </c>
      <c r="Z820" s="13" t="n">
        <v>0.0775422680126894</v>
      </c>
      <c r="AA820" s="30" t="s">
        <v>97</v>
      </c>
      <c r="AB820" s="28" t="s">
        <v>93</v>
      </c>
      <c r="AC820" s="28" t="s">
        <v>101</v>
      </c>
      <c r="AD820" s="28" t="s">
        <v>106</v>
      </c>
      <c r="AE820" s="28" t="s">
        <v>101</v>
      </c>
      <c r="AF820" s="28" t="s">
        <v>118</v>
      </c>
      <c r="AG820" s="30" t="s">
        <v>122</v>
      </c>
    </row>
    <row r="821" customFormat="false" ht="15" hidden="false" customHeight="false" outlineLevel="0" collapsed="false">
      <c r="A821" s="10" t="n">
        <v>2026</v>
      </c>
      <c r="B821" s="28" t="s">
        <v>78</v>
      </c>
      <c r="C821" s="29" t="n">
        <v>46129</v>
      </c>
      <c r="D821" s="30" t="s">
        <v>129</v>
      </c>
      <c r="E821" s="28" t="s">
        <v>851</v>
      </c>
      <c r="F821" s="30" t="s">
        <v>852</v>
      </c>
      <c r="G821" s="31" t="n">
        <v>4164</v>
      </c>
      <c r="H821" s="31" t="n">
        <v>23</v>
      </c>
      <c r="I821" s="31" t="n">
        <v>95776</v>
      </c>
      <c r="J821" s="29" t="n">
        <v>46146</v>
      </c>
      <c r="K821" s="31" t="n">
        <v>5000</v>
      </c>
      <c r="L821" s="30" t="s">
        <v>31</v>
      </c>
      <c r="M821" s="10" t="n">
        <v>10</v>
      </c>
      <c r="N821" s="12" t="n">
        <v>18963</v>
      </c>
      <c r="O821" s="13" t="n">
        <v>0.197990801506186</v>
      </c>
      <c r="P821" s="15" t="n">
        <v>0.212729578114194</v>
      </c>
      <c r="Q821" s="13" t="n">
        <v>-0.0322177822177822</v>
      </c>
      <c r="R821" s="15" t="n">
        <v>0.0183598531211751</v>
      </c>
      <c r="S821" s="32" t="n">
        <v>108110383680</v>
      </c>
      <c r="T821" s="15" t="n">
        <v>0.00483091787439616</v>
      </c>
      <c r="U821" s="32" t="n">
        <v>28019384503.25</v>
      </c>
      <c r="V821" s="14" t="n">
        <v>3.66561335823164</v>
      </c>
      <c r="W821" s="13" t="n">
        <v>0.0133982947624847</v>
      </c>
      <c r="X821" s="15" t="n">
        <v>0.0504807692307692</v>
      </c>
      <c r="Y821" s="13" t="n">
        <v>-0.00548180628167139</v>
      </c>
      <c r="Z821" s="13" t="n">
        <v>0.0568454326516887</v>
      </c>
      <c r="AA821" s="30" t="s">
        <v>97</v>
      </c>
      <c r="AB821" s="28" t="s">
        <v>93</v>
      </c>
      <c r="AC821" s="28" t="s">
        <v>99</v>
      </c>
      <c r="AD821" s="28" t="s">
        <v>109</v>
      </c>
      <c r="AE821" s="28" t="s">
        <v>112</v>
      </c>
      <c r="AF821" s="28" t="s">
        <v>118</v>
      </c>
      <c r="AG821" s="30" t="s">
        <v>122</v>
      </c>
    </row>
    <row r="822" customFormat="false" ht="15" hidden="false" customHeight="false" outlineLevel="0" collapsed="false">
      <c r="A822" s="10" t="n">
        <v>2026</v>
      </c>
      <c r="B822" s="28" t="s">
        <v>78</v>
      </c>
      <c r="C822" s="29" t="n">
        <v>46129</v>
      </c>
      <c r="D822" s="30" t="s">
        <v>129</v>
      </c>
      <c r="E822" s="28" t="s">
        <v>1483</v>
      </c>
      <c r="F822" s="30" t="s">
        <v>1484</v>
      </c>
      <c r="G822" s="31" t="n">
        <v>12042</v>
      </c>
      <c r="H822" s="31" t="n">
        <v>8</v>
      </c>
      <c r="I822" s="31" t="n">
        <v>96336</v>
      </c>
      <c r="J822" s="29" t="n">
        <v>46135</v>
      </c>
      <c r="K822" s="31" t="n">
        <v>11459</v>
      </c>
      <c r="L822" s="30" t="s">
        <v>32</v>
      </c>
      <c r="M822" s="10" t="n">
        <v>4</v>
      </c>
      <c r="N822" s="12" t="n">
        <v>-4880</v>
      </c>
      <c r="O822" s="13" t="n">
        <v>-0.0506511064994856</v>
      </c>
      <c r="P822" s="15" t="n">
        <v>0.0911781485347571</v>
      </c>
      <c r="Q822" s="13" t="n">
        <v>-0.0616200092509318</v>
      </c>
      <c r="R822" s="15" t="n">
        <v>0.148997134670487</v>
      </c>
      <c r="S822" s="32" t="n">
        <v>52754762010</v>
      </c>
      <c r="T822" s="15" t="n">
        <v>0.0469973890339426</v>
      </c>
      <c r="U822" s="32" t="n">
        <v>3215167896.5</v>
      </c>
      <c r="V822" s="14" t="n">
        <v>14.3820364379587</v>
      </c>
      <c r="W822" s="13" t="n">
        <v>0.147900763358779</v>
      </c>
      <c r="X822" s="15" t="n">
        <v>0.0490440565253534</v>
      </c>
      <c r="Y822" s="13" t="n">
        <v>-0.00548180628167139</v>
      </c>
      <c r="Z822" s="13" t="n">
        <v>0.0568454326516887</v>
      </c>
      <c r="AA822" s="30" t="s">
        <v>97</v>
      </c>
      <c r="AB822" s="28" t="s">
        <v>93</v>
      </c>
      <c r="AC822" s="28" t="s">
        <v>102</v>
      </c>
      <c r="AD822" s="28" t="s">
        <v>108</v>
      </c>
      <c r="AE822" s="28" t="s">
        <v>113</v>
      </c>
      <c r="AF822" s="28" t="s">
        <v>120</v>
      </c>
      <c r="AG822" s="30" t="s">
        <v>122</v>
      </c>
    </row>
    <row r="823" customFormat="false" ht="15" hidden="false" customHeight="false" outlineLevel="0" collapsed="false">
      <c r="A823" s="10" t="n">
        <v>2026</v>
      </c>
      <c r="B823" s="28" t="s">
        <v>78</v>
      </c>
      <c r="C823" s="29" t="n">
        <v>46129</v>
      </c>
      <c r="D823" s="30" t="s">
        <v>129</v>
      </c>
      <c r="E823" s="28" t="s">
        <v>1511</v>
      </c>
      <c r="F823" s="30" t="s">
        <v>1512</v>
      </c>
      <c r="G823" s="31" t="n">
        <v>22973</v>
      </c>
      <c r="H823" s="31" t="n">
        <v>4</v>
      </c>
      <c r="I823" s="31" t="n">
        <v>91892</v>
      </c>
      <c r="J823" s="29" t="n">
        <v>46135</v>
      </c>
      <c r="K823" s="31" t="n">
        <v>21828</v>
      </c>
      <c r="L823" s="30" t="s">
        <v>32</v>
      </c>
      <c r="M823" s="10" t="n">
        <v>4</v>
      </c>
      <c r="N823" s="12" t="n">
        <v>-4781</v>
      </c>
      <c r="O823" s="13" t="n">
        <v>-0.052025380501851</v>
      </c>
      <c r="P823" s="15" t="n">
        <v>0.127412892118775</v>
      </c>
      <c r="Q823" s="13" t="n">
        <v>-0.0684696567049508</v>
      </c>
      <c r="R823" s="15" t="n">
        <v>0.0902612826603326</v>
      </c>
      <c r="S823" s="32" t="n">
        <v>48433473450</v>
      </c>
      <c r="T823" s="15" t="n">
        <v>0.0408163265306123</v>
      </c>
      <c r="U823" s="32" t="n">
        <v>20920933497.5</v>
      </c>
      <c r="V823" s="14" t="n">
        <v>2.00138980727389</v>
      </c>
      <c r="W823" s="13" t="n">
        <v>0.06993006993007</v>
      </c>
      <c r="X823" s="15" t="n">
        <v>0.065359477124183</v>
      </c>
      <c r="Y823" s="13" t="n">
        <v>-0.00548180628167139</v>
      </c>
      <c r="Z823" s="13" t="n">
        <v>0.0568454326516887</v>
      </c>
      <c r="AA823" s="30" t="s">
        <v>97</v>
      </c>
      <c r="AB823" s="28" t="s">
        <v>93</v>
      </c>
      <c r="AC823" s="28" t="s">
        <v>101</v>
      </c>
      <c r="AD823" s="28" t="s">
        <v>107</v>
      </c>
      <c r="AE823" s="28" t="s">
        <v>113</v>
      </c>
      <c r="AF823" s="28" t="s">
        <v>117</v>
      </c>
      <c r="AG823" s="30" t="s">
        <v>122</v>
      </c>
    </row>
    <row r="824" customFormat="false" ht="15" hidden="false" customHeight="false" outlineLevel="0" collapsed="false">
      <c r="A824" s="10" t="n">
        <v>2026</v>
      </c>
      <c r="B824" s="28" t="s">
        <v>78</v>
      </c>
      <c r="C824" s="29" t="n">
        <v>46129</v>
      </c>
      <c r="D824" s="30" t="s">
        <v>129</v>
      </c>
      <c r="E824" s="28" t="s">
        <v>503</v>
      </c>
      <c r="F824" s="28" t="s">
        <v>504</v>
      </c>
      <c r="G824" s="31" t="n">
        <v>12753</v>
      </c>
      <c r="H824" s="31" t="n">
        <v>7</v>
      </c>
      <c r="I824" s="31" t="n">
        <v>89269</v>
      </c>
      <c r="J824" s="29" t="n">
        <v>46133</v>
      </c>
      <c r="K824" s="31" t="n">
        <v>15310</v>
      </c>
      <c r="L824" s="30" t="s">
        <v>31</v>
      </c>
      <c r="M824" s="10" t="n">
        <v>2</v>
      </c>
      <c r="N824" s="12" t="n">
        <v>17657</v>
      </c>
      <c r="O824" s="13" t="n">
        <v>0.19779518668145</v>
      </c>
      <c r="P824" s="15" t="n">
        <v>0.2789408393804</v>
      </c>
      <c r="Q824" s="13" t="n">
        <v>-0.0237392121222575</v>
      </c>
      <c r="R824" s="15" t="n">
        <v>0.0175718849840256</v>
      </c>
      <c r="S824" s="32" t="n">
        <v>44086693560</v>
      </c>
      <c r="T824" s="15" t="n">
        <v>0.00473186119873814</v>
      </c>
      <c r="U824" s="32" t="n">
        <v>18563034375</v>
      </c>
      <c r="V824" s="14" t="n">
        <v>2.24710211475046</v>
      </c>
      <c r="W824" s="13" t="n">
        <v>0.0135242641209228</v>
      </c>
      <c r="X824" s="15" t="n">
        <v>0.0400313971742543</v>
      </c>
      <c r="Y824" s="13" t="n">
        <v>-0.00548180628167139</v>
      </c>
      <c r="Z824" s="13" t="n">
        <v>0.0568454326516887</v>
      </c>
      <c r="AA824" s="30" t="s">
        <v>97</v>
      </c>
      <c r="AB824" s="28" t="s">
        <v>93</v>
      </c>
      <c r="AC824" s="28" t="s">
        <v>99</v>
      </c>
      <c r="AD824" s="28" t="s">
        <v>107</v>
      </c>
      <c r="AE824" s="28" t="s">
        <v>112</v>
      </c>
      <c r="AF824" s="28" t="s">
        <v>117</v>
      </c>
      <c r="AG824" s="30" t="s">
        <v>122</v>
      </c>
    </row>
    <row r="825" customFormat="false" ht="15" hidden="false" customHeight="false" outlineLevel="0" collapsed="false">
      <c r="A825" s="10" t="n">
        <v>2026</v>
      </c>
      <c r="B825" s="28" t="s">
        <v>78</v>
      </c>
      <c r="C825" s="29" t="n">
        <v>46129</v>
      </c>
      <c r="D825" s="30" t="s">
        <v>129</v>
      </c>
      <c r="E825" s="28" t="s">
        <v>561</v>
      </c>
      <c r="F825" s="28" t="s">
        <v>562</v>
      </c>
      <c r="G825" s="31" t="n">
        <v>2232</v>
      </c>
      <c r="H825" s="31" t="n">
        <v>44</v>
      </c>
      <c r="I825" s="31" t="n">
        <v>98218</v>
      </c>
      <c r="J825" s="29" t="n">
        <v>46148</v>
      </c>
      <c r="K825" s="31" t="n">
        <v>2123</v>
      </c>
      <c r="L825" s="30" t="s">
        <v>32</v>
      </c>
      <c r="M825" s="10" t="n">
        <v>11</v>
      </c>
      <c r="N825" s="12" t="n">
        <v>-5027</v>
      </c>
      <c r="O825" s="13" t="n">
        <v>-0.0511838008404151</v>
      </c>
      <c r="P825" s="15" t="n">
        <v>0.140115489891275</v>
      </c>
      <c r="Q825" s="13" t="n">
        <v>-0.0681963776134178</v>
      </c>
      <c r="R825" s="15" t="n">
        <v>0.101234567901235</v>
      </c>
      <c r="S825" s="32" t="n">
        <v>27629160340</v>
      </c>
      <c r="T825" s="15" t="n">
        <v>0.0205949656750573</v>
      </c>
      <c r="U825" s="32" t="n">
        <v>3295684050.65</v>
      </c>
      <c r="V825" s="14" t="n">
        <v>7.72325449091242</v>
      </c>
      <c r="W825" s="13" t="n">
        <v>0.0772946859903381</v>
      </c>
      <c r="X825" s="15" t="n">
        <v>0.0986547085201794</v>
      </c>
      <c r="Y825" s="13" t="n">
        <v>-0.00548180628167139</v>
      </c>
      <c r="Z825" s="13" t="n">
        <v>0.0568454326516887</v>
      </c>
      <c r="AA825" s="30" t="s">
        <v>97</v>
      </c>
      <c r="AB825" s="28" t="s">
        <v>93</v>
      </c>
      <c r="AC825" s="28" t="s">
        <v>102</v>
      </c>
      <c r="AD825" s="28" t="s">
        <v>106</v>
      </c>
      <c r="AE825" s="28" t="s">
        <v>113</v>
      </c>
      <c r="AF825" s="28" t="s">
        <v>119</v>
      </c>
      <c r="AG825" s="30" t="s">
        <v>122</v>
      </c>
    </row>
    <row r="826" customFormat="false" ht="15" hidden="false" customHeight="false" outlineLevel="0" collapsed="false">
      <c r="A826" s="10" t="n">
        <v>2026</v>
      </c>
      <c r="B826" s="28" t="s">
        <v>78</v>
      </c>
      <c r="C826" s="29" t="n">
        <v>46129</v>
      </c>
      <c r="D826" s="30" t="s">
        <v>129</v>
      </c>
      <c r="E826" s="28" t="s">
        <v>893</v>
      </c>
      <c r="F826" s="30" t="s">
        <v>894</v>
      </c>
      <c r="G826" s="31" t="n">
        <v>24224</v>
      </c>
      <c r="H826" s="31" t="n">
        <v>4</v>
      </c>
      <c r="I826" s="31" t="n">
        <v>96897</v>
      </c>
      <c r="J826" s="29" t="n">
        <v>46133</v>
      </c>
      <c r="K826" s="31" t="n">
        <v>23027</v>
      </c>
      <c r="L826" s="30" t="s">
        <v>32</v>
      </c>
      <c r="M826" s="10" t="n">
        <v>2</v>
      </c>
      <c r="N826" s="12" t="n">
        <v>-5002</v>
      </c>
      <c r="O826" s="13" t="n">
        <v>-0.0516174557880137</v>
      </c>
      <c r="P826" s="15" t="n">
        <v>0.0485382386208835</v>
      </c>
      <c r="Q826" s="13" t="n">
        <v>-0.0814970153813128</v>
      </c>
      <c r="R826" s="15" t="n">
        <v>0.0189473684210526</v>
      </c>
      <c r="S826" s="32" t="n">
        <v>25242027800</v>
      </c>
      <c r="T826" s="15" t="n">
        <v>0.010438413361169</v>
      </c>
      <c r="U826" s="32" t="n">
        <v>10829684434.5</v>
      </c>
      <c r="V826" s="14" t="n">
        <v>2.11643938042763</v>
      </c>
      <c r="W826" s="13" t="n">
        <v>0.0125523012552302</v>
      </c>
      <c r="X826" s="15" t="n">
        <v>0.0475206611570247</v>
      </c>
      <c r="Y826" s="13" t="n">
        <v>-0.00548180628167139</v>
      </c>
      <c r="Z826" s="13" t="n">
        <v>0.0568454326516887</v>
      </c>
      <c r="AA826" s="30" t="s">
        <v>97</v>
      </c>
      <c r="AB826" s="28" t="s">
        <v>93</v>
      </c>
      <c r="AC826" s="28" t="s">
        <v>99</v>
      </c>
      <c r="AD826" s="28" t="s">
        <v>106</v>
      </c>
      <c r="AE826" s="28" t="s">
        <v>112</v>
      </c>
      <c r="AF826" s="28" t="s">
        <v>117</v>
      </c>
      <c r="AG826" s="30" t="s">
        <v>122</v>
      </c>
    </row>
    <row r="827" customFormat="false" ht="15" hidden="false" customHeight="false" outlineLevel="0" collapsed="false">
      <c r="A827" s="10" t="n">
        <v>2026</v>
      </c>
      <c r="B827" s="28" t="s">
        <v>78</v>
      </c>
      <c r="C827" s="29" t="n">
        <v>46129</v>
      </c>
      <c r="D827" s="30" t="s">
        <v>129</v>
      </c>
      <c r="E827" s="28" t="s">
        <v>1513</v>
      </c>
      <c r="F827" s="30" t="s">
        <v>1514</v>
      </c>
      <c r="G827" s="31" t="n">
        <v>41191</v>
      </c>
      <c r="H827" s="31" t="n">
        <v>2</v>
      </c>
      <c r="I827" s="31" t="n">
        <v>82382</v>
      </c>
      <c r="J827" s="29" t="n">
        <v>46139</v>
      </c>
      <c r="K827" s="31" t="n">
        <v>49450</v>
      </c>
      <c r="L827" s="30" t="s">
        <v>31</v>
      </c>
      <c r="M827" s="10" t="n">
        <v>6</v>
      </c>
      <c r="N827" s="12" t="n">
        <v>16293</v>
      </c>
      <c r="O827" s="13" t="n">
        <v>0.197769516692299</v>
      </c>
      <c r="P827" s="15" t="n">
        <v>0.233274623311075</v>
      </c>
      <c r="Q827" s="13" t="n">
        <v>-0.0155652367073994</v>
      </c>
      <c r="R827" s="15" t="n">
        <v>0.0828947368421054</v>
      </c>
      <c r="S827" s="32" t="n">
        <v>22721095950</v>
      </c>
      <c r="T827" s="15" t="n">
        <v>0.0524296675191815</v>
      </c>
      <c r="U827" s="32" t="n">
        <v>4982600350</v>
      </c>
      <c r="V827" s="14" t="n">
        <v>3.96899863387831</v>
      </c>
      <c r="W827" s="13" t="n">
        <v>0.00981595092024534</v>
      </c>
      <c r="X827" s="15" t="n">
        <v>0.0182260024301337</v>
      </c>
      <c r="Y827" s="13" t="n">
        <v>-0.00548180628167139</v>
      </c>
      <c r="Z827" s="13" t="n">
        <v>0.0568454326516887</v>
      </c>
      <c r="AA827" s="30" t="s">
        <v>97</v>
      </c>
      <c r="AB827" s="28" t="s">
        <v>93</v>
      </c>
      <c r="AC827" s="28" t="s">
        <v>101</v>
      </c>
      <c r="AD827" s="28" t="s">
        <v>106</v>
      </c>
      <c r="AE827" s="28" t="s">
        <v>101</v>
      </c>
      <c r="AF827" s="28" t="s">
        <v>118</v>
      </c>
      <c r="AG827" s="30" t="s">
        <v>122</v>
      </c>
    </row>
    <row r="828" customFormat="false" ht="15" hidden="false" customHeight="false" outlineLevel="0" collapsed="false">
      <c r="A828" s="10" t="n">
        <v>2026</v>
      </c>
      <c r="B828" s="28" t="s">
        <v>78</v>
      </c>
      <c r="C828" s="29" t="n">
        <v>46132</v>
      </c>
      <c r="D828" s="30" t="s">
        <v>125</v>
      </c>
      <c r="E828" s="28" t="s">
        <v>1255</v>
      </c>
      <c r="F828" s="30" t="s">
        <v>1256</v>
      </c>
      <c r="G828" s="31" t="n">
        <v>14925</v>
      </c>
      <c r="H828" s="31" t="n">
        <v>6</v>
      </c>
      <c r="I828" s="31" t="n">
        <v>89549</v>
      </c>
      <c r="J828" s="29" t="n">
        <v>46133</v>
      </c>
      <c r="K828" s="31" t="n">
        <v>14206</v>
      </c>
      <c r="L828" s="30" t="s">
        <v>32</v>
      </c>
      <c r="M828" s="10" t="n">
        <v>1</v>
      </c>
      <c r="N828" s="12" t="n">
        <v>-4511</v>
      </c>
      <c r="O828" s="13" t="n">
        <v>-0.0503796112338365</v>
      </c>
      <c r="P828" s="15" t="n">
        <v>0.00302112374547003</v>
      </c>
      <c r="Q828" s="13" t="n">
        <v>-0.0881017037958687</v>
      </c>
      <c r="R828" s="15" t="n">
        <v>0.0339805825242718</v>
      </c>
      <c r="S828" s="32" t="n">
        <v>95374394430</v>
      </c>
      <c r="T828" s="15" t="n">
        <v>0.0339805825242718</v>
      </c>
      <c r="U828" s="32" t="n">
        <v>21396235538.5</v>
      </c>
      <c r="V828" s="14" t="n">
        <v>4.13809456977191</v>
      </c>
      <c r="W828" s="13" t="n">
        <v>0.0240384615384615</v>
      </c>
      <c r="X828" s="15" t="n">
        <v>0.103286384976526</v>
      </c>
      <c r="Y828" s="13" t="n">
        <v>0.00438797658884482</v>
      </c>
      <c r="Z828" s="13" t="n">
        <v>0.0706656658552289</v>
      </c>
      <c r="AA828" s="30" t="s">
        <v>97</v>
      </c>
      <c r="AB828" s="28" t="s">
        <v>93</v>
      </c>
      <c r="AC828" s="28" t="s">
        <v>100</v>
      </c>
      <c r="AD828" s="28" t="s">
        <v>108</v>
      </c>
      <c r="AE828" s="28" t="s">
        <v>113</v>
      </c>
      <c r="AF828" s="28" t="s">
        <v>118</v>
      </c>
      <c r="AG828" s="30" t="s">
        <v>122</v>
      </c>
    </row>
    <row r="829" customFormat="false" ht="15" hidden="false" customHeight="false" outlineLevel="0" collapsed="false">
      <c r="A829" s="10" t="n">
        <v>2026</v>
      </c>
      <c r="B829" s="28" t="s">
        <v>78</v>
      </c>
      <c r="C829" s="29" t="n">
        <v>46132</v>
      </c>
      <c r="D829" s="30" t="s">
        <v>125</v>
      </c>
      <c r="E829" s="28" t="s">
        <v>297</v>
      </c>
      <c r="F829" s="30" t="s">
        <v>298</v>
      </c>
      <c r="G829" s="31" t="n">
        <v>5185</v>
      </c>
      <c r="H829" s="31" t="n">
        <v>19</v>
      </c>
      <c r="I829" s="31" t="n">
        <v>98518</v>
      </c>
      <c r="J829" s="29" t="n">
        <v>46133</v>
      </c>
      <c r="K829" s="31" t="n">
        <v>4935</v>
      </c>
      <c r="L829" s="30" t="s">
        <v>32</v>
      </c>
      <c r="M829" s="10" t="n">
        <v>1</v>
      </c>
      <c r="N829" s="12" t="n">
        <v>-4969</v>
      </c>
      <c r="O829" s="13" t="n">
        <v>-0.050433766233766</v>
      </c>
      <c r="P829" s="15" t="n">
        <v>-0.000999000999000854</v>
      </c>
      <c r="Q829" s="13" t="n">
        <v>-0.0559633416776273</v>
      </c>
      <c r="R829" s="15" t="n">
        <v>0.0986214209968186</v>
      </c>
      <c r="S829" s="32" t="n">
        <v>58886861600</v>
      </c>
      <c r="T829" s="15" t="n">
        <v>0.0571428571428572</v>
      </c>
      <c r="U829" s="32" t="n">
        <v>6782869531.75</v>
      </c>
      <c r="V829" s="14" t="n">
        <v>7.81133301278897</v>
      </c>
      <c r="W829" s="13" t="n">
        <v>0.104477611940299</v>
      </c>
      <c r="X829" s="15" t="n">
        <v>0.0617760617760619</v>
      </c>
      <c r="Y829" s="13" t="n">
        <v>0.00438797658884482</v>
      </c>
      <c r="Z829" s="13" t="n">
        <v>0.0706656658552289</v>
      </c>
      <c r="AA829" s="30" t="s">
        <v>97</v>
      </c>
      <c r="AB829" s="28" t="s">
        <v>93</v>
      </c>
      <c r="AC829" s="28" t="s">
        <v>101</v>
      </c>
      <c r="AD829" s="28" t="s">
        <v>108</v>
      </c>
      <c r="AE829" s="28" t="s">
        <v>101</v>
      </c>
      <c r="AF829" s="28" t="s">
        <v>119</v>
      </c>
      <c r="AG829" s="30" t="s">
        <v>122</v>
      </c>
    </row>
    <row r="830" customFormat="false" ht="15" hidden="false" customHeight="false" outlineLevel="0" collapsed="false">
      <c r="A830" s="10" t="n">
        <v>2026</v>
      </c>
      <c r="B830" s="28" t="s">
        <v>78</v>
      </c>
      <c r="C830" s="29" t="n">
        <v>46132</v>
      </c>
      <c r="D830" s="30" t="s">
        <v>125</v>
      </c>
      <c r="E830" s="28" t="s">
        <v>1471</v>
      </c>
      <c r="F830" s="30" t="s">
        <v>1472</v>
      </c>
      <c r="G830" s="31" t="n">
        <v>43178</v>
      </c>
      <c r="H830" s="31" t="n">
        <v>2</v>
      </c>
      <c r="I830" s="31" t="n">
        <v>86356</v>
      </c>
      <c r="J830" s="29" t="n">
        <v>46139</v>
      </c>
      <c r="K830" s="31" t="n">
        <v>40172</v>
      </c>
      <c r="L830" s="30" t="s">
        <v>32</v>
      </c>
      <c r="M830" s="10" t="n">
        <v>5</v>
      </c>
      <c r="N830" s="12" t="n">
        <v>-6197</v>
      </c>
      <c r="O830" s="13" t="n">
        <v>-0.0717596702266806</v>
      </c>
      <c r="P830" s="15" t="n">
        <v>0.0372543509509637</v>
      </c>
      <c r="Q830" s="13" t="n">
        <v>-0.101046229175831</v>
      </c>
      <c r="R830" s="15" t="n">
        <v>0.0256797583081572</v>
      </c>
      <c r="S830" s="32" t="n">
        <v>21839152300</v>
      </c>
      <c r="T830" s="15" t="n">
        <v>0.0134328358208955</v>
      </c>
      <c r="U830" s="32" t="n">
        <v>17640838970</v>
      </c>
      <c r="V830" s="14" t="n">
        <v>1.13601629798066</v>
      </c>
      <c r="W830" s="13" t="n">
        <v>0.027231467473525</v>
      </c>
      <c r="X830" s="15" t="n">
        <v>0.0272459499263622</v>
      </c>
      <c r="Y830" s="13" t="n">
        <v>0.00438797658884482</v>
      </c>
      <c r="Z830" s="13" t="n">
        <v>0.0706656658552289</v>
      </c>
      <c r="AA830" s="30" t="s">
        <v>97</v>
      </c>
      <c r="AB830" s="28" t="s">
        <v>93</v>
      </c>
      <c r="AC830" s="28" t="s">
        <v>99</v>
      </c>
      <c r="AD830" s="28" t="s">
        <v>106</v>
      </c>
      <c r="AE830" s="28" t="s">
        <v>112</v>
      </c>
      <c r="AF830" s="28" t="s">
        <v>116</v>
      </c>
      <c r="AG830" s="30" t="s">
        <v>122</v>
      </c>
    </row>
    <row r="831" customFormat="false" ht="15" hidden="false" customHeight="false" outlineLevel="0" collapsed="false">
      <c r="A831" s="10" t="n">
        <v>2026</v>
      </c>
      <c r="B831" s="28" t="s">
        <v>78</v>
      </c>
      <c r="C831" s="29" t="n">
        <v>46133</v>
      </c>
      <c r="D831" s="30" t="s">
        <v>126</v>
      </c>
      <c r="E831" s="28" t="s">
        <v>353</v>
      </c>
      <c r="F831" s="30" t="s">
        <v>354</v>
      </c>
      <c r="G831" s="31" t="n">
        <v>46897</v>
      </c>
      <c r="H831" s="31" t="n">
        <v>2</v>
      </c>
      <c r="I831" s="31" t="n">
        <v>93794</v>
      </c>
      <c r="J831" s="29" t="n">
        <v>46135</v>
      </c>
      <c r="K831" s="31" t="n">
        <v>44605</v>
      </c>
      <c r="L831" s="30" t="s">
        <v>32</v>
      </c>
      <c r="M831" s="10" t="n">
        <v>2</v>
      </c>
      <c r="N831" s="12" t="n">
        <v>-4789</v>
      </c>
      <c r="O831" s="13" t="n">
        <v>-0.0510575023695621</v>
      </c>
      <c r="P831" s="15" t="n">
        <v>0.0149935443425306</v>
      </c>
      <c r="Q831" s="13" t="n">
        <v>-0.0575059945390787</v>
      </c>
      <c r="R831" s="15" t="n">
        <v>0.0895348837209302</v>
      </c>
      <c r="S831" s="32" t="n">
        <v>454980776600</v>
      </c>
      <c r="T831" s="15" t="n">
        <v>0.0659840728100114</v>
      </c>
      <c r="U831" s="32" t="n">
        <v>45315033937.5</v>
      </c>
      <c r="V831" s="14" t="n">
        <v>8.74657979141726</v>
      </c>
      <c r="W831" s="13" t="n">
        <v>0.0745412844036697</v>
      </c>
      <c r="X831" s="15" t="n">
        <v>0.0576307363927429</v>
      </c>
      <c r="Y831" s="13" t="n">
        <v>0.0272354958683667</v>
      </c>
      <c r="Z831" s="13" t="n">
        <v>0.0704989317582003</v>
      </c>
      <c r="AA831" s="30" t="s">
        <v>97</v>
      </c>
      <c r="AB831" s="28" t="s">
        <v>93</v>
      </c>
      <c r="AC831" s="28" t="s">
        <v>101</v>
      </c>
      <c r="AD831" s="28" t="s">
        <v>110</v>
      </c>
      <c r="AE831" s="28" t="s">
        <v>101</v>
      </c>
      <c r="AF831" s="28" t="s">
        <v>119</v>
      </c>
      <c r="AG831" s="30" t="s">
        <v>122</v>
      </c>
    </row>
    <row r="832" customFormat="false" ht="15" hidden="false" customHeight="false" outlineLevel="0" collapsed="false">
      <c r="A832" s="10" t="n">
        <v>2026</v>
      </c>
      <c r="B832" s="28" t="s">
        <v>78</v>
      </c>
      <c r="C832" s="29" t="n">
        <v>46133</v>
      </c>
      <c r="D832" s="30" t="s">
        <v>126</v>
      </c>
      <c r="E832" s="28" t="s">
        <v>653</v>
      </c>
      <c r="F832" s="30" t="s">
        <v>654</v>
      </c>
      <c r="G832" s="31" t="n">
        <v>42913</v>
      </c>
      <c r="H832" s="31" t="n">
        <v>2</v>
      </c>
      <c r="I832" s="31" t="n">
        <v>85827</v>
      </c>
      <c r="J832" s="29" t="n">
        <v>46140</v>
      </c>
      <c r="K832" s="31" t="n">
        <v>51500</v>
      </c>
      <c r="L832" s="30" t="s">
        <v>31</v>
      </c>
      <c r="M832" s="10" t="n">
        <v>5</v>
      </c>
      <c r="N832" s="12" t="n">
        <v>16939</v>
      </c>
      <c r="O832" s="13" t="n">
        <v>0.197364615909464</v>
      </c>
      <c r="P832" s="15" t="n">
        <v>0.206714078001207</v>
      </c>
      <c r="Q832" s="13" t="n">
        <v>-0.0218802099990219</v>
      </c>
      <c r="R832" s="15" t="n">
        <v>0.0569767441860465</v>
      </c>
      <c r="S832" s="32" t="n">
        <v>175947630750</v>
      </c>
      <c r="T832" s="15" t="n">
        <v>0.01</v>
      </c>
      <c r="U832" s="32" t="n">
        <v>168180706302.5</v>
      </c>
      <c r="V832" s="14" t="n">
        <v>0.905068528477482</v>
      </c>
      <c r="W832" s="13" t="n">
        <v>0.0412371134020619</v>
      </c>
      <c r="X832" s="15" t="n">
        <v>0.00990099009900991</v>
      </c>
      <c r="Y832" s="13" t="n">
        <v>0.0272354958683667</v>
      </c>
      <c r="Z832" s="13" t="n">
        <v>0.0704989317582003</v>
      </c>
      <c r="AA832" s="30" t="s">
        <v>97</v>
      </c>
      <c r="AB832" s="28" t="s">
        <v>93</v>
      </c>
      <c r="AC832" s="28" t="s">
        <v>101</v>
      </c>
      <c r="AD832" s="28" t="s">
        <v>109</v>
      </c>
      <c r="AE832" s="28" t="s">
        <v>112</v>
      </c>
      <c r="AF832" s="28" t="s">
        <v>116</v>
      </c>
      <c r="AG832" s="30" t="s">
        <v>122</v>
      </c>
    </row>
    <row r="833" customFormat="false" ht="15" hidden="false" customHeight="false" outlineLevel="0" collapsed="false">
      <c r="A833" s="10" t="n">
        <v>2026</v>
      </c>
      <c r="B833" s="28" t="s">
        <v>78</v>
      </c>
      <c r="C833" s="29" t="n">
        <v>46133</v>
      </c>
      <c r="D833" s="30" t="s">
        <v>126</v>
      </c>
      <c r="E833" s="28" t="s">
        <v>801</v>
      </c>
      <c r="F833" s="30" t="s">
        <v>802</v>
      </c>
      <c r="G833" s="31" t="n">
        <v>49299</v>
      </c>
      <c r="H833" s="31" t="n">
        <v>2</v>
      </c>
      <c r="I833" s="31" t="n">
        <v>98598</v>
      </c>
      <c r="J833" s="29" t="n">
        <v>46139</v>
      </c>
      <c r="K833" s="31" t="n">
        <v>46553</v>
      </c>
      <c r="L833" s="30" t="s">
        <v>32</v>
      </c>
      <c r="M833" s="10" t="n">
        <v>4</v>
      </c>
      <c r="N833" s="12" t="n">
        <v>-5707</v>
      </c>
      <c r="O833" s="13" t="n">
        <v>-0.0578778520464306</v>
      </c>
      <c r="P833" s="15" t="n">
        <v>0.125777775523969</v>
      </c>
      <c r="Q833" s="13" t="n">
        <v>-0.0588092110934749</v>
      </c>
      <c r="R833" s="15" t="n">
        <v>0.179640718562874</v>
      </c>
      <c r="S833" s="32" t="n">
        <v>90361831500</v>
      </c>
      <c r="T833" s="15" t="n">
        <v>0.0944444444444446</v>
      </c>
      <c r="U833" s="32" t="n">
        <v>26449723215</v>
      </c>
      <c r="V833" s="14" t="n">
        <v>2.63784068216225</v>
      </c>
      <c r="W833" s="13" t="n">
        <v>0.153395784543326</v>
      </c>
      <c r="X833" s="15" t="n">
        <v>0.0233502538071067</v>
      </c>
      <c r="Y833" s="13" t="n">
        <v>0.0272354958683667</v>
      </c>
      <c r="Z833" s="13" t="n">
        <v>0.0704989317582003</v>
      </c>
      <c r="AA833" s="30" t="s">
        <v>97</v>
      </c>
      <c r="AB833" s="28" t="s">
        <v>93</v>
      </c>
      <c r="AC833" s="28" t="s">
        <v>103</v>
      </c>
      <c r="AD833" s="28" t="s">
        <v>108</v>
      </c>
      <c r="AE833" s="28" t="s">
        <v>101</v>
      </c>
      <c r="AF833" s="28" t="s">
        <v>117</v>
      </c>
      <c r="AG833" s="30" t="s">
        <v>122</v>
      </c>
    </row>
    <row r="834" customFormat="false" ht="15" hidden="false" customHeight="false" outlineLevel="0" collapsed="false">
      <c r="A834" s="10" t="n">
        <v>2026</v>
      </c>
      <c r="B834" s="28" t="s">
        <v>78</v>
      </c>
      <c r="C834" s="29" t="n">
        <v>46133</v>
      </c>
      <c r="D834" s="30" t="s">
        <v>126</v>
      </c>
      <c r="E834" s="28" t="s">
        <v>659</v>
      </c>
      <c r="F834" s="30" t="s">
        <v>660</v>
      </c>
      <c r="G834" s="31" t="n">
        <v>66266</v>
      </c>
      <c r="H834" s="31" t="n">
        <v>1</v>
      </c>
      <c r="I834" s="31" t="n">
        <v>66266</v>
      </c>
      <c r="J834" s="29" t="n">
        <v>46139</v>
      </c>
      <c r="K834" s="31" t="n">
        <v>80900</v>
      </c>
      <c r="L834" s="30" t="s">
        <v>31</v>
      </c>
      <c r="M834" s="10" t="n">
        <v>4</v>
      </c>
      <c r="N834" s="12" t="n">
        <v>14450</v>
      </c>
      <c r="O834" s="13" t="n">
        <v>0.218058754991232</v>
      </c>
      <c r="P834" s="15" t="n">
        <v>0.418521055983292</v>
      </c>
      <c r="Q834" s="13" t="n">
        <v>0.0593635971279476</v>
      </c>
      <c r="R834" s="15" t="n">
        <v>0.118243243243243</v>
      </c>
      <c r="S834" s="32" t="n">
        <v>58400183600</v>
      </c>
      <c r="T834" s="15" t="n">
        <v>0.0906095551894564</v>
      </c>
      <c r="U834" s="32" t="n">
        <v>16353379505</v>
      </c>
      <c r="V834" s="14" t="n">
        <v>3.01107044824496</v>
      </c>
      <c r="W834" s="13" t="n">
        <v>0.097844112769486</v>
      </c>
      <c r="X834" s="15" t="n">
        <v>0.0271903323262841</v>
      </c>
      <c r="Y834" s="13" t="n">
        <v>0.0272354958683667</v>
      </c>
      <c r="Z834" s="13" t="n">
        <v>0.0704989317582003</v>
      </c>
      <c r="AA834" s="30" t="s">
        <v>97</v>
      </c>
      <c r="AB834" s="28" t="s">
        <v>93</v>
      </c>
      <c r="AC834" s="28" t="s">
        <v>102</v>
      </c>
      <c r="AD834" s="28" t="s">
        <v>108</v>
      </c>
      <c r="AE834" s="28" t="s">
        <v>101</v>
      </c>
      <c r="AF834" s="28" t="s">
        <v>118</v>
      </c>
      <c r="AG834" s="30" t="s">
        <v>122</v>
      </c>
    </row>
    <row r="835" customFormat="false" ht="15" hidden="false" customHeight="false" outlineLevel="0" collapsed="false">
      <c r="A835" s="10" t="n">
        <v>2026</v>
      </c>
      <c r="B835" s="28" t="s">
        <v>78</v>
      </c>
      <c r="C835" s="29" t="n">
        <v>46133</v>
      </c>
      <c r="D835" s="30" t="s">
        <v>126</v>
      </c>
      <c r="E835" s="28" t="s">
        <v>751</v>
      </c>
      <c r="F835" s="30" t="s">
        <v>752</v>
      </c>
      <c r="G835" s="31" t="n">
        <v>25626</v>
      </c>
      <c r="H835" s="31" t="n">
        <v>3</v>
      </c>
      <c r="I835" s="31" t="n">
        <v>76877</v>
      </c>
      <c r="J835" s="29" t="n">
        <v>46140</v>
      </c>
      <c r="K835" s="31" t="n">
        <v>24376</v>
      </c>
      <c r="L835" s="30" t="s">
        <v>32</v>
      </c>
      <c r="M835" s="10" t="n">
        <v>5</v>
      </c>
      <c r="N835" s="12" t="n">
        <v>-3919</v>
      </c>
      <c r="O835" s="13" t="n">
        <v>-0.0509744700611889</v>
      </c>
      <c r="P835" s="15" t="n">
        <v>-0.0127060439560439</v>
      </c>
      <c r="Q835" s="13" t="n">
        <v>-0.0556318681318681</v>
      </c>
      <c r="R835" s="15" t="n">
        <v>0.0219560878243512</v>
      </c>
      <c r="S835" s="32" t="n">
        <v>37443840000</v>
      </c>
      <c r="T835" s="15" t="n">
        <v>0.00787401574803148</v>
      </c>
      <c r="U835" s="32" t="n">
        <v>41830667080</v>
      </c>
      <c r="V835" s="14" t="n">
        <v>0.853549762406328</v>
      </c>
      <c r="W835" s="13" t="n">
        <v>0.0118577075098814</v>
      </c>
      <c r="X835" s="15" t="n">
        <v>0.0068359375</v>
      </c>
      <c r="Y835" s="13" t="n">
        <v>0.0272354958683667</v>
      </c>
      <c r="Z835" s="13" t="n">
        <v>0.0704989317582003</v>
      </c>
      <c r="AA835" s="30" t="s">
        <v>97</v>
      </c>
      <c r="AB835" s="28" t="s">
        <v>93</v>
      </c>
      <c r="AC835" s="28" t="s">
        <v>99</v>
      </c>
      <c r="AD835" s="28" t="s">
        <v>107</v>
      </c>
      <c r="AE835" s="28" t="s">
        <v>112</v>
      </c>
      <c r="AF835" s="28" t="s">
        <v>116</v>
      </c>
      <c r="AG835" s="30" t="s">
        <v>122</v>
      </c>
    </row>
    <row r="836" customFormat="false" ht="15" hidden="false" customHeight="false" outlineLevel="0" collapsed="false">
      <c r="A836" s="10" t="n">
        <v>2026</v>
      </c>
      <c r="B836" s="28" t="s">
        <v>78</v>
      </c>
      <c r="C836" s="29" t="n">
        <v>46133</v>
      </c>
      <c r="D836" s="30" t="s">
        <v>126</v>
      </c>
      <c r="E836" s="28" t="s">
        <v>1515</v>
      </c>
      <c r="F836" s="30" t="s">
        <v>1516</v>
      </c>
      <c r="G836" s="31" t="n">
        <v>15295</v>
      </c>
      <c r="H836" s="31" t="n">
        <v>6</v>
      </c>
      <c r="I836" s="31" t="n">
        <v>91772</v>
      </c>
      <c r="J836" s="29" t="n">
        <v>46134</v>
      </c>
      <c r="K836" s="31" t="n">
        <v>14555</v>
      </c>
      <c r="L836" s="30" t="s">
        <v>32</v>
      </c>
      <c r="M836" s="10" t="n">
        <v>1</v>
      </c>
      <c r="N836" s="12" t="n">
        <v>-4641</v>
      </c>
      <c r="O836" s="13" t="n">
        <v>-0.0505671335536191</v>
      </c>
      <c r="P836" s="15" t="n">
        <v>-0.0160363197012411</v>
      </c>
      <c r="Q836" s="13" t="n">
        <v>-0.0487261429669806</v>
      </c>
      <c r="R836" s="15" t="n">
        <v>0.0737877723120168</v>
      </c>
      <c r="S836" s="32" t="n">
        <v>28716192960</v>
      </c>
      <c r="T836" s="15" t="n">
        <v>0.0458590006844628</v>
      </c>
      <c r="U836" s="32" t="n">
        <v>3464835329.5</v>
      </c>
      <c r="V836" s="14" t="n">
        <v>7.5655919372042</v>
      </c>
      <c r="W836" s="13" t="n">
        <v>-0.0728155339805825</v>
      </c>
      <c r="X836" s="15" t="n">
        <v>0.0831151832460733</v>
      </c>
      <c r="Y836" s="13" t="n">
        <v>0.0272354958683667</v>
      </c>
      <c r="Z836" s="13" t="n">
        <v>0.0704989317582003</v>
      </c>
      <c r="AA836" s="30" t="s">
        <v>97</v>
      </c>
      <c r="AB836" s="28" t="s">
        <v>93</v>
      </c>
      <c r="AC836" s="28" t="s">
        <v>101</v>
      </c>
      <c r="AD836" s="28" t="s">
        <v>106</v>
      </c>
      <c r="AE836" s="28" t="s">
        <v>113</v>
      </c>
      <c r="AF836" s="28" t="s">
        <v>119</v>
      </c>
      <c r="AG836" s="30" t="s">
        <v>123</v>
      </c>
    </row>
    <row r="837" customFormat="false" ht="15" hidden="false" customHeight="false" outlineLevel="0" collapsed="false">
      <c r="A837" s="10" t="n">
        <v>2026</v>
      </c>
      <c r="B837" s="28" t="s">
        <v>78</v>
      </c>
      <c r="C837" s="29" t="n">
        <v>46133</v>
      </c>
      <c r="D837" s="30" t="s">
        <v>126</v>
      </c>
      <c r="E837" s="28" t="s">
        <v>871</v>
      </c>
      <c r="F837" s="28" t="s">
        <v>872</v>
      </c>
      <c r="G837" s="31" t="n">
        <v>35986</v>
      </c>
      <c r="H837" s="31" t="n">
        <v>2</v>
      </c>
      <c r="I837" s="31" t="n">
        <v>71972</v>
      </c>
      <c r="J837" s="29" t="n">
        <v>46135</v>
      </c>
      <c r="K837" s="31" t="n">
        <v>34216</v>
      </c>
      <c r="L837" s="30" t="s">
        <v>32</v>
      </c>
      <c r="M837" s="10" t="n">
        <v>2</v>
      </c>
      <c r="N837" s="12" t="n">
        <v>-3698</v>
      </c>
      <c r="O837" s="13" t="n">
        <v>-0.0513856589863544</v>
      </c>
      <c r="P837" s="15" t="n">
        <v>0.0128953105309155</v>
      </c>
      <c r="Q837" s="13" t="n">
        <v>-0.0524079536596921</v>
      </c>
      <c r="R837" s="15" t="n">
        <v>0.0227596017069702</v>
      </c>
      <c r="S837" s="32" t="n">
        <v>22670609250</v>
      </c>
      <c r="T837" s="15" t="n">
        <v>0.0169731258840169</v>
      </c>
      <c r="U837" s="32" t="n">
        <v>30274276917.5</v>
      </c>
      <c r="V837" s="14" t="n">
        <v>0.681621853924107</v>
      </c>
      <c r="W837" s="13" t="n">
        <v>0.0141043723554302</v>
      </c>
      <c r="X837" s="15" t="n">
        <v>0</v>
      </c>
      <c r="Y837" s="13" t="n">
        <v>0.0272354958683667</v>
      </c>
      <c r="Z837" s="13" t="n">
        <v>0.0704989317582003</v>
      </c>
      <c r="AA837" s="30" t="s">
        <v>97</v>
      </c>
      <c r="AB837" s="28" t="s">
        <v>93</v>
      </c>
      <c r="AC837" s="28" t="s">
        <v>99</v>
      </c>
      <c r="AD837" s="28" t="s">
        <v>106</v>
      </c>
      <c r="AE837" s="28" t="s">
        <v>112</v>
      </c>
      <c r="AF837" s="28" t="s">
        <v>116</v>
      </c>
      <c r="AG837" s="30" t="s">
        <v>122</v>
      </c>
    </row>
    <row r="838" customFormat="false" ht="15" hidden="false" customHeight="false" outlineLevel="0" collapsed="false">
      <c r="A838" s="10" t="n">
        <v>2026</v>
      </c>
      <c r="B838" s="28" t="s">
        <v>78</v>
      </c>
      <c r="C838" s="29" t="n">
        <v>46133</v>
      </c>
      <c r="D838" s="30" t="s">
        <v>126</v>
      </c>
      <c r="E838" s="28" t="s">
        <v>255</v>
      </c>
      <c r="F838" s="28" t="s">
        <v>256</v>
      </c>
      <c r="G838" s="31" t="n">
        <v>95095</v>
      </c>
      <c r="H838" s="31" t="n">
        <v>1</v>
      </c>
      <c r="I838" s="31" t="n">
        <v>95095</v>
      </c>
      <c r="J838" s="29" t="n">
        <v>46154</v>
      </c>
      <c r="K838" s="31" t="n">
        <v>114200</v>
      </c>
      <c r="L838" s="30" t="s">
        <v>31</v>
      </c>
      <c r="M838" s="10" t="n">
        <v>13</v>
      </c>
      <c r="N838" s="12" t="n">
        <v>18845</v>
      </c>
      <c r="O838" s="13" t="n">
        <v>0.198172414427678</v>
      </c>
      <c r="P838" s="15" t="n">
        <v>0.24507071875493</v>
      </c>
      <c r="Q838" s="13" t="n">
        <v>-0.0157211209842787</v>
      </c>
      <c r="R838" s="15" t="n">
        <v>0.0160427807486632</v>
      </c>
      <c r="S838" s="32" t="n">
        <v>21721560000</v>
      </c>
      <c r="T838" s="15" t="n">
        <v>0.0021097046413503</v>
      </c>
      <c r="U838" s="32" t="n">
        <v>22241956370</v>
      </c>
      <c r="V838" s="14" t="n">
        <v>0.916133119133006</v>
      </c>
      <c r="W838" s="13" t="n">
        <v>0.0149572649572649</v>
      </c>
      <c r="X838" s="15" t="n">
        <v>0.00736842105263147</v>
      </c>
      <c r="Y838" s="13" t="n">
        <v>0.0272354958683667</v>
      </c>
      <c r="Z838" s="13" t="n">
        <v>0.0704989317582003</v>
      </c>
      <c r="AA838" s="30" t="s">
        <v>97</v>
      </c>
      <c r="AB838" s="28" t="s">
        <v>93</v>
      </c>
      <c r="AC838" s="28" t="s">
        <v>99</v>
      </c>
      <c r="AD838" s="28" t="s">
        <v>106</v>
      </c>
      <c r="AE838" s="28" t="s">
        <v>112</v>
      </c>
      <c r="AF838" s="28" t="s">
        <v>116</v>
      </c>
      <c r="AG838" s="30" t="s">
        <v>122</v>
      </c>
    </row>
    <row r="839" customFormat="false" ht="15" hidden="false" customHeight="false" outlineLevel="0" collapsed="false">
      <c r="A839" s="10" t="n">
        <v>2026</v>
      </c>
      <c r="B839" s="28" t="s">
        <v>78</v>
      </c>
      <c r="C839" s="29" t="n">
        <v>46134</v>
      </c>
      <c r="D839" s="30" t="s">
        <v>127</v>
      </c>
      <c r="E839" s="28" t="s">
        <v>977</v>
      </c>
      <c r="F839" s="30" t="s">
        <v>978</v>
      </c>
      <c r="G839" s="31" t="n">
        <v>14114</v>
      </c>
      <c r="H839" s="31" t="n">
        <v>7</v>
      </c>
      <c r="I839" s="31" t="n">
        <v>98799</v>
      </c>
      <c r="J839" s="29" t="n">
        <v>46135</v>
      </c>
      <c r="K839" s="31" t="n">
        <v>13437</v>
      </c>
      <c r="L839" s="30" t="s">
        <v>32</v>
      </c>
      <c r="M839" s="10" t="n">
        <v>1</v>
      </c>
      <c r="N839" s="12" t="n">
        <v>-4960</v>
      </c>
      <c r="O839" s="13" t="n">
        <v>-0.050201975152507</v>
      </c>
      <c r="P839" s="15" t="n">
        <v>-0.023671364096896</v>
      </c>
      <c r="Q839" s="13" t="n">
        <v>-0.0838948285756795</v>
      </c>
      <c r="R839" s="15" t="n">
        <v>0.124401913875598</v>
      </c>
      <c r="S839" s="32" t="n">
        <v>47671959000</v>
      </c>
      <c r="T839" s="15" t="n">
        <v>0.10415035238841</v>
      </c>
      <c r="U839" s="32" t="n">
        <v>3417880385</v>
      </c>
      <c r="V839" s="14" t="n">
        <v>12.039229273396</v>
      </c>
      <c r="W839" s="13" t="n">
        <v>0.0955710955710956</v>
      </c>
      <c r="X839" s="15" t="n">
        <v>0.0319148936170213</v>
      </c>
      <c r="Y839" s="13" t="n">
        <v>0.00461143278437559</v>
      </c>
      <c r="Z839" s="13" t="n">
        <v>0.0536068122382576</v>
      </c>
      <c r="AA839" s="30" t="s">
        <v>97</v>
      </c>
      <c r="AB839" s="28" t="s">
        <v>93</v>
      </c>
      <c r="AC839" s="28" t="s">
        <v>102</v>
      </c>
      <c r="AD839" s="28" t="s">
        <v>107</v>
      </c>
      <c r="AE839" s="28" t="s">
        <v>114</v>
      </c>
      <c r="AF839" s="28" t="s">
        <v>120</v>
      </c>
      <c r="AG839" s="30" t="s">
        <v>122</v>
      </c>
    </row>
    <row r="840" customFormat="false" ht="15" hidden="false" customHeight="false" outlineLevel="0" collapsed="false">
      <c r="A840" s="10" t="n">
        <v>2026</v>
      </c>
      <c r="B840" s="28" t="s">
        <v>78</v>
      </c>
      <c r="C840" s="29" t="n">
        <v>46134</v>
      </c>
      <c r="D840" s="30" t="s">
        <v>127</v>
      </c>
      <c r="E840" s="28" t="s">
        <v>969</v>
      </c>
      <c r="F840" s="28" t="s">
        <v>970</v>
      </c>
      <c r="G840" s="31" t="n">
        <v>68268</v>
      </c>
      <c r="H840" s="31" t="n">
        <v>1</v>
      </c>
      <c r="I840" s="31" t="n">
        <v>68268</v>
      </c>
      <c r="J840" s="29" t="n">
        <v>46142</v>
      </c>
      <c r="K840" s="31" t="n">
        <v>64935</v>
      </c>
      <c r="L840" s="30" t="s">
        <v>32</v>
      </c>
      <c r="M840" s="10" t="n">
        <v>6</v>
      </c>
      <c r="N840" s="12" t="n">
        <v>-3483</v>
      </c>
      <c r="O840" s="13" t="n">
        <v>-0.0510201013063184</v>
      </c>
      <c r="P840" s="15" t="n">
        <v>0.020973161735625</v>
      </c>
      <c r="Q840" s="13" t="n">
        <v>-0.0537321915621035</v>
      </c>
      <c r="R840" s="15" t="n">
        <v>0.017910447761194</v>
      </c>
      <c r="S840" s="32" t="n">
        <v>36145113400</v>
      </c>
      <c r="T840" s="15" t="n">
        <v>0.0163934426229508</v>
      </c>
      <c r="U840" s="32" t="n">
        <v>31550602820</v>
      </c>
      <c r="V840" s="14" t="n">
        <v>1.03949960007704</v>
      </c>
      <c r="W840" s="13" t="n">
        <v>0.0302114803625377</v>
      </c>
      <c r="X840" s="15" t="n">
        <v>0.00293255131964809</v>
      </c>
      <c r="Y840" s="13" t="n">
        <v>0.00461143278437559</v>
      </c>
      <c r="Z840" s="13" t="n">
        <v>0.0536068122382576</v>
      </c>
      <c r="AA840" s="30" t="s">
        <v>97</v>
      </c>
      <c r="AB840" s="28" t="s">
        <v>93</v>
      </c>
      <c r="AC840" s="28" t="s">
        <v>99</v>
      </c>
      <c r="AD840" s="28" t="s">
        <v>107</v>
      </c>
      <c r="AE840" s="28" t="s">
        <v>112</v>
      </c>
      <c r="AF840" s="28" t="s">
        <v>116</v>
      </c>
      <c r="AG840" s="30" t="s">
        <v>122</v>
      </c>
    </row>
    <row r="841" customFormat="false" ht="15" hidden="false" customHeight="false" outlineLevel="0" collapsed="false">
      <c r="A841" s="10" t="n">
        <v>2026</v>
      </c>
      <c r="B841" s="28" t="s">
        <v>78</v>
      </c>
      <c r="C841" s="29" t="n">
        <v>46134</v>
      </c>
      <c r="D841" s="30" t="s">
        <v>127</v>
      </c>
      <c r="E841" s="28" t="s">
        <v>521</v>
      </c>
      <c r="F841" s="30" t="s">
        <v>522</v>
      </c>
      <c r="G841" s="31" t="n">
        <v>11401</v>
      </c>
      <c r="H841" s="31" t="n">
        <v>8</v>
      </c>
      <c r="I841" s="31" t="n">
        <v>91211</v>
      </c>
      <c r="J841" s="29" t="n">
        <v>46141</v>
      </c>
      <c r="K841" s="31" t="n">
        <v>13690</v>
      </c>
      <c r="L841" s="30" t="s">
        <v>31</v>
      </c>
      <c r="M841" s="10" t="n">
        <v>5</v>
      </c>
      <c r="N841" s="12" t="n">
        <v>18060</v>
      </c>
      <c r="O841" s="13" t="n">
        <v>0.19799921689373</v>
      </c>
      <c r="P841" s="15" t="n">
        <v>0.459471169743339</v>
      </c>
      <c r="Q841" s="13" t="n">
        <v>-0.0141552915916392</v>
      </c>
      <c r="R841" s="15" t="n">
        <v>0.0363967242948136</v>
      </c>
      <c r="S841" s="32" t="n">
        <v>31775320840</v>
      </c>
      <c r="T841" s="15" t="n">
        <v>0.00975177304964547</v>
      </c>
      <c r="U841" s="32" t="n">
        <v>4153634428.5</v>
      </c>
      <c r="V841" s="14" t="n">
        <v>7.25296269792213</v>
      </c>
      <c r="W841" s="13" t="n">
        <v>0.0363967242948136</v>
      </c>
      <c r="X841" s="15" t="n">
        <v>0.0834064969271291</v>
      </c>
      <c r="Y841" s="13" t="n">
        <v>0.00461143278437559</v>
      </c>
      <c r="Z841" s="13" t="n">
        <v>0.0536068122382576</v>
      </c>
      <c r="AA841" s="30" t="s">
        <v>97</v>
      </c>
      <c r="AB841" s="28" t="s">
        <v>93</v>
      </c>
      <c r="AC841" s="28" t="s">
        <v>100</v>
      </c>
      <c r="AD841" s="28" t="s">
        <v>107</v>
      </c>
      <c r="AE841" s="28" t="s">
        <v>112</v>
      </c>
      <c r="AF841" s="28" t="s">
        <v>119</v>
      </c>
      <c r="AG841" s="30" t="s">
        <v>122</v>
      </c>
    </row>
    <row r="842" customFormat="false" ht="15" hidden="false" customHeight="false" outlineLevel="0" collapsed="false">
      <c r="A842" s="10" t="n">
        <v>2026</v>
      </c>
      <c r="B842" s="28" t="s">
        <v>78</v>
      </c>
      <c r="C842" s="29" t="n">
        <v>46134</v>
      </c>
      <c r="D842" s="30" t="s">
        <v>127</v>
      </c>
      <c r="E842" s="28" t="s">
        <v>901</v>
      </c>
      <c r="F842" s="30" t="s">
        <v>902</v>
      </c>
      <c r="G842" s="31" t="n">
        <v>95395</v>
      </c>
      <c r="H842" s="31" t="n">
        <v>1</v>
      </c>
      <c r="I842" s="31" t="n">
        <v>95395</v>
      </c>
      <c r="J842" s="29" t="n">
        <v>46140</v>
      </c>
      <c r="K842" s="31" t="n">
        <v>90809</v>
      </c>
      <c r="L842" s="30" t="s">
        <v>32</v>
      </c>
      <c r="M842" s="10" t="n">
        <v>4</v>
      </c>
      <c r="N842" s="12" t="n">
        <v>-4796</v>
      </c>
      <c r="O842" s="13" t="n">
        <v>-0.050272380924427</v>
      </c>
      <c r="P842" s="15" t="n">
        <v>0.0231112014952519</v>
      </c>
      <c r="Q842" s="13" t="n">
        <v>-0.0534124846821593</v>
      </c>
      <c r="R842" s="15" t="n">
        <v>0.058888888888889</v>
      </c>
      <c r="S842" s="32" t="n">
        <v>31574986600</v>
      </c>
      <c r="T842" s="15" t="n">
        <v>0.0127523910733263</v>
      </c>
      <c r="U842" s="32" t="n">
        <v>13800420215</v>
      </c>
      <c r="V842" s="14" t="n">
        <v>2.12625237125893</v>
      </c>
      <c r="W842" s="13" t="n">
        <v>0.0553709856035438</v>
      </c>
      <c r="X842" s="15" t="n">
        <v>0</v>
      </c>
      <c r="Y842" s="13" t="n">
        <v>0.00461143278437559</v>
      </c>
      <c r="Z842" s="13" t="n">
        <v>0.0536068122382576</v>
      </c>
      <c r="AA842" s="30" t="s">
        <v>97</v>
      </c>
      <c r="AB842" s="28" t="s">
        <v>93</v>
      </c>
      <c r="AC842" s="28" t="s">
        <v>101</v>
      </c>
      <c r="AD842" s="28" t="s">
        <v>107</v>
      </c>
      <c r="AE842" s="28" t="s">
        <v>112</v>
      </c>
      <c r="AF842" s="28" t="s">
        <v>117</v>
      </c>
      <c r="AG842" s="30" t="s">
        <v>122</v>
      </c>
    </row>
    <row r="843" customFormat="false" ht="15" hidden="false" customHeight="false" outlineLevel="0" collapsed="false">
      <c r="A843" s="10" t="n">
        <v>2026</v>
      </c>
      <c r="B843" s="28" t="s">
        <v>78</v>
      </c>
      <c r="C843" s="29" t="n">
        <v>46134</v>
      </c>
      <c r="D843" s="30" t="s">
        <v>127</v>
      </c>
      <c r="E843" s="28" t="s">
        <v>1517</v>
      </c>
      <c r="F843" s="30" t="s">
        <v>1518</v>
      </c>
      <c r="G843" s="31" t="n">
        <v>6366</v>
      </c>
      <c r="H843" s="31" t="n">
        <v>15</v>
      </c>
      <c r="I843" s="31" t="n">
        <v>95495</v>
      </c>
      <c r="J843" s="29" t="n">
        <v>46135</v>
      </c>
      <c r="K843" s="31" t="n">
        <v>6054</v>
      </c>
      <c r="L843" s="30" t="s">
        <v>32</v>
      </c>
      <c r="M843" s="10" t="n">
        <v>1</v>
      </c>
      <c r="N843" s="12" t="n">
        <v>-4896</v>
      </c>
      <c r="O843" s="13" t="n">
        <v>-0.0512680597704184</v>
      </c>
      <c r="P843" s="15" t="n">
        <v>0.00214251157647394</v>
      </c>
      <c r="Q843" s="13" t="n">
        <v>-0.136084041744419</v>
      </c>
      <c r="R843" s="15" t="n">
        <v>0.177777777777778</v>
      </c>
      <c r="S843" s="32" t="n">
        <v>30212423160</v>
      </c>
      <c r="T843" s="15" t="n">
        <v>0.160583941605839</v>
      </c>
      <c r="U843" s="32" t="n">
        <v>6875918578</v>
      </c>
      <c r="V843" s="14" t="n">
        <v>3.5270628200808</v>
      </c>
      <c r="W843" s="13" t="n">
        <v>0.169117647058824</v>
      </c>
      <c r="X843" s="15" t="n">
        <v>0.0345911949685536</v>
      </c>
      <c r="Y843" s="13" t="n">
        <v>0.00461143278437559</v>
      </c>
      <c r="Z843" s="13" t="n">
        <v>0.0536068122382576</v>
      </c>
      <c r="AA843" s="30" t="s">
        <v>97</v>
      </c>
      <c r="AB843" s="28" t="s">
        <v>93</v>
      </c>
      <c r="AC843" s="28" t="s">
        <v>103</v>
      </c>
      <c r="AD843" s="28" t="s">
        <v>107</v>
      </c>
      <c r="AE843" s="28" t="s">
        <v>114</v>
      </c>
      <c r="AF843" s="28" t="s">
        <v>118</v>
      </c>
      <c r="AG843" s="30" t="s">
        <v>122</v>
      </c>
    </row>
    <row r="844" customFormat="false" ht="15" hidden="false" customHeight="false" outlineLevel="0" collapsed="false">
      <c r="A844" s="10" t="n">
        <v>2026</v>
      </c>
      <c r="B844" s="28" t="s">
        <v>78</v>
      </c>
      <c r="C844" s="29" t="n">
        <v>46134</v>
      </c>
      <c r="D844" s="30" t="s">
        <v>127</v>
      </c>
      <c r="E844" s="28" t="s">
        <v>895</v>
      </c>
      <c r="F844" s="30" t="s">
        <v>896</v>
      </c>
      <c r="G844" s="31" t="n">
        <v>27477</v>
      </c>
      <c r="H844" s="31" t="n">
        <v>3</v>
      </c>
      <c r="I844" s="31" t="n">
        <v>82432</v>
      </c>
      <c r="J844" s="29" t="n">
        <v>46150</v>
      </c>
      <c r="K844" s="31" t="n">
        <v>26124</v>
      </c>
      <c r="L844" s="30" t="s">
        <v>32</v>
      </c>
      <c r="M844" s="10" t="n">
        <v>10</v>
      </c>
      <c r="N844" s="12" t="n">
        <v>-4242</v>
      </c>
      <c r="O844" s="13" t="n">
        <v>-0.0514562994382667</v>
      </c>
      <c r="P844" s="15" t="n">
        <v>0.139115893214254</v>
      </c>
      <c r="Q844" s="13" t="n">
        <v>-0.0665072632285746</v>
      </c>
      <c r="R844" s="15" t="n">
        <v>0.0417457305502846</v>
      </c>
      <c r="S844" s="32" t="n">
        <v>25499457900</v>
      </c>
      <c r="T844" s="15" t="n">
        <v>0.0147874306839186</v>
      </c>
      <c r="U844" s="32" t="n">
        <v>13004487580</v>
      </c>
      <c r="V844" s="14" t="n">
        <v>1.75375547044454</v>
      </c>
      <c r="W844" s="13" t="n">
        <v>0.0358490566037737</v>
      </c>
      <c r="X844" s="15" t="n">
        <v>0.00182149362477224</v>
      </c>
      <c r="Y844" s="13" t="n">
        <v>0.00461143278437559</v>
      </c>
      <c r="Z844" s="13" t="n">
        <v>0.0536068122382576</v>
      </c>
      <c r="AA844" s="30" t="s">
        <v>97</v>
      </c>
      <c r="AB844" s="28" t="s">
        <v>93</v>
      </c>
      <c r="AC844" s="28" t="s">
        <v>100</v>
      </c>
      <c r="AD844" s="28" t="s">
        <v>106</v>
      </c>
      <c r="AE844" s="28" t="s">
        <v>112</v>
      </c>
      <c r="AF844" s="28" t="s">
        <v>116</v>
      </c>
      <c r="AG844" s="30" t="s">
        <v>122</v>
      </c>
    </row>
    <row r="845" customFormat="false" ht="15" hidden="false" customHeight="false" outlineLevel="0" collapsed="false">
      <c r="A845" s="10" t="n">
        <v>2026</v>
      </c>
      <c r="B845" s="28" t="s">
        <v>78</v>
      </c>
      <c r="C845" s="29" t="n">
        <v>46134</v>
      </c>
      <c r="D845" s="30" t="s">
        <v>127</v>
      </c>
      <c r="E845" s="28" t="s">
        <v>891</v>
      </c>
      <c r="F845" s="30" t="s">
        <v>892</v>
      </c>
      <c r="G845" s="31" t="n">
        <v>16306</v>
      </c>
      <c r="H845" s="31" t="n">
        <v>6</v>
      </c>
      <c r="I845" s="31" t="n">
        <v>97838</v>
      </c>
      <c r="J845" s="29" t="n">
        <v>46135</v>
      </c>
      <c r="K845" s="31" t="n">
        <v>15514</v>
      </c>
      <c r="L845" s="30" t="s">
        <v>32</v>
      </c>
      <c r="M845" s="10" t="n">
        <v>1</v>
      </c>
      <c r="N845" s="12" t="n">
        <v>-4966</v>
      </c>
      <c r="O845" s="13" t="n">
        <v>-0.0507547734033923</v>
      </c>
      <c r="P845" s="15" t="n">
        <v>0.016172286890519</v>
      </c>
      <c r="Q845" s="13" t="n">
        <v>-0.063551549739395</v>
      </c>
      <c r="R845" s="15" t="n">
        <v>0.0130597014925373</v>
      </c>
      <c r="S845" s="32" t="n">
        <v>22063974210</v>
      </c>
      <c r="T845" s="15" t="n">
        <v>0.00307881773399021</v>
      </c>
      <c r="U845" s="32" t="n">
        <v>14014807489.5</v>
      </c>
      <c r="V845" s="14" t="n">
        <v>1.40689735977901</v>
      </c>
      <c r="W845" s="13" t="n">
        <v>0.0124300807955251</v>
      </c>
      <c r="X845" s="15" t="n">
        <v>0.0116635972989565</v>
      </c>
      <c r="Y845" s="13" t="n">
        <v>0.00461143278437559</v>
      </c>
      <c r="Z845" s="13" t="n">
        <v>0.0536068122382576</v>
      </c>
      <c r="AA845" s="30" t="s">
        <v>97</v>
      </c>
      <c r="AB845" s="28" t="s">
        <v>93</v>
      </c>
      <c r="AC845" s="28" t="s">
        <v>99</v>
      </c>
      <c r="AD845" s="28" t="s">
        <v>106</v>
      </c>
      <c r="AE845" s="28" t="s">
        <v>112</v>
      </c>
      <c r="AF845" s="28" t="s">
        <v>116</v>
      </c>
      <c r="AG845" s="30" t="s">
        <v>122</v>
      </c>
    </row>
    <row r="846" customFormat="false" ht="15" hidden="false" customHeight="false" outlineLevel="0" collapsed="false">
      <c r="A846" s="10" t="n">
        <v>2026</v>
      </c>
      <c r="B846" s="28" t="s">
        <v>78</v>
      </c>
      <c r="C846" s="29" t="n">
        <v>46134</v>
      </c>
      <c r="D846" s="30" t="s">
        <v>127</v>
      </c>
      <c r="E846" s="28" t="s">
        <v>441</v>
      </c>
      <c r="F846" s="30" t="s">
        <v>442</v>
      </c>
      <c r="G846" s="31" t="n">
        <v>18018</v>
      </c>
      <c r="H846" s="31" t="n">
        <v>5</v>
      </c>
      <c r="I846" s="31" t="n">
        <v>90090</v>
      </c>
      <c r="J846" s="29" t="n">
        <v>46153</v>
      </c>
      <c r="K846" s="31" t="n">
        <v>17153</v>
      </c>
      <c r="L846" s="30" t="s">
        <v>32</v>
      </c>
      <c r="M846" s="10" t="n">
        <v>11</v>
      </c>
      <c r="N846" s="12" t="n">
        <v>-4524</v>
      </c>
      <c r="O846" s="13" t="n">
        <v>-0.0502137465034965</v>
      </c>
      <c r="P846" s="15" t="n">
        <v>0.187701187701188</v>
      </c>
      <c r="Q846" s="13" t="n">
        <v>-0.0626040626040624</v>
      </c>
      <c r="R846" s="15" t="n">
        <v>0.0140845070422535</v>
      </c>
      <c r="S846" s="32" t="n">
        <v>20398644000</v>
      </c>
      <c r="T846" s="15" t="n">
        <v>0.00614868641699284</v>
      </c>
      <c r="U846" s="32" t="n">
        <v>17425538792</v>
      </c>
      <c r="V846" s="14" t="n">
        <v>1.07430416248806</v>
      </c>
      <c r="W846" s="13" t="n">
        <v>0.0135135135135136</v>
      </c>
      <c r="X846" s="15" t="n">
        <v>0.0111111111111111</v>
      </c>
      <c r="Y846" s="13" t="n">
        <v>0.00461143278437559</v>
      </c>
      <c r="Z846" s="13" t="n">
        <v>0.0536068122382576</v>
      </c>
      <c r="AA846" s="30" t="s">
        <v>97</v>
      </c>
      <c r="AB846" s="28" t="s">
        <v>93</v>
      </c>
      <c r="AC846" s="28" t="s">
        <v>99</v>
      </c>
      <c r="AD846" s="28" t="s">
        <v>106</v>
      </c>
      <c r="AE846" s="28" t="s">
        <v>112</v>
      </c>
      <c r="AF846" s="28" t="s">
        <v>116</v>
      </c>
      <c r="AG846" s="30" t="s">
        <v>122</v>
      </c>
    </row>
    <row r="847" customFormat="false" ht="15" hidden="false" customHeight="false" outlineLevel="0" collapsed="false">
      <c r="A847" s="10" t="n">
        <v>2026</v>
      </c>
      <c r="B847" s="28" t="s">
        <v>78</v>
      </c>
      <c r="C847" s="29" t="n">
        <v>46135</v>
      </c>
      <c r="D847" s="30" t="s">
        <v>128</v>
      </c>
      <c r="E847" s="28" t="s">
        <v>869</v>
      </c>
      <c r="F847" s="30" t="s">
        <v>870</v>
      </c>
      <c r="G847" s="31" t="n">
        <v>81581</v>
      </c>
      <c r="H847" s="31" t="n">
        <v>1</v>
      </c>
      <c r="I847" s="31" t="n">
        <v>81581</v>
      </c>
      <c r="J847" s="29" t="n">
        <v>46140</v>
      </c>
      <c r="K847" s="31" t="n">
        <v>77622</v>
      </c>
      <c r="L847" s="30" t="s">
        <v>32</v>
      </c>
      <c r="M847" s="10" t="n">
        <v>3</v>
      </c>
      <c r="N847" s="12" t="n">
        <v>-4138</v>
      </c>
      <c r="O847" s="13" t="n">
        <v>-0.0507262696812388</v>
      </c>
      <c r="P847" s="15" t="n">
        <v>0.0198390566488729</v>
      </c>
      <c r="Q847" s="13" t="n">
        <v>-0.052481261070218</v>
      </c>
      <c r="R847" s="15" t="n">
        <v>0.0837765957446808</v>
      </c>
      <c r="S847" s="32" t="n">
        <v>55982268500</v>
      </c>
      <c r="T847" s="15" t="n">
        <v>0.0342639593908629</v>
      </c>
      <c r="U847" s="32" t="n">
        <v>18287009270</v>
      </c>
      <c r="V847" s="14" t="n">
        <v>2.72641665017809</v>
      </c>
      <c r="W847" s="13" t="n">
        <v>0.0723684210526316</v>
      </c>
      <c r="X847" s="15" t="n">
        <v>0.00981595092024534</v>
      </c>
      <c r="Y847" s="13" t="n">
        <v>0.00901848415299011</v>
      </c>
      <c r="Z847" s="13" t="n">
        <v>0.0401153219135728</v>
      </c>
      <c r="AA847" s="30" t="s">
        <v>97</v>
      </c>
      <c r="AB847" s="28" t="s">
        <v>93</v>
      </c>
      <c r="AC847" s="28" t="s">
        <v>101</v>
      </c>
      <c r="AD847" s="28" t="s">
        <v>108</v>
      </c>
      <c r="AE847" s="28" t="s">
        <v>113</v>
      </c>
      <c r="AF847" s="28" t="s">
        <v>117</v>
      </c>
      <c r="AG847" s="30" t="s">
        <v>122</v>
      </c>
    </row>
    <row r="848" customFormat="false" ht="15" hidden="false" customHeight="false" outlineLevel="0" collapsed="false">
      <c r="A848" s="10" t="n">
        <v>2026</v>
      </c>
      <c r="B848" s="28" t="s">
        <v>78</v>
      </c>
      <c r="C848" s="29" t="n">
        <v>46135</v>
      </c>
      <c r="D848" s="30" t="s">
        <v>128</v>
      </c>
      <c r="E848" s="28" t="s">
        <v>1519</v>
      </c>
      <c r="F848" s="30" t="s">
        <v>1520</v>
      </c>
      <c r="G848" s="31" t="n">
        <v>53053</v>
      </c>
      <c r="H848" s="31" t="n">
        <v>1</v>
      </c>
      <c r="I848" s="31" t="n">
        <v>53053</v>
      </c>
      <c r="J848" s="29" t="n">
        <v>46153</v>
      </c>
      <c r="K848" s="31" t="n">
        <v>50450</v>
      </c>
      <c r="L848" s="30" t="s">
        <v>32</v>
      </c>
      <c r="M848" s="10" t="n">
        <v>10</v>
      </c>
      <c r="N848" s="12" t="n">
        <v>-2720</v>
      </c>
      <c r="O848" s="13" t="n">
        <v>-0.0512680597704182</v>
      </c>
      <c r="P848" s="15" t="n">
        <v>0.155448325259646</v>
      </c>
      <c r="Q848" s="13" t="n">
        <v>-0.0801651179009668</v>
      </c>
      <c r="R848" s="15" t="n">
        <v>0.127659574468085</v>
      </c>
      <c r="S848" s="32" t="n">
        <v>48454932000</v>
      </c>
      <c r="T848" s="15" t="n">
        <v>0.0331384015594542</v>
      </c>
      <c r="U848" s="32" t="n">
        <v>22036175857.5</v>
      </c>
      <c r="V848" s="14" t="n">
        <v>2.00672666655985</v>
      </c>
      <c r="W848" s="13" t="n">
        <v>0.0663983903420524</v>
      </c>
      <c r="X848" s="15" t="n">
        <v>0</v>
      </c>
      <c r="Y848" s="13" t="n">
        <v>0.00901848415299011</v>
      </c>
      <c r="Z848" s="13" t="n">
        <v>0.0401153219135728</v>
      </c>
      <c r="AA848" s="30" t="s">
        <v>97</v>
      </c>
      <c r="AB848" s="28" t="s">
        <v>93</v>
      </c>
      <c r="AC848" s="28" t="s">
        <v>102</v>
      </c>
      <c r="AD848" s="28" t="s">
        <v>107</v>
      </c>
      <c r="AE848" s="28" t="s">
        <v>113</v>
      </c>
      <c r="AF848" s="28" t="s">
        <v>117</v>
      </c>
      <c r="AG848" s="30" t="s">
        <v>122</v>
      </c>
    </row>
    <row r="849" customFormat="false" ht="15" hidden="false" customHeight="false" outlineLevel="0" collapsed="false">
      <c r="A849" s="10" t="n">
        <v>2026</v>
      </c>
      <c r="B849" s="28" t="s">
        <v>78</v>
      </c>
      <c r="C849" s="29" t="n">
        <v>46135</v>
      </c>
      <c r="D849" s="30" t="s">
        <v>128</v>
      </c>
      <c r="E849" s="28" t="s">
        <v>1447</v>
      </c>
      <c r="F849" s="30" t="s">
        <v>1448</v>
      </c>
      <c r="G849" s="31" t="n">
        <v>62763</v>
      </c>
      <c r="H849" s="31" t="n">
        <v>1</v>
      </c>
      <c r="I849" s="31" t="n">
        <v>62763</v>
      </c>
      <c r="J849" s="29" t="n">
        <v>46148</v>
      </c>
      <c r="K849" s="31" t="n">
        <v>59740</v>
      </c>
      <c r="L849" s="30" t="s">
        <v>32</v>
      </c>
      <c r="M849" s="10" t="n">
        <v>7</v>
      </c>
      <c r="N849" s="12" t="n">
        <v>-3160</v>
      </c>
      <c r="O849" s="13" t="n">
        <v>-0.0503540452370595</v>
      </c>
      <c r="P849" s="15" t="n">
        <v>0.035646968661323</v>
      </c>
      <c r="Q849" s="13" t="n">
        <v>-0.047204788831583</v>
      </c>
      <c r="R849" s="15" t="n">
        <v>0.0329489291598024</v>
      </c>
      <c r="S849" s="32" t="n">
        <v>23606550000</v>
      </c>
      <c r="T849" s="15" t="n">
        <v>0.0329489291598024</v>
      </c>
      <c r="U849" s="32" t="n">
        <v>10603739410</v>
      </c>
      <c r="V849" s="14" t="n">
        <v>2.06476563813186</v>
      </c>
      <c r="W849" s="13" t="n">
        <v>0.00159744408945683</v>
      </c>
      <c r="X849" s="15" t="n">
        <v>0.0239234449760766</v>
      </c>
      <c r="Y849" s="13" t="n">
        <v>0.00901848415299011</v>
      </c>
      <c r="Z849" s="13" t="n">
        <v>0.0401153219135728</v>
      </c>
      <c r="AA849" s="30" t="s">
        <v>97</v>
      </c>
      <c r="AB849" s="28" t="s">
        <v>93</v>
      </c>
      <c r="AC849" s="28" t="s">
        <v>100</v>
      </c>
      <c r="AD849" s="28" t="s">
        <v>106</v>
      </c>
      <c r="AE849" s="28" t="s">
        <v>113</v>
      </c>
      <c r="AF849" s="28" t="s">
        <v>117</v>
      </c>
      <c r="AG849" s="30" t="s">
        <v>122</v>
      </c>
    </row>
    <row r="850" customFormat="false" ht="15" hidden="false" customHeight="false" outlineLevel="0" collapsed="false">
      <c r="A850" s="10" t="n">
        <v>2026</v>
      </c>
      <c r="B850" s="28" t="s">
        <v>78</v>
      </c>
      <c r="C850" s="29" t="n">
        <v>46135</v>
      </c>
      <c r="D850" s="30" t="s">
        <v>128</v>
      </c>
      <c r="E850" s="28" t="s">
        <v>495</v>
      </c>
      <c r="F850" s="30" t="s">
        <v>496</v>
      </c>
      <c r="G850" s="31" t="n">
        <v>21021</v>
      </c>
      <c r="H850" s="31" t="n">
        <v>4</v>
      </c>
      <c r="I850" s="31" t="n">
        <v>84084</v>
      </c>
      <c r="J850" s="29" t="n">
        <v>46154</v>
      </c>
      <c r="K850" s="31" t="n">
        <v>19980</v>
      </c>
      <c r="L850" s="30" t="s">
        <v>32</v>
      </c>
      <c r="M850" s="10" t="n">
        <v>11</v>
      </c>
      <c r="N850" s="12" t="n">
        <v>-4348</v>
      </c>
      <c r="O850" s="13" t="n">
        <v>-0.0517154345654344</v>
      </c>
      <c r="P850" s="15" t="n">
        <v>0.148851148851149</v>
      </c>
      <c r="Q850" s="13" t="n">
        <v>-0.0828219399647969</v>
      </c>
      <c r="R850" s="15" t="n">
        <v>0.00238663484486867</v>
      </c>
      <c r="S850" s="32" t="n">
        <v>22727124000</v>
      </c>
      <c r="T850" s="15" t="n">
        <v>0.00238663484486867</v>
      </c>
      <c r="U850" s="32" t="n">
        <v>16064052639.5</v>
      </c>
      <c r="V850" s="14" t="n">
        <v>1.28225508481088</v>
      </c>
      <c r="W850" s="13" t="n">
        <v>-0.0117647058823529</v>
      </c>
      <c r="X850" s="15" t="n">
        <v>0.0119047619047619</v>
      </c>
      <c r="Y850" s="13" t="n">
        <v>0.00901848415299011</v>
      </c>
      <c r="Z850" s="13" t="n">
        <v>0.0401153219135728</v>
      </c>
      <c r="AA850" s="30" t="s">
        <v>97</v>
      </c>
      <c r="AB850" s="28" t="s">
        <v>93</v>
      </c>
      <c r="AC850" s="28" t="s">
        <v>99</v>
      </c>
      <c r="AD850" s="28" t="s">
        <v>106</v>
      </c>
      <c r="AE850" s="28" t="s">
        <v>112</v>
      </c>
      <c r="AF850" s="28" t="s">
        <v>116</v>
      </c>
      <c r="AG850" s="30" t="s">
        <v>123</v>
      </c>
    </row>
    <row r="851" customFormat="false" ht="15" hidden="false" customHeight="false" outlineLevel="0" collapsed="false">
      <c r="A851" s="10" t="n">
        <v>2026</v>
      </c>
      <c r="B851" s="28" t="s">
        <v>78</v>
      </c>
      <c r="C851" s="29" t="n">
        <v>46136</v>
      </c>
      <c r="D851" s="30" t="s">
        <v>129</v>
      </c>
      <c r="E851" s="28" t="s">
        <v>655</v>
      </c>
      <c r="F851" s="30" t="s">
        <v>656</v>
      </c>
      <c r="G851" s="31" t="n">
        <v>61862</v>
      </c>
      <c r="H851" s="31" t="n">
        <v>1</v>
      </c>
      <c r="I851" s="31" t="n">
        <v>61862</v>
      </c>
      <c r="J851" s="29" t="n">
        <v>46141</v>
      </c>
      <c r="K851" s="31" t="n">
        <v>58841</v>
      </c>
      <c r="L851" s="30" t="s">
        <v>32</v>
      </c>
      <c r="M851" s="10" t="n">
        <v>3</v>
      </c>
      <c r="N851" s="12" t="n">
        <v>-3156</v>
      </c>
      <c r="O851" s="13" t="n">
        <v>-0.0510248268721571</v>
      </c>
      <c r="P851" s="15" t="n">
        <v>0.015166063709753</v>
      </c>
      <c r="Q851" s="13" t="n">
        <v>-0.0543437145378892</v>
      </c>
      <c r="R851" s="15" t="n">
        <v>0.123636363636364</v>
      </c>
      <c r="S851" s="32" t="n">
        <v>307983822600</v>
      </c>
      <c r="T851" s="15" t="n">
        <v>0.0729166666666667</v>
      </c>
      <c r="U851" s="32" t="n">
        <v>63207117435</v>
      </c>
      <c r="V851" s="14" t="n">
        <v>4.18062246814551</v>
      </c>
      <c r="W851" s="13" t="n">
        <v>0.123636363636364</v>
      </c>
      <c r="X851" s="15" t="n">
        <v>0.00809061488673146</v>
      </c>
      <c r="Y851" s="13" t="n">
        <v>-2.77957506474857E-005</v>
      </c>
      <c r="Z851" s="13" t="n">
        <v>0.0458193904314008</v>
      </c>
      <c r="AA851" s="30" t="s">
        <v>97</v>
      </c>
      <c r="AB851" s="28" t="s">
        <v>93</v>
      </c>
      <c r="AC851" s="28" t="s">
        <v>102</v>
      </c>
      <c r="AD851" s="28" t="s">
        <v>110</v>
      </c>
      <c r="AE851" s="28" t="s">
        <v>101</v>
      </c>
      <c r="AF851" s="28" t="s">
        <v>118</v>
      </c>
      <c r="AG851" s="30" t="s">
        <v>122</v>
      </c>
    </row>
    <row r="852" customFormat="false" ht="15" hidden="false" customHeight="false" outlineLevel="0" collapsed="false">
      <c r="A852" s="10" t="n">
        <v>2026</v>
      </c>
      <c r="B852" s="28" t="s">
        <v>78</v>
      </c>
      <c r="C852" s="29" t="n">
        <v>46136</v>
      </c>
      <c r="D852" s="30" t="s">
        <v>129</v>
      </c>
      <c r="E852" s="28" t="s">
        <v>649</v>
      </c>
      <c r="F852" s="30" t="s">
        <v>650</v>
      </c>
      <c r="G852" s="31" t="n">
        <v>31882</v>
      </c>
      <c r="H852" s="31" t="n">
        <v>3</v>
      </c>
      <c r="I852" s="31" t="n">
        <v>95646</v>
      </c>
      <c r="J852" s="29" t="n">
        <v>46154</v>
      </c>
      <c r="K852" s="31" t="n">
        <v>30320</v>
      </c>
      <c r="L852" s="30" t="s">
        <v>32</v>
      </c>
      <c r="M852" s="10" t="n">
        <v>10</v>
      </c>
      <c r="N852" s="12" t="n">
        <v>-4897</v>
      </c>
      <c r="O852" s="13" t="n">
        <v>-0.0511943166723385</v>
      </c>
      <c r="P852" s="15" t="n">
        <v>0.169944655030998</v>
      </c>
      <c r="Q852" s="13" t="n">
        <v>-0.0480477136678077</v>
      </c>
      <c r="R852" s="15" t="n">
        <v>0.0796610169491525</v>
      </c>
      <c r="S852" s="32" t="n">
        <v>88906981800</v>
      </c>
      <c r="T852" s="15" t="n">
        <v>0.00473186119873814</v>
      </c>
      <c r="U852" s="32" t="n">
        <v>25606253352.5</v>
      </c>
      <c r="V852" s="14" t="n">
        <v>3.21324274629007</v>
      </c>
      <c r="W852" s="13" t="n">
        <v>0.0760135135135136</v>
      </c>
      <c r="X852" s="15" t="n">
        <v>0.0329670329670331</v>
      </c>
      <c r="Y852" s="13" t="n">
        <v>-2.77957506474857E-005</v>
      </c>
      <c r="Z852" s="13" t="n">
        <v>0.0458193904314008</v>
      </c>
      <c r="AA852" s="30" t="s">
        <v>97</v>
      </c>
      <c r="AB852" s="28" t="s">
        <v>93</v>
      </c>
      <c r="AC852" s="28" t="s">
        <v>101</v>
      </c>
      <c r="AD852" s="28" t="s">
        <v>108</v>
      </c>
      <c r="AE852" s="28" t="s">
        <v>112</v>
      </c>
      <c r="AF852" s="28" t="s">
        <v>118</v>
      </c>
      <c r="AG852" s="30" t="s">
        <v>122</v>
      </c>
    </row>
    <row r="853" customFormat="false" ht="15" hidden="false" customHeight="false" outlineLevel="0" collapsed="false">
      <c r="A853" s="10" t="n">
        <v>2026</v>
      </c>
      <c r="B853" s="28" t="s">
        <v>78</v>
      </c>
      <c r="C853" s="29" t="n">
        <v>46136</v>
      </c>
      <c r="D853" s="30" t="s">
        <v>129</v>
      </c>
      <c r="E853" s="28" t="s">
        <v>373</v>
      </c>
      <c r="F853" s="30" t="s">
        <v>374</v>
      </c>
      <c r="G853" s="31" t="n">
        <v>60560</v>
      </c>
      <c r="H853" s="31" t="n">
        <v>1</v>
      </c>
      <c r="I853" s="31" t="n">
        <v>60560</v>
      </c>
      <c r="J853" s="29" t="n">
        <v>46140</v>
      </c>
      <c r="K853" s="31" t="n">
        <v>57642</v>
      </c>
      <c r="L853" s="30" t="s">
        <v>32</v>
      </c>
      <c r="M853" s="10" t="n">
        <v>2</v>
      </c>
      <c r="N853" s="12" t="n">
        <v>-3051</v>
      </c>
      <c r="O853" s="13" t="n">
        <v>-0.0503829231925099</v>
      </c>
      <c r="P853" s="15" t="n">
        <v>0.00395472296298749</v>
      </c>
      <c r="Q853" s="13" t="n">
        <v>-0.0753048604288272</v>
      </c>
      <c r="R853" s="15" t="n">
        <v>0.106032906764168</v>
      </c>
      <c r="S853" s="32" t="n">
        <v>39726054500</v>
      </c>
      <c r="T853" s="15" t="n">
        <v>0.046712802768166</v>
      </c>
      <c r="U853" s="32" t="n">
        <v>19184985235</v>
      </c>
      <c r="V853" s="14" t="n">
        <v>1.81464193287586</v>
      </c>
      <c r="W853" s="13" t="n">
        <v>0.112132352941176</v>
      </c>
      <c r="X853" s="15" t="n">
        <v>0.024793388429752</v>
      </c>
      <c r="Y853" s="13" t="n">
        <v>-2.77957506474857E-005</v>
      </c>
      <c r="Z853" s="13" t="n">
        <v>0.0458193904314008</v>
      </c>
      <c r="AA853" s="30" t="s">
        <v>97</v>
      </c>
      <c r="AB853" s="28" t="s">
        <v>93</v>
      </c>
      <c r="AC853" s="28" t="s">
        <v>102</v>
      </c>
      <c r="AD853" s="28" t="s">
        <v>107</v>
      </c>
      <c r="AE853" s="28" t="s">
        <v>113</v>
      </c>
      <c r="AF853" s="28" t="s">
        <v>116</v>
      </c>
      <c r="AG853" s="30" t="s">
        <v>122</v>
      </c>
    </row>
    <row r="854" customFormat="false" ht="15" hidden="false" customHeight="false" outlineLevel="0" collapsed="false">
      <c r="A854" s="10" t="n">
        <v>2026</v>
      </c>
      <c r="B854" s="28" t="s">
        <v>78</v>
      </c>
      <c r="C854" s="29" t="n">
        <v>46136</v>
      </c>
      <c r="D854" s="30" t="s">
        <v>129</v>
      </c>
      <c r="E854" s="28" t="s">
        <v>1521</v>
      </c>
      <c r="F854" s="30" t="s">
        <v>1522</v>
      </c>
      <c r="G854" s="31" t="n">
        <v>22623</v>
      </c>
      <c r="H854" s="31" t="n">
        <v>4</v>
      </c>
      <c r="I854" s="31" t="n">
        <v>90490</v>
      </c>
      <c r="J854" s="29" t="n">
        <v>46141</v>
      </c>
      <c r="K854" s="31" t="n">
        <v>21528</v>
      </c>
      <c r="L854" s="30" t="s">
        <v>32</v>
      </c>
      <c r="M854" s="10" t="n">
        <v>3</v>
      </c>
      <c r="N854" s="12" t="n">
        <v>-4575</v>
      </c>
      <c r="O854" s="13" t="n">
        <v>-0.0505613659570517</v>
      </c>
      <c r="P854" s="15" t="n">
        <v>0.0896183462555145</v>
      </c>
      <c r="Q854" s="13" t="n">
        <v>-0.0739349146428792</v>
      </c>
      <c r="R854" s="15" t="n">
        <v>0.13</v>
      </c>
      <c r="S854" s="32" t="n">
        <v>36418069400</v>
      </c>
      <c r="T854" s="15" t="n">
        <v>0.13</v>
      </c>
      <c r="U854" s="32" t="n">
        <v>5822874459.5</v>
      </c>
      <c r="V854" s="14" t="n">
        <v>5.30446929351221</v>
      </c>
      <c r="W854" s="13" t="n">
        <v>0.121588089330025</v>
      </c>
      <c r="X854" s="15" t="n">
        <v>0.0619469026548674</v>
      </c>
      <c r="Y854" s="13" t="n">
        <v>-2.77957506474857E-005</v>
      </c>
      <c r="Z854" s="13" t="n">
        <v>0.0458193904314008</v>
      </c>
      <c r="AA854" s="30" t="s">
        <v>97</v>
      </c>
      <c r="AB854" s="28" t="s">
        <v>93</v>
      </c>
      <c r="AC854" s="28" t="s">
        <v>102</v>
      </c>
      <c r="AD854" s="28" t="s">
        <v>107</v>
      </c>
      <c r="AE854" s="28" t="s">
        <v>114</v>
      </c>
      <c r="AF854" s="28" t="s">
        <v>119</v>
      </c>
      <c r="AG854" s="30" t="s">
        <v>122</v>
      </c>
    </row>
    <row r="855" customFormat="false" ht="15" hidden="false" customHeight="false" outlineLevel="0" collapsed="false">
      <c r="A855" s="10" t="n">
        <v>2026</v>
      </c>
      <c r="B855" s="28" t="s">
        <v>78</v>
      </c>
      <c r="C855" s="29" t="n">
        <v>46136</v>
      </c>
      <c r="D855" s="30" t="s">
        <v>129</v>
      </c>
      <c r="E855" s="28" t="s">
        <v>1523</v>
      </c>
      <c r="F855" s="30" t="s">
        <v>1524</v>
      </c>
      <c r="G855" s="31" t="n">
        <v>9329</v>
      </c>
      <c r="H855" s="31" t="n">
        <v>10</v>
      </c>
      <c r="I855" s="31" t="n">
        <v>93293</v>
      </c>
      <c r="J855" s="29" t="n">
        <v>46140</v>
      </c>
      <c r="K855" s="31" t="n">
        <v>8881</v>
      </c>
      <c r="L855" s="30" t="s">
        <v>32</v>
      </c>
      <c r="M855" s="10" t="n">
        <v>2</v>
      </c>
      <c r="N855" s="12" t="n">
        <v>-4687</v>
      </c>
      <c r="O855" s="13" t="n">
        <v>-0.0502398657672799</v>
      </c>
      <c r="P855" s="15" t="n">
        <v>0.0354452414538251</v>
      </c>
      <c r="Q855" s="13" t="n">
        <v>-0.0663842595173066</v>
      </c>
      <c r="R855" s="15" t="n">
        <v>0.159203980099502</v>
      </c>
      <c r="S855" s="32" t="n">
        <v>34553489920</v>
      </c>
      <c r="T855" s="15" t="n">
        <v>0.136585365853658</v>
      </c>
      <c r="U855" s="32" t="n">
        <v>6501024994.5</v>
      </c>
      <c r="V855" s="14" t="n">
        <v>4.04494188334184</v>
      </c>
      <c r="W855" s="13" t="n">
        <v>0.15776397515528</v>
      </c>
      <c r="X855" s="15" t="n">
        <v>0.0236051502145922</v>
      </c>
      <c r="Y855" s="13" t="n">
        <v>-2.77957506474857E-005</v>
      </c>
      <c r="Z855" s="13" t="n">
        <v>0.0458193904314008</v>
      </c>
      <c r="AA855" s="30" t="s">
        <v>97</v>
      </c>
      <c r="AB855" s="28" t="s">
        <v>93</v>
      </c>
      <c r="AC855" s="28" t="s">
        <v>103</v>
      </c>
      <c r="AD855" s="28" t="s">
        <v>107</v>
      </c>
      <c r="AE855" s="28" t="s">
        <v>114</v>
      </c>
      <c r="AF855" s="28" t="s">
        <v>118</v>
      </c>
      <c r="AG855" s="30" t="s">
        <v>122</v>
      </c>
    </row>
    <row r="856" customFormat="false" ht="15" hidden="false" customHeight="false" outlineLevel="0" collapsed="false">
      <c r="A856" s="10" t="n">
        <v>2026</v>
      </c>
      <c r="B856" s="28" t="s">
        <v>78</v>
      </c>
      <c r="C856" s="29" t="n">
        <v>46136</v>
      </c>
      <c r="D856" s="30" t="s">
        <v>129</v>
      </c>
      <c r="E856" s="28" t="s">
        <v>435</v>
      </c>
      <c r="F856" s="30" t="s">
        <v>436</v>
      </c>
      <c r="G856" s="31" t="n">
        <v>34685</v>
      </c>
      <c r="H856" s="31" t="n">
        <v>2</v>
      </c>
      <c r="I856" s="31" t="n">
        <v>69369</v>
      </c>
      <c r="J856" s="29" t="n">
        <v>46142</v>
      </c>
      <c r="K856" s="31" t="n">
        <v>33017</v>
      </c>
      <c r="L856" s="30" t="s">
        <v>32</v>
      </c>
      <c r="M856" s="10" t="n">
        <v>4</v>
      </c>
      <c r="N856" s="12" t="n">
        <v>-3488</v>
      </c>
      <c r="O856" s="13" t="n">
        <v>-0.0502784124965943</v>
      </c>
      <c r="P856" s="15" t="n">
        <v>0.0321568763127207</v>
      </c>
      <c r="Q856" s="13" t="n">
        <v>-0.0601029562068521</v>
      </c>
      <c r="R856" s="15" t="n">
        <v>0.0862068965517242</v>
      </c>
      <c r="S856" s="32" t="n">
        <v>31624743150</v>
      </c>
      <c r="T856" s="15" t="n">
        <v>0.0043478260869565</v>
      </c>
      <c r="U856" s="32" t="n">
        <v>12574754485</v>
      </c>
      <c r="V856" s="14" t="n">
        <v>2.21756044806971</v>
      </c>
      <c r="W856" s="13" t="n">
        <v>0.0612557427258806</v>
      </c>
      <c r="X856" s="15" t="n">
        <v>0.0101010101010102</v>
      </c>
      <c r="Y856" s="13" t="n">
        <v>-2.77957506474857E-005</v>
      </c>
      <c r="Z856" s="13" t="n">
        <v>0.0458193904314008</v>
      </c>
      <c r="AA856" s="30" t="s">
        <v>97</v>
      </c>
      <c r="AB856" s="28" t="s">
        <v>93</v>
      </c>
      <c r="AC856" s="28" t="s">
        <v>101</v>
      </c>
      <c r="AD856" s="28" t="s">
        <v>107</v>
      </c>
      <c r="AE856" s="28" t="s">
        <v>112</v>
      </c>
      <c r="AF856" s="28" t="s">
        <v>117</v>
      </c>
      <c r="AG856" s="30" t="s">
        <v>122</v>
      </c>
    </row>
    <row r="857" customFormat="false" ht="15" hidden="false" customHeight="false" outlineLevel="0" collapsed="false">
      <c r="A857" s="10" t="n">
        <v>2026</v>
      </c>
      <c r="B857" s="28" t="s">
        <v>78</v>
      </c>
      <c r="C857" s="29" t="n">
        <v>46136</v>
      </c>
      <c r="D857" s="30" t="s">
        <v>129</v>
      </c>
      <c r="E857" s="28" t="s">
        <v>1525</v>
      </c>
      <c r="F857" s="30" t="s">
        <v>1526</v>
      </c>
      <c r="G857" s="31" t="n">
        <v>21622</v>
      </c>
      <c r="H857" s="31" t="n">
        <v>4</v>
      </c>
      <c r="I857" s="31" t="n">
        <v>86486</v>
      </c>
      <c r="J857" s="29" t="n">
        <v>46139</v>
      </c>
      <c r="K857" s="31" t="n">
        <v>20579</v>
      </c>
      <c r="L857" s="30" t="s">
        <v>32</v>
      </c>
      <c r="M857" s="10" t="n">
        <v>1</v>
      </c>
      <c r="N857" s="12" t="n">
        <v>-4359</v>
      </c>
      <c r="O857" s="13" t="n">
        <v>-0.0503981643356643</v>
      </c>
      <c r="P857" s="15" t="n">
        <v>0.00131350131350128</v>
      </c>
      <c r="Q857" s="13" t="n">
        <v>-0.074999074999075</v>
      </c>
      <c r="R857" s="15" t="n">
        <v>0.114551083591331</v>
      </c>
      <c r="S857" s="32" t="n">
        <v>21809606400</v>
      </c>
      <c r="T857" s="15" t="n">
        <v>0.0666666666666667</v>
      </c>
      <c r="U857" s="32" t="n">
        <v>10633152393.5</v>
      </c>
      <c r="V857" s="14" t="n">
        <v>1.59290975753145</v>
      </c>
      <c r="W857" s="13" t="n">
        <v>0.11397627643115</v>
      </c>
      <c r="X857" s="15" t="n">
        <v>0.0578703703703705</v>
      </c>
      <c r="Y857" s="13" t="n">
        <v>-2.77957506474857E-005</v>
      </c>
      <c r="Z857" s="13" t="n">
        <v>0.0458193904314008</v>
      </c>
      <c r="AA857" s="30" t="s">
        <v>97</v>
      </c>
      <c r="AB857" s="28" t="s">
        <v>93</v>
      </c>
      <c r="AC857" s="28" t="s">
        <v>102</v>
      </c>
      <c r="AD857" s="28" t="s">
        <v>106</v>
      </c>
      <c r="AE857" s="28" t="s">
        <v>101</v>
      </c>
      <c r="AF857" s="28" t="s">
        <v>116</v>
      </c>
      <c r="AG857" s="30" t="s">
        <v>122</v>
      </c>
    </row>
    <row r="858" customFormat="false" ht="15" hidden="false" customHeight="false" outlineLevel="0" collapsed="false">
      <c r="A858" s="10" t="n">
        <v>2026</v>
      </c>
      <c r="B858" s="28" t="s">
        <v>78</v>
      </c>
      <c r="C858" s="29" t="n">
        <v>46139</v>
      </c>
      <c r="D858" s="30" t="s">
        <v>125</v>
      </c>
      <c r="E858" s="28" t="s">
        <v>1469</v>
      </c>
      <c r="F858" s="30" t="s">
        <v>1470</v>
      </c>
      <c r="G858" s="31" t="n">
        <v>27227</v>
      </c>
      <c r="H858" s="31" t="n">
        <v>3</v>
      </c>
      <c r="I858" s="31" t="n">
        <v>81682</v>
      </c>
      <c r="J858" s="29" t="n">
        <v>46149</v>
      </c>
      <c r="K858" s="31" t="n">
        <v>25874</v>
      </c>
      <c r="L858" s="30" t="s">
        <v>32</v>
      </c>
      <c r="M858" s="10" t="n">
        <v>6</v>
      </c>
      <c r="N858" s="12" t="n">
        <v>-4238</v>
      </c>
      <c r="O858" s="13" t="n">
        <v>-0.0518897791546689</v>
      </c>
      <c r="P858" s="15" t="n">
        <v>0.0522565669624495</v>
      </c>
      <c r="Q858" s="13" t="n">
        <v>-0.0634365634365633</v>
      </c>
      <c r="R858" s="15" t="n">
        <v>0.0522243713733075</v>
      </c>
      <c r="S858" s="32" t="n">
        <v>42513790400</v>
      </c>
      <c r="T858" s="15" t="n">
        <v>0.0461538461538462</v>
      </c>
      <c r="U858" s="32" t="n">
        <v>10409481277.5</v>
      </c>
      <c r="V858" s="14" t="n">
        <v>3.74143519183447</v>
      </c>
      <c r="W858" s="13" t="n">
        <v>0.0401529636711282</v>
      </c>
      <c r="X858" s="15" t="n">
        <v>0.0275735294117647</v>
      </c>
      <c r="Y858" s="13" t="n">
        <v>0.021526863023366</v>
      </c>
      <c r="Z858" s="13" t="n">
        <v>0.0636652629243184</v>
      </c>
      <c r="AA858" s="30" t="s">
        <v>97</v>
      </c>
      <c r="AB858" s="28" t="s">
        <v>93</v>
      </c>
      <c r="AC858" s="28" t="s">
        <v>101</v>
      </c>
      <c r="AD858" s="28" t="s">
        <v>107</v>
      </c>
      <c r="AE858" s="28" t="s">
        <v>113</v>
      </c>
      <c r="AF858" s="28" t="s">
        <v>118</v>
      </c>
      <c r="AG858" s="30" t="s">
        <v>122</v>
      </c>
    </row>
    <row r="859" customFormat="false" ht="15" hidden="false" customHeight="false" outlineLevel="0" collapsed="false">
      <c r="A859" s="10" t="n">
        <v>2026</v>
      </c>
      <c r="B859" s="28" t="s">
        <v>78</v>
      </c>
      <c r="C859" s="29" t="n">
        <v>46139</v>
      </c>
      <c r="D859" s="30" t="s">
        <v>125</v>
      </c>
      <c r="E859" s="28" t="s">
        <v>1023</v>
      </c>
      <c r="F859" s="30" t="s">
        <v>1024</v>
      </c>
      <c r="G859" s="31" t="n">
        <v>17307</v>
      </c>
      <c r="H859" s="31" t="n">
        <v>5</v>
      </c>
      <c r="I859" s="31" t="n">
        <v>86536</v>
      </c>
      <c r="J859" s="29" t="n">
        <v>46142</v>
      </c>
      <c r="K859" s="31" t="n">
        <v>16474</v>
      </c>
      <c r="L859" s="30" t="s">
        <v>32</v>
      </c>
      <c r="M859" s="10" t="n">
        <v>3</v>
      </c>
      <c r="N859" s="12" t="n">
        <v>-4359</v>
      </c>
      <c r="O859" s="13" t="n">
        <v>-0.0503714989463976</v>
      </c>
      <c r="P859" s="15" t="n">
        <v>0.0284683506198835</v>
      </c>
      <c r="Q859" s="13" t="n">
        <v>-0.0564669569874889</v>
      </c>
      <c r="R859" s="15" t="n">
        <v>0.0218676122931443</v>
      </c>
      <c r="S859" s="32" t="n">
        <v>37680563830</v>
      </c>
      <c r="T859" s="15" t="n">
        <v>0.0218676122931443</v>
      </c>
      <c r="U859" s="32" t="n">
        <v>12361354471.5</v>
      </c>
      <c r="V859" s="14" t="n">
        <v>2.78982977359109</v>
      </c>
      <c r="W859" s="13" t="n">
        <v>0.00581733566026754</v>
      </c>
      <c r="X859" s="15" t="n">
        <v>0.0474262579525737</v>
      </c>
      <c r="Y859" s="13" t="n">
        <v>0.021526863023366</v>
      </c>
      <c r="Z859" s="13" t="n">
        <v>0.0636652629243184</v>
      </c>
      <c r="AA859" s="30" t="s">
        <v>97</v>
      </c>
      <c r="AB859" s="28" t="s">
        <v>93</v>
      </c>
      <c r="AC859" s="28" t="s">
        <v>99</v>
      </c>
      <c r="AD859" s="28" t="s">
        <v>107</v>
      </c>
      <c r="AE859" s="28" t="s">
        <v>113</v>
      </c>
      <c r="AF859" s="28" t="s">
        <v>117</v>
      </c>
      <c r="AG859" s="30" t="s">
        <v>122</v>
      </c>
    </row>
    <row r="860" customFormat="false" ht="15" hidden="false" customHeight="false" outlineLevel="0" collapsed="false">
      <c r="A860" s="10" t="n">
        <v>2026</v>
      </c>
      <c r="B860" s="28" t="s">
        <v>78</v>
      </c>
      <c r="C860" s="29" t="n">
        <v>46139</v>
      </c>
      <c r="D860" s="30" t="s">
        <v>125</v>
      </c>
      <c r="E860" s="28" t="s">
        <v>643</v>
      </c>
      <c r="F860" s="30" t="s">
        <v>644</v>
      </c>
      <c r="G860" s="31" t="n">
        <v>16757</v>
      </c>
      <c r="H860" s="31" t="n">
        <v>5</v>
      </c>
      <c r="I860" s="31" t="n">
        <v>83784</v>
      </c>
      <c r="J860" s="29" t="n">
        <v>46140</v>
      </c>
      <c r="K860" s="31" t="n">
        <v>15944</v>
      </c>
      <c r="L860" s="30" t="s">
        <v>32</v>
      </c>
      <c r="M860" s="10" t="n">
        <v>1</v>
      </c>
      <c r="N860" s="12" t="n">
        <v>-4247</v>
      </c>
      <c r="O860" s="13" t="n">
        <v>-0.0506956124520638</v>
      </c>
      <c r="P860" s="15" t="n">
        <v>0.0527107301300851</v>
      </c>
      <c r="Q860" s="13" t="n">
        <v>-0.0714184262571358</v>
      </c>
      <c r="R860" s="15" t="n">
        <v>0.128792987188132</v>
      </c>
      <c r="S860" s="32" t="n">
        <v>30428197560</v>
      </c>
      <c r="T860" s="15" t="n">
        <v>0.073076923076923</v>
      </c>
      <c r="U860" s="32" t="n">
        <v>6555764055.5</v>
      </c>
      <c r="V860" s="14" t="n">
        <v>4.08136394392591</v>
      </c>
      <c r="W860" s="13" t="n">
        <v>0.11377245508982</v>
      </c>
      <c r="X860" s="15" t="n">
        <v>0.031063321385902</v>
      </c>
      <c r="Y860" s="13" t="n">
        <v>0.021526863023366</v>
      </c>
      <c r="Z860" s="13" t="n">
        <v>0.0636652629243184</v>
      </c>
      <c r="AA860" s="30" t="s">
        <v>97</v>
      </c>
      <c r="AB860" s="28" t="s">
        <v>93</v>
      </c>
      <c r="AC860" s="28" t="s">
        <v>102</v>
      </c>
      <c r="AD860" s="28" t="s">
        <v>107</v>
      </c>
      <c r="AE860" s="28" t="s">
        <v>101</v>
      </c>
      <c r="AF860" s="28" t="s">
        <v>118</v>
      </c>
      <c r="AG860" s="30" t="s">
        <v>122</v>
      </c>
    </row>
    <row r="861" customFormat="false" ht="15" hidden="false" customHeight="false" outlineLevel="0" collapsed="false">
      <c r="A861" s="10" t="n">
        <v>2026</v>
      </c>
      <c r="B861" s="28" t="s">
        <v>78</v>
      </c>
      <c r="C861" s="29" t="n">
        <v>46139</v>
      </c>
      <c r="D861" s="30" t="s">
        <v>125</v>
      </c>
      <c r="E861" s="28" t="s">
        <v>1527</v>
      </c>
      <c r="F861" s="30" t="s">
        <v>1528</v>
      </c>
      <c r="G861" s="31" t="n">
        <v>20320</v>
      </c>
      <c r="H861" s="31" t="n">
        <v>4</v>
      </c>
      <c r="I861" s="31" t="n">
        <v>81281</v>
      </c>
      <c r="J861" s="29" t="n">
        <v>46146</v>
      </c>
      <c r="K861" s="31" t="n">
        <v>19341</v>
      </c>
      <c r="L861" s="30" t="s">
        <v>32</v>
      </c>
      <c r="M861" s="10" t="n">
        <v>4</v>
      </c>
      <c r="N861" s="12" t="n">
        <v>-4097</v>
      </c>
      <c r="O861" s="13" t="n">
        <v>-0.0504072489579387</v>
      </c>
      <c r="P861" s="15" t="n">
        <v>0.107267117119334</v>
      </c>
      <c r="Q861" s="13" t="n">
        <v>-0.124028680678927</v>
      </c>
      <c r="R861" s="15" t="n">
        <v>0.114772103239978</v>
      </c>
      <c r="S861" s="32" t="n">
        <v>28546469000</v>
      </c>
      <c r="T861" s="15" t="n">
        <v>0.0442386831275721</v>
      </c>
      <c r="U861" s="32" t="n">
        <v>8224579973.5</v>
      </c>
      <c r="V861" s="14" t="n">
        <v>2.82356876659843</v>
      </c>
      <c r="W861" s="13" t="n">
        <v>0.0684210526315789</v>
      </c>
      <c r="X861" s="15" t="n">
        <v>0.0492610837438423</v>
      </c>
      <c r="Y861" s="13" t="n">
        <v>0.021526863023366</v>
      </c>
      <c r="Z861" s="13" t="n">
        <v>0.0636652629243184</v>
      </c>
      <c r="AA861" s="30" t="s">
        <v>97</v>
      </c>
      <c r="AB861" s="28" t="s">
        <v>93</v>
      </c>
      <c r="AC861" s="28" t="s">
        <v>102</v>
      </c>
      <c r="AD861" s="28" t="s">
        <v>106</v>
      </c>
      <c r="AE861" s="28" t="s">
        <v>113</v>
      </c>
      <c r="AF861" s="28" t="s">
        <v>117</v>
      </c>
      <c r="AG861" s="30" t="s">
        <v>122</v>
      </c>
    </row>
    <row r="862" customFormat="false" ht="15" hidden="false" customHeight="false" outlineLevel="0" collapsed="false">
      <c r="A862" s="10" t="n">
        <v>2026</v>
      </c>
      <c r="B862" s="28" t="s">
        <v>78</v>
      </c>
      <c r="C862" s="29" t="n">
        <v>46139</v>
      </c>
      <c r="D862" s="30" t="s">
        <v>125</v>
      </c>
      <c r="E862" s="28" t="s">
        <v>903</v>
      </c>
      <c r="F862" s="30" t="s">
        <v>904</v>
      </c>
      <c r="G862" s="31" t="n">
        <v>63563</v>
      </c>
      <c r="H862" s="31" t="n">
        <v>1</v>
      </c>
      <c r="I862" s="31" t="n">
        <v>63563</v>
      </c>
      <c r="J862" s="29" t="n">
        <v>46142</v>
      </c>
      <c r="K862" s="31" t="n">
        <v>60440</v>
      </c>
      <c r="L862" s="30" t="s">
        <v>32</v>
      </c>
      <c r="M862" s="10" t="n">
        <v>3</v>
      </c>
      <c r="N862" s="12" t="n">
        <v>-3263</v>
      </c>
      <c r="O862" s="13" t="n">
        <v>-0.051342035130224</v>
      </c>
      <c r="P862" s="15" t="n">
        <v>0.0304655973947314</v>
      </c>
      <c r="Q862" s="13" t="n">
        <v>-0.0702211174652119</v>
      </c>
      <c r="R862" s="15" t="n">
        <v>0.0836177474402731</v>
      </c>
      <c r="S862" s="32" t="n">
        <v>20004659000</v>
      </c>
      <c r="T862" s="15" t="n">
        <v>0.004746835443038</v>
      </c>
      <c r="U862" s="32" t="n">
        <v>4188261805</v>
      </c>
      <c r="V862" s="14" t="n">
        <v>4.48445060021096</v>
      </c>
      <c r="W862" s="13" t="n">
        <v>0.0708263069139967</v>
      </c>
      <c r="X862" s="15" t="n">
        <v>0.0866141732283465</v>
      </c>
      <c r="Y862" s="13" t="n">
        <v>0.021526863023366</v>
      </c>
      <c r="Z862" s="13" t="n">
        <v>0.0636652629243184</v>
      </c>
      <c r="AA862" s="30" t="s">
        <v>97</v>
      </c>
      <c r="AB862" s="28" t="s">
        <v>93</v>
      </c>
      <c r="AC862" s="28" t="s">
        <v>101</v>
      </c>
      <c r="AD862" s="28" t="s">
        <v>106</v>
      </c>
      <c r="AE862" s="28" t="s">
        <v>112</v>
      </c>
      <c r="AF862" s="28" t="s">
        <v>118</v>
      </c>
      <c r="AG862" s="30" t="s">
        <v>122</v>
      </c>
    </row>
    <row r="863" customFormat="false" ht="15" hidden="false" customHeight="false" outlineLevel="0" collapsed="false">
      <c r="A863" s="10" t="n">
        <v>2026</v>
      </c>
      <c r="B863" s="28" t="s">
        <v>78</v>
      </c>
      <c r="C863" s="29" t="n">
        <v>46142</v>
      </c>
      <c r="D863" s="30" t="s">
        <v>128</v>
      </c>
      <c r="E863" s="28" t="s">
        <v>1011</v>
      </c>
      <c r="F863" s="30" t="s">
        <v>1012</v>
      </c>
      <c r="G863" s="31" t="n">
        <v>1741</v>
      </c>
      <c r="H863" s="31" t="n">
        <v>57</v>
      </c>
      <c r="I863" s="31" t="n">
        <v>99222</v>
      </c>
      <c r="J863" s="29" t="n">
        <v>46148</v>
      </c>
      <c r="K863" s="31" t="n">
        <v>2090</v>
      </c>
      <c r="L863" s="30" t="s">
        <v>31</v>
      </c>
      <c r="M863" s="10" t="n">
        <v>2</v>
      </c>
      <c r="N863" s="12" t="n">
        <v>19637</v>
      </c>
      <c r="O863" s="13" t="n">
        <v>0.197908123590039</v>
      </c>
      <c r="P863" s="15" t="n">
        <v>0.407448215958854</v>
      </c>
      <c r="Q863" s="13" t="n">
        <v>0.0484053037244527</v>
      </c>
      <c r="R863" s="15" t="n">
        <v>0.193548387096774</v>
      </c>
      <c r="S863" s="32" t="n">
        <v>60900842529</v>
      </c>
      <c r="T863" s="15" t="n">
        <v>0.0801242236024844</v>
      </c>
      <c r="U863" s="32" t="n">
        <v>4096488894.25</v>
      </c>
      <c r="V863" s="14" t="n">
        <v>12.6777426887409</v>
      </c>
      <c r="W863" s="13" t="n">
        <v>0.193548387096774</v>
      </c>
      <c r="X863" s="15" t="n">
        <v>0.0856814261069581</v>
      </c>
      <c r="Y863" s="13" t="n">
        <v>-0.0137545023838347</v>
      </c>
      <c r="Z863" s="13" t="n">
        <v>0.0190030281926121</v>
      </c>
      <c r="AA863" s="30" t="s">
        <v>97</v>
      </c>
      <c r="AB863" s="28" t="s">
        <v>93</v>
      </c>
      <c r="AC863" s="28" t="s">
        <v>103</v>
      </c>
      <c r="AD863" s="28" t="s">
        <v>108</v>
      </c>
      <c r="AE863" s="28" t="s">
        <v>101</v>
      </c>
      <c r="AF863" s="28" t="s">
        <v>120</v>
      </c>
      <c r="AG863" s="30" t="s">
        <v>122</v>
      </c>
    </row>
    <row r="864" customFormat="false" ht="15" hidden="false" customHeight="false" outlineLevel="0" collapsed="false">
      <c r="A864" s="10" t="n">
        <v>2026</v>
      </c>
      <c r="B864" s="28" t="s">
        <v>78</v>
      </c>
      <c r="C864" s="29" t="n">
        <v>46142</v>
      </c>
      <c r="D864" s="30" t="s">
        <v>128</v>
      </c>
      <c r="E864" s="28" t="s">
        <v>1529</v>
      </c>
      <c r="F864" s="30" t="s">
        <v>1530</v>
      </c>
      <c r="G864" s="31" t="n">
        <v>17117</v>
      </c>
      <c r="H864" s="31" t="n">
        <v>5</v>
      </c>
      <c r="I864" s="31" t="n">
        <v>85586</v>
      </c>
      <c r="J864" s="29" t="n">
        <v>46146</v>
      </c>
      <c r="K864" s="31" t="n">
        <v>16294</v>
      </c>
      <c r="L864" s="30" t="s">
        <v>32</v>
      </c>
      <c r="M864" s="10" t="n">
        <v>1</v>
      </c>
      <c r="N864" s="12" t="n">
        <v>-4305</v>
      </c>
      <c r="O864" s="13" t="n">
        <v>-0.0503011023187341</v>
      </c>
      <c r="P864" s="15" t="n">
        <v>0.0457378878431511</v>
      </c>
      <c r="Q864" s="13" t="n">
        <v>-0.134199134199134</v>
      </c>
      <c r="R864" s="15" t="n">
        <v>0.167235494880546</v>
      </c>
      <c r="S864" s="32" t="n">
        <v>42145583400</v>
      </c>
      <c r="T864" s="15" t="n">
        <v>0.0996784565916398</v>
      </c>
      <c r="U864" s="32" t="n">
        <v>7701671031.5</v>
      </c>
      <c r="V864" s="14" t="n">
        <v>4.71786011466488</v>
      </c>
      <c r="W864" s="13" t="n">
        <v>-0.0947591318157756</v>
      </c>
      <c r="X864" s="15" t="n">
        <v>0.104678362573099</v>
      </c>
      <c r="Y864" s="13" t="n">
        <v>-0.0137545023838347</v>
      </c>
      <c r="Z864" s="13" t="n">
        <v>0.0190030281926121</v>
      </c>
      <c r="AA864" s="30" t="s">
        <v>97</v>
      </c>
      <c r="AB864" s="28" t="s">
        <v>93</v>
      </c>
      <c r="AC864" s="28" t="s">
        <v>103</v>
      </c>
      <c r="AD864" s="28" t="s">
        <v>107</v>
      </c>
      <c r="AE864" s="28" t="s">
        <v>101</v>
      </c>
      <c r="AF864" s="28" t="s">
        <v>118</v>
      </c>
      <c r="AG864" s="30" t="s">
        <v>123</v>
      </c>
    </row>
    <row r="865" customFormat="false" ht="15" hidden="false" customHeight="false" outlineLevel="0" collapsed="false">
      <c r="A865" s="10" t="n">
        <v>2026</v>
      </c>
      <c r="B865" s="28" t="s">
        <v>79</v>
      </c>
      <c r="C865" s="29" t="n">
        <v>46146</v>
      </c>
      <c r="D865" s="30" t="s">
        <v>125</v>
      </c>
      <c r="E865" s="28" t="s">
        <v>803</v>
      </c>
      <c r="F865" s="30" t="s">
        <v>804</v>
      </c>
      <c r="G865" s="31" t="n">
        <v>33834</v>
      </c>
      <c r="H865" s="31" t="n">
        <v>2</v>
      </c>
      <c r="I865" s="31" t="n">
        <v>67668</v>
      </c>
      <c r="J865" s="29" t="n">
        <v>46154</v>
      </c>
      <c r="K865" s="31" t="n">
        <v>42000</v>
      </c>
      <c r="L865" s="30" t="s">
        <v>31</v>
      </c>
      <c r="M865" s="10" t="n">
        <v>5</v>
      </c>
      <c r="N865" s="12" t="n">
        <v>16142</v>
      </c>
      <c r="O865" s="13" t="n">
        <v>0.238543259403319</v>
      </c>
      <c r="P865" s="15" t="n">
        <v>0.254662497266048</v>
      </c>
      <c r="Q865" s="13" t="n">
        <v>-0.0364664920877937</v>
      </c>
      <c r="R865" s="15" t="n">
        <v>0.0513219284603421</v>
      </c>
      <c r="S865" s="32" t="n">
        <v>26145516800</v>
      </c>
      <c r="T865" s="15" t="n">
        <v>0.00148148148148142</v>
      </c>
      <c r="U865" s="32" t="n">
        <v>30990643145</v>
      </c>
      <c r="V865" s="14" t="n">
        <v>0.728665918598193</v>
      </c>
      <c r="W865" s="13" t="n">
        <v>0.0119760479041917</v>
      </c>
      <c r="X865" s="15" t="n">
        <v>0.0103550295857988</v>
      </c>
      <c r="Y865" s="13" t="n">
        <v>0.0512390757811565</v>
      </c>
      <c r="Z865" s="13" t="n">
        <v>0.0712455776503598</v>
      </c>
      <c r="AA865" s="30" t="s">
        <v>97</v>
      </c>
      <c r="AB865" s="28" t="s">
        <v>93</v>
      </c>
      <c r="AC865" s="28" t="s">
        <v>101</v>
      </c>
      <c r="AD865" s="28" t="s">
        <v>106</v>
      </c>
      <c r="AE865" s="28" t="s">
        <v>112</v>
      </c>
      <c r="AF865" s="28" t="s">
        <v>116</v>
      </c>
      <c r="AG865" s="30" t="s">
        <v>122</v>
      </c>
    </row>
    <row r="866" customFormat="false" ht="15" hidden="false" customHeight="false" outlineLevel="0" collapsed="false">
      <c r="A866" s="10" t="n">
        <v>2026</v>
      </c>
      <c r="B866" s="28" t="s">
        <v>80</v>
      </c>
      <c r="C866" s="29" t="n">
        <v>46189</v>
      </c>
      <c r="D866" s="30" t="s">
        <v>126</v>
      </c>
      <c r="E866" s="28" t="s">
        <v>777</v>
      </c>
      <c r="F866" s="28" t="s">
        <v>778</v>
      </c>
      <c r="G866" s="31" t="n">
        <v>21471</v>
      </c>
      <c r="H866" s="31" t="n">
        <v>4</v>
      </c>
      <c r="I866" s="31" t="n">
        <v>85886</v>
      </c>
      <c r="J866" s="29" t="n">
        <v>46190</v>
      </c>
      <c r="K866" s="31" t="n">
        <v>20430</v>
      </c>
      <c r="L866" s="30" t="s">
        <v>32</v>
      </c>
      <c r="M866" s="10" t="n">
        <v>1</v>
      </c>
      <c r="N866" s="12" t="n">
        <v>-4356</v>
      </c>
      <c r="O866" s="13" t="n">
        <v>-0.0507205731331605</v>
      </c>
      <c r="P866" s="15" t="n">
        <v>-0.0359291058591756</v>
      </c>
      <c r="Q866" s="13" t="n">
        <v>-0.131870460541789</v>
      </c>
      <c r="R866" s="15" t="n">
        <v>0.269230769230769</v>
      </c>
      <c r="S866" s="32" t="n">
        <v>157437165600</v>
      </c>
      <c r="T866" s="15" t="n">
        <v>0.110823407560849</v>
      </c>
      <c r="U866" s="32" t="n">
        <v>15616130248.5</v>
      </c>
      <c r="V866" s="14" t="n">
        <v>7.94044403007398</v>
      </c>
      <c r="W866" s="13" t="n">
        <v>0.276026174895895</v>
      </c>
      <c r="X866" s="15" t="n">
        <v>0.0163170163170163</v>
      </c>
      <c r="Y866" s="13" t="n">
        <v>0.0211350833959361</v>
      </c>
      <c r="Z866" s="13" t="n">
        <v>0.0777665115049777</v>
      </c>
      <c r="AA866" s="30" t="s">
        <v>97</v>
      </c>
      <c r="AB866" s="28" t="s">
        <v>93</v>
      </c>
      <c r="AC866" s="28" t="s">
        <v>104</v>
      </c>
      <c r="AD866" s="28" t="s">
        <v>109</v>
      </c>
      <c r="AE866" s="28" t="s">
        <v>114</v>
      </c>
      <c r="AF866" s="28" t="s">
        <v>119</v>
      </c>
      <c r="AG866" s="30" t="s">
        <v>122</v>
      </c>
    </row>
    <row r="867" customFormat="false" ht="15" hidden="false" customHeight="false" outlineLevel="0" collapsed="false">
      <c r="A867" s="10" t="n">
        <v>2026</v>
      </c>
      <c r="B867" s="28" t="s">
        <v>80</v>
      </c>
      <c r="C867" s="29" t="n">
        <v>46189</v>
      </c>
      <c r="D867" s="30" t="s">
        <v>126</v>
      </c>
      <c r="E867" s="28" t="s">
        <v>653</v>
      </c>
      <c r="F867" s="30" t="s">
        <v>654</v>
      </c>
      <c r="G867" s="31" t="n">
        <v>42242</v>
      </c>
      <c r="H867" s="31" t="n">
        <v>2</v>
      </c>
      <c r="I867" s="31" t="n">
        <v>84484</v>
      </c>
      <c r="J867" s="29" t="n">
        <v>46191</v>
      </c>
      <c r="K867" s="31" t="n">
        <v>40210</v>
      </c>
      <c r="L867" s="30" t="s">
        <v>32</v>
      </c>
      <c r="M867" s="10" t="n">
        <v>2</v>
      </c>
      <c r="N867" s="12" t="n">
        <v>-4250</v>
      </c>
      <c r="O867" s="13" t="n">
        <v>-0.0503107625194711</v>
      </c>
      <c r="P867" s="15" t="n">
        <v>0.0167557560922491</v>
      </c>
      <c r="Q867" s="13" t="n">
        <v>-0.105160242601001</v>
      </c>
      <c r="R867" s="15" t="n">
        <v>0.0904392764857882</v>
      </c>
      <c r="S867" s="32" t="n">
        <v>144575934000</v>
      </c>
      <c r="T867" s="15" t="n">
        <v>0.00650742439430041</v>
      </c>
      <c r="U867" s="32" t="n">
        <v>77605972300</v>
      </c>
      <c r="V867" s="14" t="n">
        <v>1.67619642888837</v>
      </c>
      <c r="W867" s="13" t="n">
        <v>0.0751592356687898</v>
      </c>
      <c r="X867" s="15" t="n">
        <v>0.0390995260663507</v>
      </c>
      <c r="Y867" s="13" t="n">
        <v>0.0211350833959361</v>
      </c>
      <c r="Z867" s="13" t="n">
        <v>0.0777665115049777</v>
      </c>
      <c r="AA867" s="30" t="s">
        <v>97</v>
      </c>
      <c r="AB867" s="28" t="s">
        <v>93</v>
      </c>
      <c r="AC867" s="28" t="s">
        <v>101</v>
      </c>
      <c r="AD867" s="28" t="s">
        <v>109</v>
      </c>
      <c r="AE867" s="28" t="s">
        <v>112</v>
      </c>
      <c r="AF867" s="28" t="s">
        <v>116</v>
      </c>
      <c r="AG867" s="30" t="s">
        <v>122</v>
      </c>
    </row>
    <row r="868" customFormat="false" ht="15" hidden="false" customHeight="false" outlineLevel="0" collapsed="false">
      <c r="A868" s="10" t="n">
        <v>2026</v>
      </c>
      <c r="B868" s="28" t="s">
        <v>80</v>
      </c>
      <c r="C868" s="29" t="n">
        <v>46189</v>
      </c>
      <c r="D868" s="30" t="s">
        <v>126</v>
      </c>
      <c r="E868" s="28" t="s">
        <v>1519</v>
      </c>
      <c r="F868" s="30" t="s">
        <v>1520</v>
      </c>
      <c r="G868" s="31" t="n">
        <v>41892</v>
      </c>
      <c r="H868" s="31" t="n">
        <v>2</v>
      </c>
      <c r="I868" s="31" t="n">
        <v>83784</v>
      </c>
      <c r="J868" s="29" t="n">
        <v>46190</v>
      </c>
      <c r="K868" s="31" t="n">
        <v>39860</v>
      </c>
      <c r="L868" s="30" t="s">
        <v>32</v>
      </c>
      <c r="M868" s="10" t="n">
        <v>1</v>
      </c>
      <c r="N868" s="12" t="n">
        <v>-4247</v>
      </c>
      <c r="O868" s="13" t="n">
        <v>-0.0506956124520641</v>
      </c>
      <c r="P868" s="15" t="n">
        <v>0.0204848914526334</v>
      </c>
      <c r="Q868" s="13" t="n">
        <v>-0.0893216699668312</v>
      </c>
      <c r="R868" s="15" t="n">
        <v>0.223684210526316</v>
      </c>
      <c r="S868" s="32" t="n">
        <v>42663271050</v>
      </c>
      <c r="T868" s="15" t="n">
        <v>0.0072202166064983</v>
      </c>
      <c r="U868" s="32" t="n">
        <v>5491819505</v>
      </c>
      <c r="V868" s="14" t="n">
        <v>6.68040406158564</v>
      </c>
      <c r="W868" s="13" t="n">
        <v>0.180535966149506</v>
      </c>
      <c r="X868" s="15" t="n">
        <v>0.0227001194743131</v>
      </c>
      <c r="Y868" s="13" t="n">
        <v>0.0211350833959361</v>
      </c>
      <c r="Z868" s="13" t="n">
        <v>0.0777665115049777</v>
      </c>
      <c r="AA868" s="30" t="s">
        <v>97</v>
      </c>
      <c r="AB868" s="28" t="s">
        <v>93</v>
      </c>
      <c r="AC868" s="28" t="s">
        <v>104</v>
      </c>
      <c r="AD868" s="28" t="s">
        <v>107</v>
      </c>
      <c r="AE868" s="28" t="s">
        <v>112</v>
      </c>
      <c r="AF868" s="28" t="s">
        <v>119</v>
      </c>
      <c r="AG868" s="30" t="s">
        <v>122</v>
      </c>
    </row>
    <row r="869" customFormat="false" ht="15" hidden="false" customHeight="false" outlineLevel="0" collapsed="false">
      <c r="A869" s="10" t="n">
        <v>2026</v>
      </c>
      <c r="B869" s="28" t="s">
        <v>80</v>
      </c>
      <c r="C869" s="29" t="n">
        <v>46189</v>
      </c>
      <c r="D869" s="30" t="s">
        <v>126</v>
      </c>
      <c r="E869" s="28" t="s">
        <v>1449</v>
      </c>
      <c r="F869" s="28" t="s">
        <v>1450</v>
      </c>
      <c r="G869" s="31" t="n">
        <v>79279</v>
      </c>
      <c r="H869" s="31" t="n">
        <v>1</v>
      </c>
      <c r="I869" s="31" t="n">
        <v>79279</v>
      </c>
      <c r="J869" s="29" t="n">
        <v>46190</v>
      </c>
      <c r="K869" s="31" t="n">
        <v>75424</v>
      </c>
      <c r="L869" s="30" t="s">
        <v>32</v>
      </c>
      <c r="M869" s="10" t="n">
        <v>1</v>
      </c>
      <c r="N869" s="12" t="n">
        <v>-4029</v>
      </c>
      <c r="O869" s="13" t="n">
        <v>-0.0508172957724095</v>
      </c>
      <c r="P869" s="15" t="n">
        <v>-0.000999000999000965</v>
      </c>
      <c r="Q869" s="13" t="n">
        <v>-0.0804649895558987</v>
      </c>
      <c r="R869" s="15" t="n">
        <v>0.0476190476190477</v>
      </c>
      <c r="S869" s="32" t="n">
        <v>25166750400</v>
      </c>
      <c r="T869" s="15" t="n">
        <v>0.0245795601552394</v>
      </c>
      <c r="U869" s="32" t="n">
        <v>23639619830</v>
      </c>
      <c r="V869" s="14" t="n">
        <v>1.00096375545528</v>
      </c>
      <c r="W869" s="13" t="n">
        <v>0.0421052631578947</v>
      </c>
      <c r="X869" s="15" t="n">
        <v>0.0025252525252526</v>
      </c>
      <c r="Y869" s="13" t="n">
        <v>0.0211350833959361</v>
      </c>
      <c r="Z869" s="13" t="n">
        <v>0.0777665115049777</v>
      </c>
      <c r="AA869" s="30" t="s">
        <v>97</v>
      </c>
      <c r="AB869" s="28" t="s">
        <v>93</v>
      </c>
      <c r="AC869" s="28" t="s">
        <v>100</v>
      </c>
      <c r="AD869" s="28" t="s">
        <v>106</v>
      </c>
      <c r="AE869" s="28" t="s">
        <v>113</v>
      </c>
      <c r="AF869" s="28" t="s">
        <v>116</v>
      </c>
      <c r="AG869" s="30" t="s">
        <v>122</v>
      </c>
    </row>
    <row r="870" customFormat="false" ht="15" hidden="false" customHeight="false" outlineLevel="0" collapsed="false">
      <c r="A870" s="10" t="n">
        <v>2026</v>
      </c>
      <c r="B870" s="28" t="s">
        <v>82</v>
      </c>
      <c r="C870" s="29" t="n">
        <v>46239</v>
      </c>
      <c r="D870" s="30" t="s">
        <v>127</v>
      </c>
      <c r="E870" s="28" t="s">
        <v>295</v>
      </c>
      <c r="F870" s="30" t="s">
        <v>296</v>
      </c>
      <c r="G870" s="31" t="n">
        <v>72472</v>
      </c>
      <c r="H870" s="31" t="n">
        <v>1</v>
      </c>
      <c r="I870" s="31" t="n">
        <v>72472</v>
      </c>
      <c r="J870" s="29" t="n">
        <v>46240</v>
      </c>
      <c r="K870" s="31" t="n">
        <v>68931</v>
      </c>
      <c r="L870" s="30" t="s">
        <v>32</v>
      </c>
      <c r="M870" s="10" t="n">
        <v>1</v>
      </c>
      <c r="N870" s="12" t="n">
        <v>-3700</v>
      </c>
      <c r="O870" s="13" t="n">
        <v>-0.0510604383185876</v>
      </c>
      <c r="P870" s="15" t="n">
        <v>0.00314050590293702</v>
      </c>
      <c r="Q870" s="13" t="n">
        <v>-0.0686109470639856</v>
      </c>
      <c r="R870" s="15" t="n">
        <v>0.0477568740955137</v>
      </c>
      <c r="S870" s="32" t="n">
        <v>29910684400</v>
      </c>
      <c r="T870" s="15" t="n">
        <v>0.00976290097629007</v>
      </c>
      <c r="U870" s="32" t="n">
        <v>48519583515</v>
      </c>
      <c r="V870" s="14" t="n">
        <v>0.545298411335337</v>
      </c>
      <c r="W870" s="13" t="n">
        <v>0.0387374461979915</v>
      </c>
      <c r="X870" s="15" t="n">
        <v>0.00552486187845314</v>
      </c>
      <c r="Y870" s="13" t="n">
        <v>0.0376335715802139</v>
      </c>
      <c r="Z870" s="13" t="n">
        <v>0.165103368389826</v>
      </c>
      <c r="AA870" s="30" t="s">
        <v>96</v>
      </c>
      <c r="AB870" s="28" t="s">
        <v>93</v>
      </c>
      <c r="AC870" s="28" t="s">
        <v>100</v>
      </c>
      <c r="AD870" s="28" t="s">
        <v>106</v>
      </c>
      <c r="AE870" s="28" t="s">
        <v>112</v>
      </c>
      <c r="AF870" s="28" t="s">
        <v>116</v>
      </c>
      <c r="AG870" s="30" t="s">
        <v>122</v>
      </c>
    </row>
    <row r="871" customFormat="false" ht="15" hidden="false" customHeight="false" outlineLevel="0" collapsed="false">
      <c r="A871" s="10" t="n">
        <v>2026</v>
      </c>
      <c r="B871" s="28" t="s">
        <v>82</v>
      </c>
      <c r="C871" s="29" t="n">
        <v>46239</v>
      </c>
      <c r="D871" s="30" t="s">
        <v>127</v>
      </c>
      <c r="E871" s="28" t="s">
        <v>807</v>
      </c>
      <c r="F871" s="30" t="s">
        <v>808</v>
      </c>
      <c r="G871" s="31" t="n">
        <v>50550</v>
      </c>
      <c r="H871" s="31" t="n">
        <v>1</v>
      </c>
      <c r="I871" s="31" t="n">
        <v>50550</v>
      </c>
      <c r="J871" s="29" t="n">
        <v>46241</v>
      </c>
      <c r="K871" s="31" t="n">
        <v>48102</v>
      </c>
      <c r="L871" s="30" t="s">
        <v>32</v>
      </c>
      <c r="M871" s="10" t="n">
        <v>2</v>
      </c>
      <c r="N871" s="12" t="n">
        <v>-2560</v>
      </c>
      <c r="O871" s="13" t="n">
        <v>-0.050635533822613</v>
      </c>
      <c r="P871" s="15" t="n">
        <v>0.0781297910010783</v>
      </c>
      <c r="Q871" s="13" t="n">
        <v>-0.0474871662990474</v>
      </c>
      <c r="R871" s="15" t="n">
        <v>0.0130391173520561</v>
      </c>
      <c r="S871" s="32" t="n">
        <v>23461441500</v>
      </c>
      <c r="T871" s="15" t="n">
        <v>0.0130391173520561</v>
      </c>
      <c r="U871" s="32" t="n">
        <v>9866224660</v>
      </c>
      <c r="V871" s="14" t="n">
        <v>2.06121856815048</v>
      </c>
      <c r="W871" s="13" t="n">
        <v>-0.00980392156862742</v>
      </c>
      <c r="X871" s="15" t="n">
        <v>0.0455445544554456</v>
      </c>
      <c r="Y871" s="13" t="n">
        <v>0.0376335715802139</v>
      </c>
      <c r="Z871" s="13" t="n">
        <v>0.165103368389826</v>
      </c>
      <c r="AA871" s="30" t="s">
        <v>96</v>
      </c>
      <c r="AB871" s="28" t="s">
        <v>93</v>
      </c>
      <c r="AC871" s="28" t="s">
        <v>99</v>
      </c>
      <c r="AD871" s="28" t="s">
        <v>106</v>
      </c>
      <c r="AE871" s="28" t="s">
        <v>112</v>
      </c>
      <c r="AF871" s="28" t="s">
        <v>117</v>
      </c>
      <c r="AG871" s="30" t="s">
        <v>123</v>
      </c>
    </row>
    <row r="872" customFormat="false" ht="15" hidden="false" customHeight="false" outlineLevel="0" collapsed="false">
      <c r="A872" s="10" t="n">
        <v>2026</v>
      </c>
      <c r="B872" s="28" t="s">
        <v>82</v>
      </c>
      <c r="C872" s="29" t="n">
        <v>46239</v>
      </c>
      <c r="D872" s="30" t="s">
        <v>127</v>
      </c>
      <c r="E872" s="28" t="s">
        <v>335</v>
      </c>
      <c r="F872" s="30" t="s">
        <v>336</v>
      </c>
      <c r="G872" s="31" t="n">
        <v>7648</v>
      </c>
      <c r="H872" s="31" t="n">
        <v>13</v>
      </c>
      <c r="I872" s="31" t="n">
        <v>99419</v>
      </c>
      <c r="J872" s="29" t="n">
        <v>46240</v>
      </c>
      <c r="K872" s="31" t="n">
        <v>7273</v>
      </c>
      <c r="L872" s="30" t="s">
        <v>32</v>
      </c>
      <c r="M872" s="10" t="n">
        <v>1</v>
      </c>
      <c r="N872" s="12" t="n">
        <v>-5092</v>
      </c>
      <c r="O872" s="13" t="n">
        <v>-0.0512188719657306</v>
      </c>
      <c r="P872" s="15" t="n">
        <v>0.0186148929604428</v>
      </c>
      <c r="Q872" s="13" t="n">
        <v>-0.0846849485592941</v>
      </c>
      <c r="R872" s="15" t="n">
        <v>0.0806223479490806</v>
      </c>
      <c r="S872" s="32" t="n">
        <v>22175008320</v>
      </c>
      <c r="T872" s="15" t="n">
        <v>0.0437158469945356</v>
      </c>
      <c r="U872" s="32" t="n">
        <v>17136392417.5</v>
      </c>
      <c r="V872" s="14" t="n">
        <v>1.1314153635927</v>
      </c>
      <c r="W872" s="13" t="n">
        <v>0.0596393897364771</v>
      </c>
      <c r="X872" s="15" t="n">
        <v>0.00785340314136129</v>
      </c>
      <c r="Y872" s="13" t="n">
        <v>0.0376335715802139</v>
      </c>
      <c r="Z872" s="13" t="n">
        <v>0.165103368389826</v>
      </c>
      <c r="AA872" s="30" t="s">
        <v>96</v>
      </c>
      <c r="AB872" s="28" t="s">
        <v>93</v>
      </c>
      <c r="AC872" s="28" t="s">
        <v>101</v>
      </c>
      <c r="AD872" s="28" t="s">
        <v>106</v>
      </c>
      <c r="AE872" s="28" t="s">
        <v>113</v>
      </c>
      <c r="AF872" s="28" t="s">
        <v>116</v>
      </c>
      <c r="AG872" s="30" t="s">
        <v>122</v>
      </c>
    </row>
    <row r="873" customFormat="false" ht="15" hidden="false" customHeight="false" outlineLevel="0" collapsed="false">
      <c r="A873" s="10" t="n">
        <v>2026</v>
      </c>
      <c r="B873" s="28" t="s">
        <v>82</v>
      </c>
      <c r="C873" s="29" t="n">
        <v>46240</v>
      </c>
      <c r="D873" s="30" t="s">
        <v>128</v>
      </c>
      <c r="E873" s="28" t="s">
        <v>1531</v>
      </c>
      <c r="F873" s="30" t="s">
        <v>1532</v>
      </c>
      <c r="G873" s="31" t="n">
        <v>70070</v>
      </c>
      <c r="H873" s="31" t="n">
        <v>1</v>
      </c>
      <c r="I873" s="31" t="n">
        <v>70070</v>
      </c>
      <c r="J873" s="29" t="n">
        <v>46241</v>
      </c>
      <c r="K873" s="31" t="n">
        <v>66633</v>
      </c>
      <c r="L873" s="30" t="s">
        <v>32</v>
      </c>
      <c r="M873" s="10" t="n">
        <v>1</v>
      </c>
      <c r="N873" s="12" t="n">
        <v>-3590</v>
      </c>
      <c r="O873" s="13" t="n">
        <v>-0.0512412172827172</v>
      </c>
      <c r="P873" s="15" t="n">
        <v>0.0189810189810191</v>
      </c>
      <c r="Q873" s="13" t="n">
        <v>-0.0680747823604965</v>
      </c>
      <c r="R873" s="15" t="n">
        <v>0.234567901234568</v>
      </c>
      <c r="S873" s="32" t="n">
        <v>45820530000</v>
      </c>
      <c r="T873" s="15" t="n">
        <v>0.219512195121951</v>
      </c>
      <c r="U873" s="32" t="n">
        <v>4989099592.5</v>
      </c>
      <c r="V873" s="14" t="n">
        <v>6.85571277977908</v>
      </c>
      <c r="W873" s="13" t="n">
        <v>0.217391304347826</v>
      </c>
      <c r="X873" s="15" t="n">
        <v>0.05</v>
      </c>
      <c r="Y873" s="13" t="n">
        <v>-0.0457514556868023</v>
      </c>
      <c r="Z873" s="13" t="n">
        <v>0.125648066705282</v>
      </c>
      <c r="AA873" s="30" t="s">
        <v>96</v>
      </c>
      <c r="AB873" s="28" t="s">
        <v>93</v>
      </c>
      <c r="AC873" s="28" t="s">
        <v>104</v>
      </c>
      <c r="AD873" s="28" t="s">
        <v>107</v>
      </c>
      <c r="AE873" s="28" t="s">
        <v>114</v>
      </c>
      <c r="AF873" s="28" t="s">
        <v>119</v>
      </c>
      <c r="AG873" s="30" t="s">
        <v>122</v>
      </c>
    </row>
    <row r="874" customFormat="false" ht="15" hidden="false" customHeight="false" outlineLevel="0" collapsed="false">
      <c r="A874" s="10" t="n">
        <v>2026</v>
      </c>
      <c r="B874" s="28" t="s">
        <v>82</v>
      </c>
      <c r="C874" s="29" t="n">
        <v>46240</v>
      </c>
      <c r="D874" s="30" t="s">
        <v>128</v>
      </c>
      <c r="E874" s="28" t="s">
        <v>289</v>
      </c>
      <c r="F874" s="30" t="s">
        <v>290</v>
      </c>
      <c r="G874" s="31" t="n">
        <v>83383</v>
      </c>
      <c r="H874" s="31" t="n">
        <v>1</v>
      </c>
      <c r="I874" s="31" t="n">
        <v>83383</v>
      </c>
      <c r="J874" s="29" t="n">
        <v>46252</v>
      </c>
      <c r="K874" s="31" t="n">
        <v>79321</v>
      </c>
      <c r="L874" s="30" t="s">
        <v>32</v>
      </c>
      <c r="M874" s="10" t="n">
        <v>7</v>
      </c>
      <c r="N874" s="12" t="n">
        <v>-4246</v>
      </c>
      <c r="O874" s="13" t="n">
        <v>-0.0509184307289349</v>
      </c>
      <c r="P874" s="15" t="n">
        <v>0.141715427429713</v>
      </c>
      <c r="Q874" s="13" t="n">
        <v>-0.0549666420014559</v>
      </c>
      <c r="R874" s="15" t="n">
        <v>0.0386533665835411</v>
      </c>
      <c r="S874" s="32" t="n">
        <v>33451780600</v>
      </c>
      <c r="T874" s="15" t="n">
        <v>0.0183374083129584</v>
      </c>
      <c r="U874" s="32" t="n">
        <v>26753615245</v>
      </c>
      <c r="V874" s="14" t="n">
        <v>1.11169645118739</v>
      </c>
      <c r="W874" s="13" t="n">
        <v>0.0158536585365854</v>
      </c>
      <c r="X874" s="15" t="n">
        <v>0.0252100840336134</v>
      </c>
      <c r="Y874" s="13" t="n">
        <v>-0.0457514556868023</v>
      </c>
      <c r="Z874" s="13" t="n">
        <v>0.125648066705282</v>
      </c>
      <c r="AA874" s="30" t="s">
        <v>96</v>
      </c>
      <c r="AB874" s="28" t="s">
        <v>93</v>
      </c>
      <c r="AC874" s="28" t="s">
        <v>100</v>
      </c>
      <c r="AD874" s="28" t="s">
        <v>107</v>
      </c>
      <c r="AE874" s="28" t="s">
        <v>112</v>
      </c>
      <c r="AF874" s="28" t="s">
        <v>116</v>
      </c>
      <c r="AG874" s="30" t="s">
        <v>122</v>
      </c>
    </row>
    <row r="875" customFormat="false" ht="15" hidden="false" customHeight="false" outlineLevel="0" collapsed="false">
      <c r="A875" s="10" t="n">
        <v>2026</v>
      </c>
      <c r="B875" s="28" t="s">
        <v>82</v>
      </c>
      <c r="C875" s="29" t="n">
        <v>46240</v>
      </c>
      <c r="D875" s="30" t="s">
        <v>128</v>
      </c>
      <c r="E875" s="28" t="s">
        <v>545</v>
      </c>
      <c r="F875" s="30" t="s">
        <v>546</v>
      </c>
      <c r="G875" s="31" t="n">
        <v>39389</v>
      </c>
      <c r="H875" s="31" t="n">
        <v>2</v>
      </c>
      <c r="I875" s="31" t="n">
        <v>78779</v>
      </c>
      <c r="J875" s="29" t="n">
        <v>46241</v>
      </c>
      <c r="K875" s="31" t="n">
        <v>37462</v>
      </c>
      <c r="L875" s="30" t="s">
        <v>32</v>
      </c>
      <c r="M875" s="10" t="n">
        <v>1</v>
      </c>
      <c r="N875" s="12" t="n">
        <v>-4027</v>
      </c>
      <c r="O875" s="13" t="n">
        <v>-0.0511128713091229</v>
      </c>
      <c r="P875" s="15" t="n">
        <v>0.025657950689717</v>
      </c>
      <c r="Q875" s="13" t="n">
        <v>-0.0581210403319679</v>
      </c>
      <c r="R875" s="15" t="n">
        <v>0.0606469002695418</v>
      </c>
      <c r="S875" s="32" t="n">
        <v>25727344800</v>
      </c>
      <c r="T875" s="15" t="n">
        <v>0.0247395833333333</v>
      </c>
      <c r="U875" s="32" t="n">
        <v>19965536972.5</v>
      </c>
      <c r="V875" s="14" t="n">
        <v>1.18060295605784</v>
      </c>
      <c r="W875" s="13" t="n">
        <v>0.0493333333333332</v>
      </c>
      <c r="X875" s="15" t="n">
        <v>0.00381194409148655</v>
      </c>
      <c r="Y875" s="13" t="n">
        <v>-0.0457514556868023</v>
      </c>
      <c r="Z875" s="13" t="n">
        <v>0.125648066705282</v>
      </c>
      <c r="AA875" s="30" t="s">
        <v>96</v>
      </c>
      <c r="AB875" s="28" t="s">
        <v>93</v>
      </c>
      <c r="AC875" s="28" t="s">
        <v>101</v>
      </c>
      <c r="AD875" s="28" t="s">
        <v>106</v>
      </c>
      <c r="AE875" s="28" t="s">
        <v>113</v>
      </c>
      <c r="AF875" s="28" t="s">
        <v>116</v>
      </c>
      <c r="AG875" s="30" t="s">
        <v>122</v>
      </c>
    </row>
    <row r="876" customFormat="false" ht="15" hidden="false" customHeight="false" outlineLevel="0" collapsed="false">
      <c r="A876" s="10" t="n">
        <v>2026</v>
      </c>
      <c r="B876" s="28" t="s">
        <v>82</v>
      </c>
      <c r="C876" s="29" t="n">
        <v>46244</v>
      </c>
      <c r="D876" s="30" t="s">
        <v>125</v>
      </c>
      <c r="E876" s="28" t="s">
        <v>477</v>
      </c>
      <c r="F876" s="30" t="s">
        <v>478</v>
      </c>
      <c r="G876" s="31" t="n">
        <v>79980</v>
      </c>
      <c r="H876" s="31" t="n">
        <v>1</v>
      </c>
      <c r="I876" s="31" t="n">
        <v>79980</v>
      </c>
      <c r="J876" s="29" t="n">
        <v>46253</v>
      </c>
      <c r="K876" s="31" t="n">
        <v>73526</v>
      </c>
      <c r="L876" s="30" t="s">
        <v>32</v>
      </c>
      <c r="M876" s="10" t="n">
        <v>6</v>
      </c>
      <c r="N876" s="12" t="n">
        <v>-6624</v>
      </c>
      <c r="O876" s="13" t="n">
        <v>-0.0828155417173566</v>
      </c>
      <c r="P876" s="15" t="n">
        <v>0.071519219203825</v>
      </c>
      <c r="Q876" s="13" t="n">
        <v>-0.0922719333232474</v>
      </c>
      <c r="R876" s="15" t="n">
        <v>0.0363164721141376</v>
      </c>
      <c r="S876" s="32" t="n">
        <v>151397875800</v>
      </c>
      <c r="T876" s="15" t="n">
        <v>0.0230473751600513</v>
      </c>
      <c r="U876" s="32" t="n">
        <v>181735012440</v>
      </c>
      <c r="V876" s="14" t="n">
        <v>0.725240714833887</v>
      </c>
      <c r="W876" s="13" t="n">
        <v>0.0050314465408805</v>
      </c>
      <c r="X876" s="15" t="n">
        <v>0.00125156445556951</v>
      </c>
      <c r="Y876" s="13" t="n">
        <v>0.00653323256806049</v>
      </c>
      <c r="Z876" s="13" t="n">
        <v>0.00674555929332232</v>
      </c>
      <c r="AA876" s="30" t="s">
        <v>96</v>
      </c>
      <c r="AB876" s="28" t="s">
        <v>93</v>
      </c>
      <c r="AC876" s="28" t="s">
        <v>100</v>
      </c>
      <c r="AD876" s="28" t="s">
        <v>109</v>
      </c>
      <c r="AE876" s="28" t="s">
        <v>113</v>
      </c>
      <c r="AF876" s="28" t="s">
        <v>116</v>
      </c>
      <c r="AG876" s="30" t="s">
        <v>122</v>
      </c>
    </row>
    <row r="877" customFormat="false" ht="15" hidden="false" customHeight="false" outlineLevel="0" collapsed="false">
      <c r="A877" s="10" t="n">
        <v>2026</v>
      </c>
      <c r="B877" s="28" t="s">
        <v>82</v>
      </c>
      <c r="C877" s="29" t="n">
        <v>46244</v>
      </c>
      <c r="D877" s="30" t="s">
        <v>125</v>
      </c>
      <c r="E877" s="28" t="s">
        <v>549</v>
      </c>
      <c r="F877" s="30" t="s">
        <v>550</v>
      </c>
      <c r="G877" s="31" t="n">
        <v>93593</v>
      </c>
      <c r="H877" s="31" t="n">
        <v>1</v>
      </c>
      <c r="I877" s="31" t="n">
        <v>93593</v>
      </c>
      <c r="J877" s="29" t="n">
        <v>46245</v>
      </c>
      <c r="K877" s="31" t="n">
        <v>89011</v>
      </c>
      <c r="L877" s="30" t="s">
        <v>32</v>
      </c>
      <c r="M877" s="10" t="n">
        <v>1</v>
      </c>
      <c r="N877" s="12" t="n">
        <v>-4788</v>
      </c>
      <c r="O877" s="13" t="n">
        <v>-0.0511575318798848</v>
      </c>
      <c r="P877" s="15" t="n">
        <v>0.0107539519304227</v>
      </c>
      <c r="Q877" s="13" t="n">
        <v>-0.0490792629830061</v>
      </c>
      <c r="R877" s="15" t="n">
        <v>0.0872093023255813</v>
      </c>
      <c r="S877" s="32" t="n">
        <v>118877022000</v>
      </c>
      <c r="T877" s="15" t="n">
        <v>0.0821759259259258</v>
      </c>
      <c r="U877" s="32" t="n">
        <v>80910244960</v>
      </c>
      <c r="V877" s="14" t="n">
        <v>1.24755133320119</v>
      </c>
      <c r="W877" s="13" t="n">
        <v>0.079676674364896</v>
      </c>
      <c r="X877" s="15" t="n">
        <v>0.00213903743315513</v>
      </c>
      <c r="Y877" s="13" t="n">
        <v>0.00653323256806049</v>
      </c>
      <c r="Z877" s="13" t="n">
        <v>0.00674555929332232</v>
      </c>
      <c r="AA877" s="30" t="s">
        <v>96</v>
      </c>
      <c r="AB877" s="28" t="s">
        <v>93</v>
      </c>
      <c r="AC877" s="28" t="s">
        <v>101</v>
      </c>
      <c r="AD877" s="28" t="s">
        <v>109</v>
      </c>
      <c r="AE877" s="28" t="s">
        <v>101</v>
      </c>
      <c r="AF877" s="28" t="s">
        <v>116</v>
      </c>
      <c r="AG877" s="30" t="s">
        <v>122</v>
      </c>
    </row>
    <row r="878" customFormat="false" ht="15" hidden="false" customHeight="false" outlineLevel="0" collapsed="false">
      <c r="A878" s="10" t="n">
        <v>2026</v>
      </c>
      <c r="B878" s="28" t="s">
        <v>82</v>
      </c>
      <c r="C878" s="29" t="n">
        <v>46244</v>
      </c>
      <c r="D878" s="30" t="s">
        <v>125</v>
      </c>
      <c r="E878" s="28" t="s">
        <v>969</v>
      </c>
      <c r="F878" s="28" t="s">
        <v>970</v>
      </c>
      <c r="G878" s="31" t="n">
        <v>73674</v>
      </c>
      <c r="H878" s="31" t="n">
        <v>1</v>
      </c>
      <c r="I878" s="31" t="n">
        <v>73674</v>
      </c>
      <c r="J878" s="29" t="n">
        <v>46253</v>
      </c>
      <c r="K878" s="31" t="n">
        <v>70030</v>
      </c>
      <c r="L878" s="30" t="s">
        <v>32</v>
      </c>
      <c r="M878" s="10" t="n">
        <v>6</v>
      </c>
      <c r="N878" s="12" t="n">
        <v>-3805</v>
      </c>
      <c r="O878" s="13" t="n">
        <v>-0.0516510028694132</v>
      </c>
      <c r="P878" s="15" t="n">
        <v>0.140164183642445</v>
      </c>
      <c r="Q878" s="13" t="n">
        <v>-0.0498631802979628</v>
      </c>
      <c r="R878" s="15" t="n">
        <v>0.0137741046831956</v>
      </c>
      <c r="S878" s="32" t="n">
        <v>54826553600</v>
      </c>
      <c r="T878" s="15" t="n">
        <v>0.00409276944065495</v>
      </c>
      <c r="U878" s="32" t="n">
        <v>66519326820</v>
      </c>
      <c r="V878" s="14" t="n">
        <v>0.740062384018469</v>
      </c>
      <c r="W878" s="13" t="n">
        <v>0.010989010989011</v>
      </c>
      <c r="X878" s="15" t="n">
        <v>0.00271739130434789</v>
      </c>
      <c r="Y878" s="13" t="n">
        <v>0.00653323256806049</v>
      </c>
      <c r="Z878" s="13" t="n">
        <v>0.00674555929332232</v>
      </c>
      <c r="AA878" s="30" t="s">
        <v>96</v>
      </c>
      <c r="AB878" s="28" t="s">
        <v>93</v>
      </c>
      <c r="AC878" s="28" t="s">
        <v>99</v>
      </c>
      <c r="AD878" s="28" t="s">
        <v>108</v>
      </c>
      <c r="AE878" s="28" t="s">
        <v>112</v>
      </c>
      <c r="AF878" s="28" t="s">
        <v>116</v>
      </c>
      <c r="AG878" s="30" t="s">
        <v>122</v>
      </c>
    </row>
    <row r="879" customFormat="false" ht="15" hidden="false" customHeight="false" outlineLevel="0" collapsed="false">
      <c r="A879" s="10" t="n">
        <v>2026</v>
      </c>
      <c r="B879" s="28" t="s">
        <v>82</v>
      </c>
      <c r="C879" s="29" t="n">
        <v>46244</v>
      </c>
      <c r="D879" s="30" t="s">
        <v>125</v>
      </c>
      <c r="E879" s="28" t="s">
        <v>311</v>
      </c>
      <c r="F879" s="30" t="s">
        <v>312</v>
      </c>
      <c r="G879" s="31" t="n">
        <v>74775</v>
      </c>
      <c r="H879" s="31" t="n">
        <v>1</v>
      </c>
      <c r="I879" s="31" t="n">
        <v>74775</v>
      </c>
      <c r="J879" s="29" t="n">
        <v>46253</v>
      </c>
      <c r="K879" s="31" t="n">
        <v>70230</v>
      </c>
      <c r="L879" s="30" t="s">
        <v>32</v>
      </c>
      <c r="M879" s="10" t="n">
        <v>6</v>
      </c>
      <c r="N879" s="12" t="n">
        <v>-4707</v>
      </c>
      <c r="O879" s="13" t="n">
        <v>-0.0629519083326312</v>
      </c>
      <c r="P879" s="15" t="n">
        <v>0.096627602651699</v>
      </c>
      <c r="Q879" s="13" t="n">
        <v>-0.0638544855412325</v>
      </c>
      <c r="R879" s="15" t="n">
        <v>0.0565770862800565</v>
      </c>
      <c r="S879" s="32" t="n">
        <v>39795229800</v>
      </c>
      <c r="T879" s="15" t="n">
        <v>0.00268456375838921</v>
      </c>
      <c r="U879" s="32" t="n">
        <v>43293399895</v>
      </c>
      <c r="V879" s="14" t="n">
        <v>0.811901004996751</v>
      </c>
      <c r="W879" s="13" t="n">
        <v>0.0550847457627119</v>
      </c>
      <c r="X879" s="15" t="n">
        <v>0</v>
      </c>
      <c r="Y879" s="13" t="n">
        <v>0.00653323256806049</v>
      </c>
      <c r="Z879" s="13" t="n">
        <v>0.00674555929332232</v>
      </c>
      <c r="AA879" s="30" t="s">
        <v>96</v>
      </c>
      <c r="AB879" s="28" t="s">
        <v>93</v>
      </c>
      <c r="AC879" s="28" t="s">
        <v>101</v>
      </c>
      <c r="AD879" s="28" t="s">
        <v>107</v>
      </c>
      <c r="AE879" s="28" t="s">
        <v>112</v>
      </c>
      <c r="AF879" s="28" t="s">
        <v>116</v>
      </c>
      <c r="AG879" s="30" t="s">
        <v>122</v>
      </c>
    </row>
    <row r="880" customFormat="false" ht="15" hidden="false" customHeight="false" outlineLevel="0" collapsed="false">
      <c r="A880" s="10" t="n">
        <v>2026</v>
      </c>
      <c r="B880" s="28" t="s">
        <v>82</v>
      </c>
      <c r="C880" s="29" t="n">
        <v>46244</v>
      </c>
      <c r="D880" s="30" t="s">
        <v>125</v>
      </c>
      <c r="E880" s="28" t="s">
        <v>469</v>
      </c>
      <c r="F880" s="28" t="s">
        <v>470</v>
      </c>
      <c r="G880" s="31" t="n">
        <v>40741</v>
      </c>
      <c r="H880" s="31" t="n">
        <v>2</v>
      </c>
      <c r="I880" s="31" t="n">
        <v>81481</v>
      </c>
      <c r="J880" s="29" t="n">
        <v>46254</v>
      </c>
      <c r="K880" s="31" t="n">
        <v>38761</v>
      </c>
      <c r="L880" s="30" t="s">
        <v>32</v>
      </c>
      <c r="M880" s="10" t="n">
        <v>7</v>
      </c>
      <c r="N880" s="12" t="n">
        <v>-4138</v>
      </c>
      <c r="O880" s="13" t="n">
        <v>-0.0507833121424032</v>
      </c>
      <c r="P880" s="15" t="n">
        <v>0.1094556549102</v>
      </c>
      <c r="Q880" s="13" t="n">
        <v>-0.0660445205899751</v>
      </c>
      <c r="R880" s="15" t="n">
        <v>0.0911528150134049</v>
      </c>
      <c r="S880" s="32" t="n">
        <v>38323242100</v>
      </c>
      <c r="T880" s="15" t="n">
        <v>0.0911528150134049</v>
      </c>
      <c r="U880" s="32" t="n">
        <v>44164399530</v>
      </c>
      <c r="V880" s="14" t="n">
        <v>0.655640895985856</v>
      </c>
      <c r="W880" s="13" t="n">
        <v>0.0911528150134049</v>
      </c>
      <c r="X880" s="15" t="n">
        <v>0.00982800982800991</v>
      </c>
      <c r="Y880" s="13" t="n">
        <v>0.00653323256806049</v>
      </c>
      <c r="Z880" s="13" t="n">
        <v>0.00674555929332232</v>
      </c>
      <c r="AA880" s="30" t="s">
        <v>96</v>
      </c>
      <c r="AB880" s="28" t="s">
        <v>93</v>
      </c>
      <c r="AC880" s="28" t="s">
        <v>101</v>
      </c>
      <c r="AD880" s="28" t="s">
        <v>107</v>
      </c>
      <c r="AE880" s="28" t="s">
        <v>101</v>
      </c>
      <c r="AF880" s="28" t="s">
        <v>116</v>
      </c>
      <c r="AG880" s="30" t="s">
        <v>122</v>
      </c>
    </row>
    <row r="881" customFormat="false" ht="15" hidden="false" customHeight="false" outlineLevel="0" collapsed="false">
      <c r="A881" s="10" t="n">
        <v>2026</v>
      </c>
      <c r="B881" s="28" t="s">
        <v>82</v>
      </c>
      <c r="C881" s="29" t="n">
        <v>46244</v>
      </c>
      <c r="D881" s="30" t="s">
        <v>125</v>
      </c>
      <c r="E881" s="28" t="s">
        <v>859</v>
      </c>
      <c r="F881" s="28" t="s">
        <v>860</v>
      </c>
      <c r="G881" s="31" t="n">
        <v>54454</v>
      </c>
      <c r="H881" s="31" t="n">
        <v>1</v>
      </c>
      <c r="I881" s="31" t="n">
        <v>54454</v>
      </c>
      <c r="J881" s="29" t="n">
        <v>46245</v>
      </c>
      <c r="K881" s="31" t="n">
        <v>51748</v>
      </c>
      <c r="L881" s="30" t="s">
        <v>32</v>
      </c>
      <c r="M881" s="10" t="n">
        <v>1</v>
      </c>
      <c r="N881" s="12" t="n">
        <v>-2826</v>
      </c>
      <c r="O881" s="13" t="n">
        <v>-0.0518897791546689</v>
      </c>
      <c r="P881" s="15" t="n">
        <v>-0.0193629899512251</v>
      </c>
      <c r="Q881" s="13" t="n">
        <v>-0.0671093612270082</v>
      </c>
      <c r="R881" s="15" t="n">
        <v>0.12280701754386</v>
      </c>
      <c r="S881" s="32" t="n">
        <v>38312505600</v>
      </c>
      <c r="T881" s="15" t="n">
        <v>0.0401529636711282</v>
      </c>
      <c r="U881" s="32" t="n">
        <v>16722476572.5</v>
      </c>
      <c r="V881" s="14" t="n">
        <v>1.97433853853186</v>
      </c>
      <c r="W881" s="13" t="n">
        <v>0.0522243713733075</v>
      </c>
      <c r="X881" s="15" t="n">
        <v>0.00551470588235303</v>
      </c>
      <c r="Y881" s="13" t="n">
        <v>0.00653323256806049</v>
      </c>
      <c r="Z881" s="13" t="n">
        <v>0.00674555929332232</v>
      </c>
      <c r="AA881" s="30" t="s">
        <v>96</v>
      </c>
      <c r="AB881" s="28" t="s">
        <v>93</v>
      </c>
      <c r="AC881" s="28" t="s">
        <v>102</v>
      </c>
      <c r="AD881" s="28" t="s">
        <v>107</v>
      </c>
      <c r="AE881" s="28" t="s">
        <v>113</v>
      </c>
      <c r="AF881" s="28" t="s">
        <v>116</v>
      </c>
      <c r="AG881" s="30" t="s">
        <v>122</v>
      </c>
    </row>
    <row r="882" customFormat="false" ht="15" hidden="false" customHeight="false" outlineLevel="0" collapsed="false">
      <c r="A882" s="10" t="n">
        <v>2026</v>
      </c>
      <c r="B882" s="28" t="s">
        <v>82</v>
      </c>
      <c r="C882" s="29" t="n">
        <v>46244</v>
      </c>
      <c r="D882" s="30" t="s">
        <v>125</v>
      </c>
      <c r="E882" s="28" t="s">
        <v>1533</v>
      </c>
      <c r="F882" s="30" t="s">
        <v>1534</v>
      </c>
      <c r="G882" s="31" t="n">
        <v>33533</v>
      </c>
      <c r="H882" s="31" t="n">
        <v>2</v>
      </c>
      <c r="I882" s="31" t="n">
        <v>67067</v>
      </c>
      <c r="J882" s="29" t="n">
        <v>46248</v>
      </c>
      <c r="K882" s="31" t="n">
        <v>31918</v>
      </c>
      <c r="L882" s="30" t="s">
        <v>32</v>
      </c>
      <c r="M882" s="10" t="n">
        <v>4</v>
      </c>
      <c r="N882" s="12" t="n">
        <v>-3378</v>
      </c>
      <c r="O882" s="13" t="n">
        <v>-0.0503706392860869</v>
      </c>
      <c r="P882" s="15" t="n">
        <v>0.076535404893614</v>
      </c>
      <c r="Q882" s="13" t="n">
        <v>-0.0785334068916157</v>
      </c>
      <c r="R882" s="15" t="n">
        <v>0.0806451612903225</v>
      </c>
      <c r="S882" s="32" t="n">
        <v>21275649000</v>
      </c>
      <c r="T882" s="15" t="n">
        <v>0.0403726708074534</v>
      </c>
      <c r="U882" s="32" t="n">
        <v>10598328645</v>
      </c>
      <c r="V882" s="14" t="n">
        <v>1.76361087395367</v>
      </c>
      <c r="W882" s="13" t="n">
        <v>0.0387596899224807</v>
      </c>
      <c r="X882" s="15" t="n">
        <v>0.0134328358208955</v>
      </c>
      <c r="Y882" s="13" t="n">
        <v>0.00653323256806049</v>
      </c>
      <c r="Z882" s="13" t="n">
        <v>0.00674555929332232</v>
      </c>
      <c r="AA882" s="30" t="s">
        <v>96</v>
      </c>
      <c r="AB882" s="28" t="s">
        <v>93</v>
      </c>
      <c r="AC882" s="28" t="s">
        <v>101</v>
      </c>
      <c r="AD882" s="28" t="s">
        <v>106</v>
      </c>
      <c r="AE882" s="28" t="s">
        <v>113</v>
      </c>
      <c r="AF882" s="28" t="s">
        <v>116</v>
      </c>
      <c r="AG882" s="30" t="s">
        <v>122</v>
      </c>
    </row>
    <row r="883" customFormat="false" ht="15" hidden="false" customHeight="false" outlineLevel="0" collapsed="false">
      <c r="A883" s="10" t="n">
        <v>2026</v>
      </c>
      <c r="B883" s="28" t="s">
        <v>82</v>
      </c>
      <c r="C883" s="29" t="n">
        <v>46245</v>
      </c>
      <c r="D883" s="30" t="s">
        <v>126</v>
      </c>
      <c r="E883" s="28" t="s">
        <v>825</v>
      </c>
      <c r="F883" s="30" t="s">
        <v>826</v>
      </c>
      <c r="G883" s="31" t="n">
        <v>17337</v>
      </c>
      <c r="H883" s="31" t="n">
        <v>5</v>
      </c>
      <c r="I883" s="31" t="n">
        <v>86687</v>
      </c>
      <c r="J883" s="29" t="n">
        <v>46253</v>
      </c>
      <c r="K883" s="31" t="n">
        <v>16154</v>
      </c>
      <c r="L883" s="30" t="s">
        <v>32</v>
      </c>
      <c r="M883" s="10" t="n">
        <v>5</v>
      </c>
      <c r="N883" s="12" t="n">
        <v>-6104</v>
      </c>
      <c r="O883" s="13" t="n">
        <v>-0.0704158043169305</v>
      </c>
      <c r="P883" s="15" t="n">
        <v>0.103400064139094</v>
      </c>
      <c r="Q883" s="13" t="n">
        <v>-0.0742513837202059</v>
      </c>
      <c r="R883" s="15" t="n">
        <v>0.0170287727539635</v>
      </c>
      <c r="S883" s="32" t="n">
        <v>91888835200</v>
      </c>
      <c r="T883" s="15" t="n">
        <v>0.0170287727539635</v>
      </c>
      <c r="U883" s="32" t="n">
        <v>81767806396.5</v>
      </c>
      <c r="V883" s="14" t="n">
        <v>0.97347918052817</v>
      </c>
      <c r="W883" s="13" t="n">
        <v>0.0321811680572111</v>
      </c>
      <c r="X883" s="15" t="n">
        <v>0.00981524249422638</v>
      </c>
      <c r="Y883" s="13" t="n">
        <v>0.00728134534244695</v>
      </c>
      <c r="Z883" s="13" t="n">
        <v>-0.0021104113100433</v>
      </c>
      <c r="AA883" s="30" t="s">
        <v>96</v>
      </c>
      <c r="AB883" s="28" t="s">
        <v>94</v>
      </c>
      <c r="AC883" s="28" t="s">
        <v>99</v>
      </c>
      <c r="AD883" s="28" t="s">
        <v>108</v>
      </c>
      <c r="AE883" s="28" t="s">
        <v>112</v>
      </c>
      <c r="AF883" s="28" t="s">
        <v>116</v>
      </c>
      <c r="AG883" s="30" t="s">
        <v>122</v>
      </c>
    </row>
    <row r="884" customFormat="false" ht="15" hidden="false" customHeight="false" outlineLevel="0" collapsed="false">
      <c r="A884" s="10" t="n">
        <v>2026</v>
      </c>
      <c r="B884" s="28" t="s">
        <v>82</v>
      </c>
      <c r="C884" s="29" t="n">
        <v>46245</v>
      </c>
      <c r="D884" s="30" t="s">
        <v>126</v>
      </c>
      <c r="E884" s="28" t="s">
        <v>1271</v>
      </c>
      <c r="F884" s="28" t="s">
        <v>1272</v>
      </c>
      <c r="G884" s="31" t="n">
        <v>6186</v>
      </c>
      <c r="H884" s="31" t="n">
        <v>16</v>
      </c>
      <c r="I884" s="31" t="n">
        <v>98979</v>
      </c>
      <c r="J884" s="29" t="n">
        <v>46246</v>
      </c>
      <c r="K884" s="31" t="n">
        <v>5884</v>
      </c>
      <c r="L884" s="30" t="s">
        <v>32</v>
      </c>
      <c r="M884" s="10" t="n">
        <v>1</v>
      </c>
      <c r="N884" s="12" t="n">
        <v>-5050</v>
      </c>
      <c r="O884" s="13" t="n">
        <v>-0.051024826872157</v>
      </c>
      <c r="P884" s="15" t="n">
        <v>0.00385051841362527</v>
      </c>
      <c r="Q884" s="13" t="n">
        <v>-0.0608097404213909</v>
      </c>
      <c r="R884" s="15" t="n">
        <v>0.115523465703971</v>
      </c>
      <c r="S884" s="32" t="n">
        <v>41647848120</v>
      </c>
      <c r="T884" s="15" t="n">
        <v>0.0214876033057851</v>
      </c>
      <c r="U884" s="32" t="n">
        <v>14139990544.25</v>
      </c>
      <c r="V884" s="14" t="n">
        <v>2.53008935948508</v>
      </c>
      <c r="W884" s="13" t="n">
        <v>0.113513513513514</v>
      </c>
      <c r="X884" s="15" t="n">
        <v>0.0404530744336569</v>
      </c>
      <c r="Y884" s="13" t="n">
        <v>0.00728134534244695</v>
      </c>
      <c r="Z884" s="13" t="n">
        <v>-0.0021104113100433</v>
      </c>
      <c r="AA884" s="30" t="s">
        <v>96</v>
      </c>
      <c r="AB884" s="28" t="s">
        <v>94</v>
      </c>
      <c r="AC884" s="28" t="s">
        <v>102</v>
      </c>
      <c r="AD884" s="28" t="s">
        <v>107</v>
      </c>
      <c r="AE884" s="28" t="s">
        <v>113</v>
      </c>
      <c r="AF884" s="28" t="s">
        <v>117</v>
      </c>
      <c r="AG884" s="30" t="s">
        <v>122</v>
      </c>
    </row>
    <row r="885" customFormat="false" ht="15" hidden="false" customHeight="false" outlineLevel="0" collapsed="false">
      <c r="A885" s="10" t="n">
        <v>2026</v>
      </c>
      <c r="B885" s="28" t="s">
        <v>82</v>
      </c>
      <c r="C885" s="29" t="n">
        <v>46245</v>
      </c>
      <c r="D885" s="30" t="s">
        <v>126</v>
      </c>
      <c r="E885" s="28" t="s">
        <v>923</v>
      </c>
      <c r="F885" s="30" t="s">
        <v>924</v>
      </c>
      <c r="G885" s="31" t="n">
        <v>16787</v>
      </c>
      <c r="H885" s="31" t="n">
        <v>5</v>
      </c>
      <c r="I885" s="31" t="n">
        <v>83934</v>
      </c>
      <c r="J885" s="29" t="n">
        <v>46246</v>
      </c>
      <c r="K885" s="31" t="n">
        <v>15974</v>
      </c>
      <c r="L885" s="30" t="s">
        <v>32</v>
      </c>
      <c r="M885" s="10" t="n">
        <v>1</v>
      </c>
      <c r="N885" s="12" t="n">
        <v>-4248</v>
      </c>
      <c r="O885" s="13" t="n">
        <v>-0.0506126036753941</v>
      </c>
      <c r="P885" s="15" t="n">
        <v>-0.0111260236483848</v>
      </c>
      <c r="Q885" s="13" t="n">
        <v>-0.0760581100473764</v>
      </c>
      <c r="R885" s="15" t="n">
        <v>0.0256880733944953</v>
      </c>
      <c r="S885" s="32" t="n">
        <v>25790281140</v>
      </c>
      <c r="T885" s="15" t="n">
        <v>0.0256880733944953</v>
      </c>
      <c r="U885" s="32" t="n">
        <v>7238330876.5</v>
      </c>
      <c r="V885" s="14" t="n">
        <v>3.09133754026032</v>
      </c>
      <c r="W885" s="13" t="n">
        <v>0.019452887537994</v>
      </c>
      <c r="X885" s="15" t="n">
        <v>0.050685748360167</v>
      </c>
      <c r="Y885" s="13" t="n">
        <v>0.00728134534244695</v>
      </c>
      <c r="Z885" s="13" t="n">
        <v>-0.0021104113100433</v>
      </c>
      <c r="AA885" s="30" t="s">
        <v>96</v>
      </c>
      <c r="AB885" s="28" t="s">
        <v>94</v>
      </c>
      <c r="AC885" s="28" t="s">
        <v>99</v>
      </c>
      <c r="AD885" s="28" t="s">
        <v>106</v>
      </c>
      <c r="AE885" s="28" t="s">
        <v>113</v>
      </c>
      <c r="AF885" s="28" t="s">
        <v>118</v>
      </c>
      <c r="AG885" s="30" t="s">
        <v>122</v>
      </c>
    </row>
    <row r="886" customFormat="false" ht="15" hidden="false" customHeight="false" outlineLevel="0" collapsed="false">
      <c r="A886" s="10" t="n">
        <v>2026</v>
      </c>
      <c r="B886" s="28" t="s">
        <v>82</v>
      </c>
      <c r="C886" s="29" t="n">
        <v>46246</v>
      </c>
      <c r="D886" s="30" t="s">
        <v>127</v>
      </c>
      <c r="E886" s="28" t="s">
        <v>1535</v>
      </c>
      <c r="F886" s="30" t="s">
        <v>1536</v>
      </c>
      <c r="G886" s="31" t="n">
        <v>6286</v>
      </c>
      <c r="H886" s="31" t="n">
        <v>15</v>
      </c>
      <c r="I886" s="31" t="n">
        <v>94294</v>
      </c>
      <c r="J886" s="29" t="n">
        <v>46247</v>
      </c>
      <c r="K886" s="31" t="n">
        <v>5984</v>
      </c>
      <c r="L886" s="30" t="s">
        <v>32</v>
      </c>
      <c r="M886" s="10" t="n">
        <v>1</v>
      </c>
      <c r="N886" s="12" t="n">
        <v>-4741</v>
      </c>
      <c r="O886" s="13" t="n">
        <v>-0.0502807007482963</v>
      </c>
      <c r="P886" s="15" t="n">
        <v>0.0753577632558524</v>
      </c>
      <c r="Q886" s="13" t="n">
        <v>-0.172801720572421</v>
      </c>
      <c r="R886" s="15" t="n">
        <v>0.198473282442748</v>
      </c>
      <c r="S886" s="32" t="n">
        <v>93158587600</v>
      </c>
      <c r="T886" s="15" t="n">
        <v>0.135623869801085</v>
      </c>
      <c r="U886" s="32" t="n">
        <v>19013033085</v>
      </c>
      <c r="V886" s="14" t="n">
        <v>3.46791412580793</v>
      </c>
      <c r="W886" s="13" t="n">
        <v>0.212355212355212</v>
      </c>
      <c r="X886" s="15" t="n">
        <v>0.0668789808917198</v>
      </c>
      <c r="Y886" s="13" t="n">
        <v>0.0367991326177641</v>
      </c>
      <c r="Z886" s="13" t="n">
        <v>-0.00291288915562593</v>
      </c>
      <c r="AA886" s="30" t="s">
        <v>97</v>
      </c>
      <c r="AB886" s="28" t="s">
        <v>94</v>
      </c>
      <c r="AC886" s="28" t="s">
        <v>103</v>
      </c>
      <c r="AD886" s="28" t="s">
        <v>108</v>
      </c>
      <c r="AE886" s="28" t="s">
        <v>114</v>
      </c>
      <c r="AF886" s="28" t="s">
        <v>118</v>
      </c>
      <c r="AG886" s="30" t="s">
        <v>122</v>
      </c>
    </row>
    <row r="887" customFormat="false" ht="15" hidden="false" customHeight="false" outlineLevel="0" collapsed="false">
      <c r="A887" s="10" t="n">
        <v>2026</v>
      </c>
      <c r="B887" s="28" t="s">
        <v>82</v>
      </c>
      <c r="C887" s="29" t="n">
        <v>46246</v>
      </c>
      <c r="D887" s="30" t="s">
        <v>127</v>
      </c>
      <c r="E887" s="28" t="s">
        <v>1501</v>
      </c>
      <c r="F887" s="30" t="s">
        <v>1502</v>
      </c>
      <c r="G887" s="31" t="n">
        <v>13864</v>
      </c>
      <c r="H887" s="31" t="n">
        <v>7</v>
      </c>
      <c r="I887" s="31" t="n">
        <v>97047</v>
      </c>
      <c r="J887" s="29" t="n">
        <v>46247</v>
      </c>
      <c r="K887" s="31" t="n">
        <v>13197</v>
      </c>
      <c r="L887" s="30" t="s">
        <v>32</v>
      </c>
      <c r="M887" s="10" t="n">
        <v>1</v>
      </c>
      <c r="N887" s="12" t="n">
        <v>-4883</v>
      </c>
      <c r="O887" s="13" t="n">
        <v>-0.0503116144505313</v>
      </c>
      <c r="P887" s="15" t="n">
        <v>0.0732949361108206</v>
      </c>
      <c r="Q887" s="13" t="n">
        <v>-0.0550965280207156</v>
      </c>
      <c r="R887" s="15" t="n">
        <v>0.117836965294592</v>
      </c>
      <c r="S887" s="32" t="n">
        <v>22502745950</v>
      </c>
      <c r="T887" s="15" t="n">
        <v>0.0492424242424243</v>
      </c>
      <c r="U887" s="32" t="n">
        <v>9963884331</v>
      </c>
      <c r="V887" s="14" t="n">
        <v>1.7385919107682</v>
      </c>
      <c r="W887" s="13" t="n">
        <v>0.105347166799681</v>
      </c>
      <c r="X887" s="15" t="n">
        <v>0.0310469314079422</v>
      </c>
      <c r="Y887" s="13" t="n">
        <v>0.0367991326177641</v>
      </c>
      <c r="Z887" s="13" t="n">
        <v>-0.00291288915562593</v>
      </c>
      <c r="AA887" s="30" t="s">
        <v>97</v>
      </c>
      <c r="AB887" s="28" t="s">
        <v>94</v>
      </c>
      <c r="AC887" s="28" t="s">
        <v>102</v>
      </c>
      <c r="AD887" s="28" t="s">
        <v>106</v>
      </c>
      <c r="AE887" s="28" t="s">
        <v>113</v>
      </c>
      <c r="AF887" s="28" t="s">
        <v>116</v>
      </c>
      <c r="AG887" s="30" t="s">
        <v>122</v>
      </c>
    </row>
    <row r="888" customFormat="false" ht="15" hidden="false" customHeight="false" outlineLevel="0" collapsed="false">
      <c r="A888" s="10" t="n">
        <v>2026</v>
      </c>
      <c r="B888" s="28" t="s">
        <v>82</v>
      </c>
      <c r="C888" s="29" t="n">
        <v>46246</v>
      </c>
      <c r="D888" s="30" t="s">
        <v>127</v>
      </c>
      <c r="E888" s="28" t="s">
        <v>447</v>
      </c>
      <c r="F888" s="30" t="s">
        <v>448</v>
      </c>
      <c r="G888" s="31" t="n">
        <v>18889</v>
      </c>
      <c r="H888" s="31" t="n">
        <v>5</v>
      </c>
      <c r="I888" s="31" t="n">
        <v>94444</v>
      </c>
      <c r="J888" s="29" t="n">
        <v>46252</v>
      </c>
      <c r="K888" s="31" t="n">
        <v>17982</v>
      </c>
      <c r="L888" s="30" t="s">
        <v>32</v>
      </c>
      <c r="M888" s="10" t="n">
        <v>3</v>
      </c>
      <c r="N888" s="12" t="n">
        <v>-4742</v>
      </c>
      <c r="O888" s="13" t="n">
        <v>-0.050207589469354</v>
      </c>
      <c r="P888" s="15" t="n">
        <v>0.0122363063539535</v>
      </c>
      <c r="Q888" s="13" t="n">
        <v>-0.104234398352045</v>
      </c>
      <c r="R888" s="15" t="n">
        <v>0.229315960912052</v>
      </c>
      <c r="S888" s="32" t="n">
        <v>21221579400</v>
      </c>
      <c r="T888" s="15" t="n">
        <v>0.15625</v>
      </c>
      <c r="U888" s="32" t="n">
        <v>4224139644</v>
      </c>
      <c r="V888" s="14" t="n">
        <v>3.80916897340386</v>
      </c>
      <c r="W888" s="13" t="n">
        <v>0.198856416772554</v>
      </c>
      <c r="X888" s="15" t="n">
        <v>0.00529941706412296</v>
      </c>
      <c r="Y888" s="13" t="n">
        <v>0.0367991326177641</v>
      </c>
      <c r="Z888" s="13" t="n">
        <v>-0.00291288915562593</v>
      </c>
      <c r="AA888" s="30" t="s">
        <v>97</v>
      </c>
      <c r="AB888" s="28" t="s">
        <v>94</v>
      </c>
      <c r="AC888" s="28" t="s">
        <v>104</v>
      </c>
      <c r="AD888" s="28" t="s">
        <v>106</v>
      </c>
      <c r="AE888" s="28" t="s">
        <v>114</v>
      </c>
      <c r="AF888" s="28" t="s">
        <v>118</v>
      </c>
      <c r="AG888" s="30" t="s">
        <v>122</v>
      </c>
    </row>
    <row r="889" customFormat="false" ht="15" hidden="false" customHeight="false" outlineLevel="0" collapsed="false">
      <c r="A889" s="10" t="n">
        <v>2026</v>
      </c>
      <c r="B889" s="28" t="s">
        <v>82</v>
      </c>
      <c r="C889" s="29" t="n">
        <v>46247</v>
      </c>
      <c r="D889" s="30" t="s">
        <v>128</v>
      </c>
      <c r="E889" s="28" t="s">
        <v>413</v>
      </c>
      <c r="F889" s="30" t="s">
        <v>414</v>
      </c>
      <c r="G889" s="31" t="n">
        <v>19269</v>
      </c>
      <c r="H889" s="31" t="n">
        <v>5</v>
      </c>
      <c r="I889" s="31" t="n">
        <v>96346</v>
      </c>
      <c r="J889" s="29" t="n">
        <v>46248</v>
      </c>
      <c r="K889" s="31" t="n">
        <v>18342</v>
      </c>
      <c r="L889" s="30" t="s">
        <v>32</v>
      </c>
      <c r="M889" s="10" t="n">
        <v>1</v>
      </c>
      <c r="N889" s="12" t="n">
        <v>-4850</v>
      </c>
      <c r="O889" s="13" t="n">
        <v>-0.0503358933793479</v>
      </c>
      <c r="P889" s="15" t="n">
        <v>-0.00255588567276865</v>
      </c>
      <c r="Q889" s="13" t="n">
        <v>-0.0643123110655577</v>
      </c>
      <c r="R889" s="15" t="n">
        <v>0.0422306442880347</v>
      </c>
      <c r="S889" s="32" t="n">
        <v>54858919500</v>
      </c>
      <c r="T889" s="15" t="n">
        <v>0.013157894736842</v>
      </c>
      <c r="U889" s="32" t="n">
        <v>12504547602.5</v>
      </c>
      <c r="V889" s="14" t="n">
        <v>3.81509912642584</v>
      </c>
      <c r="W889" s="13" t="n">
        <v>0.0519125683060109</v>
      </c>
      <c r="X889" s="15" t="n">
        <v>0.0353246753246754</v>
      </c>
      <c r="Y889" s="13" t="n">
        <v>0.0356130985675722</v>
      </c>
      <c r="Z889" s="13" t="n">
        <v>0.082104320260213</v>
      </c>
      <c r="AA889" s="30" t="s">
        <v>97</v>
      </c>
      <c r="AB889" s="28" t="s">
        <v>93</v>
      </c>
      <c r="AC889" s="28" t="s">
        <v>100</v>
      </c>
      <c r="AD889" s="28" t="s">
        <v>108</v>
      </c>
      <c r="AE889" s="28" t="s">
        <v>112</v>
      </c>
      <c r="AF889" s="28" t="s">
        <v>118</v>
      </c>
      <c r="AG889" s="30" t="s">
        <v>122</v>
      </c>
    </row>
    <row r="890" customFormat="false" ht="15" hidden="false" customHeight="false" outlineLevel="0" collapsed="false">
      <c r="A890" s="10" t="n">
        <v>2026</v>
      </c>
      <c r="B890" s="28" t="s">
        <v>82</v>
      </c>
      <c r="C890" s="29" t="n">
        <v>46247</v>
      </c>
      <c r="D890" s="30" t="s">
        <v>128</v>
      </c>
      <c r="E890" s="28" t="s">
        <v>1339</v>
      </c>
      <c r="F890" s="30" t="s">
        <v>1340</v>
      </c>
      <c r="G890" s="31" t="n">
        <v>1840</v>
      </c>
      <c r="H890" s="31" t="n">
        <v>54</v>
      </c>
      <c r="I890" s="31" t="n">
        <v>99351</v>
      </c>
      <c r="J890" s="29" t="n">
        <v>46252</v>
      </c>
      <c r="K890" s="31" t="n">
        <v>1751</v>
      </c>
      <c r="L890" s="30" t="s">
        <v>32</v>
      </c>
      <c r="M890" s="10" t="n">
        <v>2</v>
      </c>
      <c r="N890" s="12" t="n">
        <v>-5002</v>
      </c>
      <c r="O890" s="13" t="n">
        <v>-0.0503479962638014</v>
      </c>
      <c r="P890" s="15" t="n">
        <v>0.0843345990244795</v>
      </c>
      <c r="Q890" s="13" t="n">
        <v>-0.0830714443336857</v>
      </c>
      <c r="R890" s="15" t="n">
        <v>0.191958495460441</v>
      </c>
      <c r="S890" s="32" t="n">
        <v>40400074452</v>
      </c>
      <c r="T890" s="15" t="n">
        <v>0.165504121750159</v>
      </c>
      <c r="U890" s="32" t="n">
        <v>5290741813.9</v>
      </c>
      <c r="V890" s="14" t="n">
        <v>6.26768719121211</v>
      </c>
      <c r="W890" s="13" t="n">
        <v>0.191186001296176</v>
      </c>
      <c r="X890" s="15" t="n">
        <v>0.088139281828074</v>
      </c>
      <c r="Y890" s="13" t="n">
        <v>0.0356130985675722</v>
      </c>
      <c r="Z890" s="13" t="n">
        <v>0.082104320260213</v>
      </c>
      <c r="AA890" s="30" t="s">
        <v>97</v>
      </c>
      <c r="AB890" s="28" t="s">
        <v>93</v>
      </c>
      <c r="AC890" s="28" t="s">
        <v>103</v>
      </c>
      <c r="AD890" s="28" t="s">
        <v>107</v>
      </c>
      <c r="AE890" s="28" t="s">
        <v>114</v>
      </c>
      <c r="AF890" s="28" t="s">
        <v>119</v>
      </c>
      <c r="AG890" s="30" t="s">
        <v>122</v>
      </c>
    </row>
    <row r="891" customFormat="false" ht="15" hidden="false" customHeight="false" outlineLevel="0" collapsed="false">
      <c r="A891" s="10" t="n">
        <v>2026</v>
      </c>
      <c r="B891" s="28" t="s">
        <v>82</v>
      </c>
      <c r="C891" s="29" t="n">
        <v>46247</v>
      </c>
      <c r="D891" s="30" t="s">
        <v>128</v>
      </c>
      <c r="E891" s="28" t="s">
        <v>565</v>
      </c>
      <c r="F891" s="30" t="s">
        <v>566</v>
      </c>
      <c r="G891" s="31" t="n">
        <v>60460</v>
      </c>
      <c r="H891" s="31" t="n">
        <v>1</v>
      </c>
      <c r="I891" s="31" t="n">
        <v>60460</v>
      </c>
      <c r="J891" s="29" t="n">
        <v>46253</v>
      </c>
      <c r="K891" s="31" t="n">
        <v>57442</v>
      </c>
      <c r="L891" s="30" t="s">
        <v>32</v>
      </c>
      <c r="M891" s="10" t="n">
        <v>3</v>
      </c>
      <c r="N891" s="12" t="n">
        <v>-3150</v>
      </c>
      <c r="O891" s="13" t="n">
        <v>-0.052107998541194</v>
      </c>
      <c r="P891" s="15" t="n">
        <v>0.0420043532626315</v>
      </c>
      <c r="Q891" s="13" t="n">
        <v>-0.0820437840305389</v>
      </c>
      <c r="R891" s="15" t="n">
        <v>0.0843806104129263</v>
      </c>
      <c r="S891" s="32" t="n">
        <v>33184364000</v>
      </c>
      <c r="T891" s="15" t="n">
        <v>0.0615114235500878</v>
      </c>
      <c r="U891" s="32" t="n">
        <v>16139026797.5</v>
      </c>
      <c r="V891" s="14" t="n">
        <v>1.67374405220865</v>
      </c>
      <c r="W891" s="13" t="n">
        <v>0.0413793103448277</v>
      </c>
      <c r="X891" s="15" t="n">
        <v>0.0430463576158942</v>
      </c>
      <c r="Y891" s="13" t="n">
        <v>0.0356130985675722</v>
      </c>
      <c r="Z891" s="13" t="n">
        <v>0.082104320260213</v>
      </c>
      <c r="AA891" s="30" t="s">
        <v>97</v>
      </c>
      <c r="AB891" s="28" t="s">
        <v>93</v>
      </c>
      <c r="AC891" s="28" t="s">
        <v>101</v>
      </c>
      <c r="AD891" s="28" t="s">
        <v>107</v>
      </c>
      <c r="AE891" s="28" t="s">
        <v>101</v>
      </c>
      <c r="AF891" s="28" t="s">
        <v>116</v>
      </c>
      <c r="AG891" s="30" t="s">
        <v>122</v>
      </c>
    </row>
    <row r="892" customFormat="false" ht="15" hidden="false" customHeight="false" outlineLevel="0" collapsed="false">
      <c r="A892" s="10" t="n">
        <v>2026</v>
      </c>
      <c r="B892" s="28" t="s">
        <v>82</v>
      </c>
      <c r="C892" s="29" t="n">
        <v>46248</v>
      </c>
      <c r="D892" s="30" t="s">
        <v>129</v>
      </c>
      <c r="E892" s="28" t="s">
        <v>1471</v>
      </c>
      <c r="F892" s="30" t="s">
        <v>1472</v>
      </c>
      <c r="G892" s="31" t="n">
        <v>23624</v>
      </c>
      <c r="H892" s="31" t="n">
        <v>4</v>
      </c>
      <c r="I892" s="31" t="n">
        <v>94494</v>
      </c>
      <c r="J892" s="29" t="n">
        <v>46252</v>
      </c>
      <c r="K892" s="31" t="n">
        <v>22478</v>
      </c>
      <c r="L892" s="30" t="s">
        <v>32</v>
      </c>
      <c r="M892" s="10" t="n">
        <v>1</v>
      </c>
      <c r="N892" s="12" t="n">
        <v>-4792</v>
      </c>
      <c r="O892" s="13" t="n">
        <v>-0.0507107369325589</v>
      </c>
      <c r="P892" s="15" t="n">
        <v>0.0243993294840754</v>
      </c>
      <c r="Q892" s="13" t="n">
        <v>-0.106825378011819</v>
      </c>
      <c r="R892" s="15" t="n">
        <v>0.102803738317757</v>
      </c>
      <c r="S892" s="32" t="n">
        <v>26459588400</v>
      </c>
      <c r="T892" s="15" t="n">
        <v>0.0976744186046512</v>
      </c>
      <c r="U892" s="32" t="n">
        <v>6867018474.5</v>
      </c>
      <c r="V892" s="14" t="n">
        <v>3.17454169153925</v>
      </c>
      <c r="W892" s="13" t="n">
        <v>0.105386416861827</v>
      </c>
      <c r="X892" s="15" t="n">
        <v>0.165254237288136</v>
      </c>
      <c r="Y892" s="13" t="n">
        <v>0.0241584890817133</v>
      </c>
      <c r="Z892" s="13" t="n">
        <v>0.114905963951383</v>
      </c>
      <c r="AA892" s="30" t="s">
        <v>97</v>
      </c>
      <c r="AB892" s="28" t="s">
        <v>93</v>
      </c>
      <c r="AC892" s="28" t="s">
        <v>102</v>
      </c>
      <c r="AD892" s="28" t="s">
        <v>106</v>
      </c>
      <c r="AE892" s="28" t="s">
        <v>101</v>
      </c>
      <c r="AF892" s="28" t="s">
        <v>118</v>
      </c>
      <c r="AG892" s="30" t="s">
        <v>122</v>
      </c>
    </row>
    <row r="893" customFormat="false" ht="15" hidden="false" customHeight="false" outlineLevel="0" collapsed="false">
      <c r="A893" s="10" t="n">
        <v>2026</v>
      </c>
      <c r="B893" s="28" t="s">
        <v>82</v>
      </c>
      <c r="C893" s="29" t="n">
        <v>46252</v>
      </c>
      <c r="D893" s="30" t="s">
        <v>126</v>
      </c>
      <c r="E893" s="28" t="s">
        <v>713</v>
      </c>
      <c r="F893" s="30" t="s">
        <v>714</v>
      </c>
      <c r="G893" s="31" t="n">
        <v>39239</v>
      </c>
      <c r="H893" s="31" t="n">
        <v>2</v>
      </c>
      <c r="I893" s="31" t="n">
        <v>78478</v>
      </c>
      <c r="J893" s="29" t="n">
        <v>46253</v>
      </c>
      <c r="K893" s="31" t="n">
        <v>37313</v>
      </c>
      <c r="L893" s="30" t="s">
        <v>32</v>
      </c>
      <c r="M893" s="10" t="n">
        <v>1</v>
      </c>
      <c r="N893" s="12" t="n">
        <v>-4025</v>
      </c>
      <c r="O893" s="13" t="n">
        <v>-0.0512920262772941</v>
      </c>
      <c r="P893" s="15" t="n">
        <v>0.00855776876185055</v>
      </c>
      <c r="Q893" s="13" t="n">
        <v>-0.0876470468307202</v>
      </c>
      <c r="R893" s="15" t="n">
        <v>0.0710382513661203</v>
      </c>
      <c r="S893" s="32" t="n">
        <v>259802664800</v>
      </c>
      <c r="T893" s="15" t="n">
        <v>0.0594594594594595</v>
      </c>
      <c r="U893" s="32" t="n">
        <v>52581369302.5</v>
      </c>
      <c r="V893" s="14" t="n">
        <v>4.15258025833316</v>
      </c>
      <c r="W893" s="13" t="n">
        <v>-0.0175438596491229</v>
      </c>
      <c r="X893" s="15" t="n">
        <v>0.105867346938775</v>
      </c>
      <c r="Y893" s="13" t="n">
        <v>-0.0154931111474159</v>
      </c>
      <c r="Z893" s="13" t="n">
        <v>0.0905080591650977</v>
      </c>
      <c r="AA893" s="30" t="s">
        <v>97</v>
      </c>
      <c r="AB893" s="28" t="s">
        <v>93</v>
      </c>
      <c r="AC893" s="28" t="s">
        <v>101</v>
      </c>
      <c r="AD893" s="28" t="s">
        <v>110</v>
      </c>
      <c r="AE893" s="28" t="s">
        <v>101</v>
      </c>
      <c r="AF893" s="28" t="s">
        <v>118</v>
      </c>
      <c r="AG893" s="30" t="s">
        <v>123</v>
      </c>
    </row>
    <row r="894" customFormat="false" ht="15" hidden="false" customHeight="false" outlineLevel="0" collapsed="false">
      <c r="A894" s="10" t="n">
        <v>2026</v>
      </c>
      <c r="B894" s="28" t="s">
        <v>82</v>
      </c>
      <c r="C894" s="29" t="n">
        <v>46252</v>
      </c>
      <c r="D894" s="30" t="s">
        <v>126</v>
      </c>
      <c r="E894" s="28" t="s">
        <v>303</v>
      </c>
      <c r="F894" s="30" t="s">
        <v>304</v>
      </c>
      <c r="G894" s="31" t="n">
        <v>34384</v>
      </c>
      <c r="H894" s="31" t="n">
        <v>2</v>
      </c>
      <c r="I894" s="31" t="n">
        <v>68769</v>
      </c>
      <c r="J894" s="29" t="n">
        <v>46253</v>
      </c>
      <c r="K894" s="31" t="n">
        <v>32717</v>
      </c>
      <c r="L894" s="30" t="s">
        <v>32</v>
      </c>
      <c r="M894" s="10" t="n">
        <v>1</v>
      </c>
      <c r="N894" s="12" t="n">
        <v>-3485</v>
      </c>
      <c r="O894" s="13" t="n">
        <v>-0.0506800256512048</v>
      </c>
      <c r="P894" s="15" t="n">
        <v>0.0528045462543281</v>
      </c>
      <c r="Q894" s="13" t="n">
        <v>-0.0591649980296268</v>
      </c>
      <c r="R894" s="15" t="n">
        <v>0.0939490445859872</v>
      </c>
      <c r="S894" s="32" t="n">
        <v>36746290350</v>
      </c>
      <c r="T894" s="15" t="n">
        <v>0.0253731343283583</v>
      </c>
      <c r="U894" s="32" t="n">
        <v>12136971957.5</v>
      </c>
      <c r="V894" s="14" t="n">
        <v>2.54648734755749</v>
      </c>
      <c r="W894" s="13" t="n">
        <v>0.0147710487444608</v>
      </c>
      <c r="X894" s="15" t="n">
        <v>0.059679767103348</v>
      </c>
      <c r="Y894" s="13" t="n">
        <v>-0.0154931111474159</v>
      </c>
      <c r="Z894" s="13" t="n">
        <v>0.0905080591650977</v>
      </c>
      <c r="AA894" s="30" t="s">
        <v>97</v>
      </c>
      <c r="AB894" s="28" t="s">
        <v>93</v>
      </c>
      <c r="AC894" s="28" t="s">
        <v>101</v>
      </c>
      <c r="AD894" s="28" t="s">
        <v>107</v>
      </c>
      <c r="AE894" s="28" t="s">
        <v>113</v>
      </c>
      <c r="AF894" s="28" t="s">
        <v>117</v>
      </c>
      <c r="AG894" s="30" t="s">
        <v>122</v>
      </c>
    </row>
    <row r="895" customFormat="false" ht="15" hidden="false" customHeight="false" outlineLevel="0" collapsed="false">
      <c r="A895" s="10" t="n">
        <v>2026</v>
      </c>
      <c r="B895" s="28" t="s">
        <v>83</v>
      </c>
      <c r="C895" s="29" t="n">
        <v>46275</v>
      </c>
      <c r="D895" s="30" t="s">
        <v>128</v>
      </c>
      <c r="E895" s="28" t="s">
        <v>1005</v>
      </c>
      <c r="F895" s="30" t="s">
        <v>1006</v>
      </c>
      <c r="G895" s="31" t="n">
        <v>28979</v>
      </c>
      <c r="H895" s="31" t="n">
        <v>3</v>
      </c>
      <c r="I895" s="31" t="n">
        <v>86937</v>
      </c>
      <c r="J895" s="29" t="n">
        <v>46276</v>
      </c>
      <c r="K895" s="31" t="n">
        <v>27273</v>
      </c>
      <c r="L895" s="30" t="s">
        <v>32</v>
      </c>
      <c r="M895" s="10" t="n">
        <v>1</v>
      </c>
      <c r="N895" s="12" t="n">
        <v>-5308</v>
      </c>
      <c r="O895" s="13" t="n">
        <v>-0.0610523551577954</v>
      </c>
      <c r="P895" s="15" t="n">
        <v>-0.0372321978539594</v>
      </c>
      <c r="Q895" s="13" t="n">
        <v>-0.0717400043824913</v>
      </c>
      <c r="R895" s="15" t="n">
        <v>0.048913043478261</v>
      </c>
      <c r="S895" s="32" t="n">
        <v>43815564450</v>
      </c>
      <c r="T895" s="15" t="n">
        <v>0.0439624542610171</v>
      </c>
      <c r="U895" s="32" t="n">
        <v>14009830107.5</v>
      </c>
      <c r="V895" s="14" t="n">
        <v>2.82519544044004</v>
      </c>
      <c r="W895" s="13" t="n">
        <v>0.048913043478261</v>
      </c>
      <c r="X895" s="15" t="n">
        <v>0</v>
      </c>
      <c r="Y895" s="13" t="n">
        <v>-0.00251289061835269</v>
      </c>
      <c r="Z895" s="13" t="n">
        <v>0.0690692881504313</v>
      </c>
      <c r="AA895" s="30" t="s">
        <v>97</v>
      </c>
      <c r="AB895" s="28" t="s">
        <v>93</v>
      </c>
      <c r="AC895" s="28" t="s">
        <v>100</v>
      </c>
      <c r="AD895" s="28" t="s">
        <v>107</v>
      </c>
      <c r="AE895" s="28" t="s">
        <v>113</v>
      </c>
      <c r="AF895" s="28" t="s">
        <v>117</v>
      </c>
      <c r="AG895" s="30" t="s">
        <v>122</v>
      </c>
    </row>
    <row r="896" customFormat="false" ht="15" hidden="false" customHeight="false" outlineLevel="0" collapsed="false">
      <c r="A896" s="10" t="n">
        <v>2026</v>
      </c>
      <c r="B896" s="28" t="s">
        <v>83</v>
      </c>
      <c r="C896" s="29" t="n">
        <v>46281</v>
      </c>
      <c r="D896" s="30" t="s">
        <v>127</v>
      </c>
      <c r="E896" s="28" t="s">
        <v>1537</v>
      </c>
      <c r="F896" s="30" t="s">
        <v>1538</v>
      </c>
      <c r="G896" s="31" t="n">
        <v>75275</v>
      </c>
      <c r="H896" s="31" t="n">
        <v>1</v>
      </c>
      <c r="I896" s="31" t="n">
        <v>75275</v>
      </c>
      <c r="J896" s="29"/>
      <c r="K896" s="31"/>
      <c r="L896" s="30" t="s">
        <v>33</v>
      </c>
      <c r="M896" s="10" t="n">
        <v>5</v>
      </c>
      <c r="N896" s="12" t="n">
        <v>11323</v>
      </c>
      <c r="O896" s="13" t="n">
        <v>0.153102216932004</v>
      </c>
      <c r="P896" s="15" t="n">
        <v>0.162401428358875</v>
      </c>
      <c r="Q896" s="13" t="n">
        <v>0.0162709630794737</v>
      </c>
      <c r="R896" s="15" t="n">
        <v>0.153374233128834</v>
      </c>
      <c r="S896" s="32" t="n">
        <v>40498809600</v>
      </c>
      <c r="T896" s="15" t="n">
        <v>0.0820143884892086</v>
      </c>
      <c r="U896" s="32" t="n">
        <v>4873004515</v>
      </c>
      <c r="V896" s="14" t="n">
        <v>7.11194336835725</v>
      </c>
      <c r="W896" s="13" t="n">
        <v>0.0758226037195995</v>
      </c>
      <c r="X896" s="15" t="n">
        <v>0.0132978723404256</v>
      </c>
      <c r="Y896" s="13" t="n">
        <v>0.0136874062583934</v>
      </c>
      <c r="Z896" s="13" t="n">
        <v>-0.0473180706899388</v>
      </c>
      <c r="AA896" s="30" t="s">
        <v>96</v>
      </c>
      <c r="AB896" s="28" t="s">
        <v>94</v>
      </c>
      <c r="AC896" s="28" t="s">
        <v>103</v>
      </c>
      <c r="AD896" s="28" t="s">
        <v>107</v>
      </c>
      <c r="AE896" s="28" t="s">
        <v>101</v>
      </c>
      <c r="AF896" s="28" t="s">
        <v>119</v>
      </c>
      <c r="AG896" s="30" t="s">
        <v>122</v>
      </c>
    </row>
    <row r="897" customFormat="false" ht="15" hidden="false" customHeight="false" outlineLevel="0" collapsed="false">
      <c r="A897" s="10" t="n">
        <v>2026</v>
      </c>
      <c r="B897" s="28" t="s">
        <v>83</v>
      </c>
      <c r="C897" s="29" t="n">
        <v>46281</v>
      </c>
      <c r="D897" s="30" t="s">
        <v>127</v>
      </c>
      <c r="E897" s="28" t="s">
        <v>907</v>
      </c>
      <c r="F897" s="30" t="s">
        <v>908</v>
      </c>
      <c r="G897" s="31" t="n">
        <v>57457</v>
      </c>
      <c r="H897" s="31" t="n">
        <v>1</v>
      </c>
      <c r="I897" s="31" t="n">
        <v>57457</v>
      </c>
      <c r="J897" s="29" t="n">
        <v>46282</v>
      </c>
      <c r="K897" s="31" t="n">
        <v>54645</v>
      </c>
      <c r="L897" s="30" t="s">
        <v>32</v>
      </c>
      <c r="M897" s="10" t="n">
        <v>1</v>
      </c>
      <c r="N897" s="12" t="n">
        <v>-2938</v>
      </c>
      <c r="O897" s="13" t="n">
        <v>-0.0511371208060231</v>
      </c>
      <c r="P897" s="15" t="n">
        <v>-0.0131819400112082</v>
      </c>
      <c r="Q897" s="13" t="n">
        <v>-0.0601732762011507</v>
      </c>
      <c r="R897" s="15" t="n">
        <v>0.190871369294606</v>
      </c>
      <c r="S897" s="32" t="n">
        <v>33448472400</v>
      </c>
      <c r="T897" s="15" t="n">
        <v>0.0249999999999999</v>
      </c>
      <c r="U897" s="32" t="n">
        <v>4328430215</v>
      </c>
      <c r="V897" s="14" t="n">
        <v>7.00417924225542</v>
      </c>
      <c r="W897" s="13" t="n">
        <v>0.182286302780639</v>
      </c>
      <c r="X897" s="15" t="n">
        <v>0.00174216027874574</v>
      </c>
      <c r="Y897" s="13" t="n">
        <v>0.0136874062583934</v>
      </c>
      <c r="Z897" s="13" t="n">
        <v>-0.0473180706899388</v>
      </c>
      <c r="AA897" s="30" t="s">
        <v>96</v>
      </c>
      <c r="AB897" s="28" t="s">
        <v>94</v>
      </c>
      <c r="AC897" s="28" t="s">
        <v>103</v>
      </c>
      <c r="AD897" s="28" t="s">
        <v>107</v>
      </c>
      <c r="AE897" s="28" t="s">
        <v>113</v>
      </c>
      <c r="AF897" s="28" t="s">
        <v>119</v>
      </c>
      <c r="AG897" s="30" t="s">
        <v>122</v>
      </c>
    </row>
    <row r="898" customFormat="false" ht="15" hidden="false" customHeight="false" outlineLevel="0" collapsed="false">
      <c r="A898" s="10" t="n">
        <v>2026</v>
      </c>
      <c r="B898" s="28" t="s">
        <v>83</v>
      </c>
      <c r="C898" s="29" t="n">
        <v>46281</v>
      </c>
      <c r="D898" s="30" t="s">
        <v>127</v>
      </c>
      <c r="E898" s="28" t="s">
        <v>1539</v>
      </c>
      <c r="F898" s="30" t="s">
        <v>1540</v>
      </c>
      <c r="G898" s="31" t="n">
        <v>25826</v>
      </c>
      <c r="H898" s="31" t="n">
        <v>3</v>
      </c>
      <c r="I898" s="31" t="n">
        <v>77477</v>
      </c>
      <c r="J898" s="29"/>
      <c r="K898" s="31"/>
      <c r="L898" s="30" t="s">
        <v>33</v>
      </c>
      <c r="M898" s="10" t="n">
        <v>5</v>
      </c>
      <c r="N898" s="12" t="n">
        <v>7374</v>
      </c>
      <c r="O898" s="13" t="n">
        <v>0.0977394698324934</v>
      </c>
      <c r="P898" s="15" t="n">
        <v>0.132588341890668</v>
      </c>
      <c r="Q898" s="13" t="n">
        <v>-0.0126152916850589</v>
      </c>
      <c r="R898" s="15" t="n">
        <v>0.0909090909090908</v>
      </c>
      <c r="S898" s="32" t="n">
        <v>26485583400</v>
      </c>
      <c r="T898" s="15" t="n">
        <v>0.034068136272545</v>
      </c>
      <c r="U898" s="32" t="n">
        <v>5895561552.5</v>
      </c>
      <c r="V898" s="14" t="n">
        <v>4.05247353052521</v>
      </c>
      <c r="W898" s="13" t="n">
        <v>0.015748031496063</v>
      </c>
      <c r="X898" s="15" t="n">
        <v>0.00775193798449614</v>
      </c>
      <c r="Y898" s="13" t="n">
        <v>0.0136874062583934</v>
      </c>
      <c r="Z898" s="13" t="n">
        <v>-0.0473180706899388</v>
      </c>
      <c r="AA898" s="30" t="s">
        <v>96</v>
      </c>
      <c r="AB898" s="28" t="s">
        <v>94</v>
      </c>
      <c r="AC898" s="28" t="s">
        <v>101</v>
      </c>
      <c r="AD898" s="28" t="s">
        <v>106</v>
      </c>
      <c r="AE898" s="28" t="s">
        <v>113</v>
      </c>
      <c r="AF898" s="28" t="s">
        <v>118</v>
      </c>
      <c r="AG898" s="30" t="s">
        <v>122</v>
      </c>
    </row>
    <row r="899" customFormat="false" ht="15" hidden="false" customHeight="false" outlineLevel="0" collapsed="false">
      <c r="A899" s="10" t="n">
        <v>2026</v>
      </c>
      <c r="B899" s="28" t="s">
        <v>83</v>
      </c>
      <c r="C899" s="29" t="n">
        <v>46282</v>
      </c>
      <c r="D899" s="30" t="s">
        <v>128</v>
      </c>
      <c r="E899" s="28" t="s">
        <v>1085</v>
      </c>
      <c r="F899" s="30" t="s">
        <v>1086</v>
      </c>
      <c r="G899" s="31" t="n">
        <v>21622</v>
      </c>
      <c r="H899" s="31" t="n">
        <v>4</v>
      </c>
      <c r="I899" s="31" t="n">
        <v>86486</v>
      </c>
      <c r="J899" s="29" t="n">
        <v>46283</v>
      </c>
      <c r="K899" s="31" t="n">
        <v>25950</v>
      </c>
      <c r="L899" s="30" t="s">
        <v>31</v>
      </c>
      <c r="M899" s="10" t="n">
        <v>1</v>
      </c>
      <c r="N899" s="12" t="n">
        <v>17077</v>
      </c>
      <c r="O899" s="13" t="n">
        <v>0.197458294483294</v>
      </c>
      <c r="P899" s="15" t="n">
        <v>0.297313797313797</v>
      </c>
      <c r="Q899" s="13" t="n">
        <v>0.00362600362600363</v>
      </c>
      <c r="R899" s="15" t="n">
        <v>0.163793103448276</v>
      </c>
      <c r="S899" s="32" t="n">
        <v>318888122400</v>
      </c>
      <c r="T899" s="15" t="n">
        <v>0.11340206185567</v>
      </c>
      <c r="U899" s="32" t="n">
        <v>26113656177</v>
      </c>
      <c r="V899" s="14" t="n">
        <v>9.91973650645626</v>
      </c>
      <c r="W899" s="13" t="n">
        <v>0.121495327102804</v>
      </c>
      <c r="X899" s="15" t="n">
        <v>0.0625</v>
      </c>
      <c r="Y899" s="13" t="n">
        <v>-0.000381067495091592</v>
      </c>
      <c r="Z899" s="13" t="n">
        <v>-0.0452820049133342</v>
      </c>
      <c r="AA899" s="30" t="s">
        <v>96</v>
      </c>
      <c r="AB899" s="28" t="s">
        <v>94</v>
      </c>
      <c r="AC899" s="28" t="s">
        <v>103</v>
      </c>
      <c r="AD899" s="28" t="s">
        <v>110</v>
      </c>
      <c r="AE899" s="28" t="s">
        <v>114</v>
      </c>
      <c r="AF899" s="28" t="s">
        <v>119</v>
      </c>
      <c r="AG899" s="30" t="s">
        <v>122</v>
      </c>
    </row>
    <row r="900" customFormat="false" ht="15" hidden="false" customHeight="false" outlineLevel="0" collapsed="false">
      <c r="A900" s="10" t="n">
        <v>2026</v>
      </c>
      <c r="B900" s="28" t="s">
        <v>83</v>
      </c>
      <c r="C900" s="29" t="n">
        <v>46282</v>
      </c>
      <c r="D900" s="30" t="s">
        <v>128</v>
      </c>
      <c r="E900" s="28" t="s">
        <v>1541</v>
      </c>
      <c r="F900" s="30" t="s">
        <v>1542</v>
      </c>
      <c r="G900" s="31" t="n">
        <v>3859</v>
      </c>
      <c r="H900" s="31" t="n">
        <v>25</v>
      </c>
      <c r="I900" s="31" t="n">
        <v>96471</v>
      </c>
      <c r="J900" s="29"/>
      <c r="K900" s="31"/>
      <c r="L900" s="30" t="s">
        <v>33</v>
      </c>
      <c r="M900" s="10" t="n">
        <v>4</v>
      </c>
      <c r="N900" s="12" t="n">
        <v>3793</v>
      </c>
      <c r="O900" s="13" t="n">
        <v>0.0417597966236101</v>
      </c>
      <c r="P900" s="15" t="n">
        <v>0.097475805647012</v>
      </c>
      <c r="Q900" s="13" t="n">
        <v>-0.0139562123997921</v>
      </c>
      <c r="R900" s="15" t="n">
        <v>0.101428571428571</v>
      </c>
      <c r="S900" s="32" t="n">
        <v>104822307300</v>
      </c>
      <c r="T900" s="15" t="n">
        <v>0.0489795918367346</v>
      </c>
      <c r="U900" s="32" t="n">
        <v>5742788089.25</v>
      </c>
      <c r="V900" s="14" t="n">
        <v>15.8143091812409</v>
      </c>
      <c r="W900" s="13" t="n">
        <v>0.0738161559888579</v>
      </c>
      <c r="X900" s="15" t="n">
        <v>0.0713359273670557</v>
      </c>
      <c r="Y900" s="13" t="n">
        <v>-0.000381067495091592</v>
      </c>
      <c r="Z900" s="13" t="n">
        <v>-0.0452820049133342</v>
      </c>
      <c r="AA900" s="30" t="s">
        <v>96</v>
      </c>
      <c r="AB900" s="28" t="s">
        <v>94</v>
      </c>
      <c r="AC900" s="28" t="s">
        <v>102</v>
      </c>
      <c r="AD900" s="28" t="s">
        <v>109</v>
      </c>
      <c r="AE900" s="28" t="s">
        <v>113</v>
      </c>
      <c r="AF900" s="28" t="s">
        <v>120</v>
      </c>
      <c r="AG900" s="30" t="s">
        <v>122</v>
      </c>
    </row>
    <row r="901" customFormat="false" ht="15" hidden="false" customHeight="false" outlineLevel="0" collapsed="false">
      <c r="A901" s="10" t="n">
        <v>2026</v>
      </c>
      <c r="B901" s="28" t="s">
        <v>83</v>
      </c>
      <c r="C901" s="29" t="n">
        <v>46282</v>
      </c>
      <c r="D901" s="30" t="s">
        <v>128</v>
      </c>
      <c r="E901" s="28" t="s">
        <v>993</v>
      </c>
      <c r="F901" s="30" t="s">
        <v>994</v>
      </c>
      <c r="G901" s="31" t="n">
        <v>1688</v>
      </c>
      <c r="H901" s="31" t="n">
        <v>58</v>
      </c>
      <c r="I901" s="31" t="n">
        <v>97886</v>
      </c>
      <c r="J901" s="29" t="n">
        <v>46288</v>
      </c>
      <c r="K901" s="31" t="n">
        <v>2030</v>
      </c>
      <c r="L901" s="30" t="s">
        <v>31</v>
      </c>
      <c r="M901" s="10" t="n">
        <v>4</v>
      </c>
      <c r="N901" s="12" t="n">
        <v>19586</v>
      </c>
      <c r="O901" s="13" t="n">
        <v>0.200094298998747</v>
      </c>
      <c r="P901" s="15" t="n">
        <v>0.202830384325046</v>
      </c>
      <c r="Q901" s="13" t="n">
        <v>-0.0412908562374754</v>
      </c>
      <c r="R901" s="15" t="n">
        <v>0.206871868289191</v>
      </c>
      <c r="S901" s="32" t="n">
        <v>57539292084</v>
      </c>
      <c r="T901" s="15" t="n">
        <v>0.173277661795407</v>
      </c>
      <c r="U901" s="32" t="n">
        <v>3712923085.1</v>
      </c>
      <c r="V901" s="14" t="n">
        <v>11.887626645479</v>
      </c>
      <c r="W901" s="13" t="n">
        <v>0.208602150537634</v>
      </c>
      <c r="X901" s="15" t="n">
        <v>0.0676156583629892</v>
      </c>
      <c r="Y901" s="13" t="n">
        <v>-0.000381067495091592</v>
      </c>
      <c r="Z901" s="13" t="n">
        <v>-0.0452820049133342</v>
      </c>
      <c r="AA901" s="30" t="s">
        <v>96</v>
      </c>
      <c r="AB901" s="28" t="s">
        <v>94</v>
      </c>
      <c r="AC901" s="28" t="s">
        <v>104</v>
      </c>
      <c r="AD901" s="28" t="s">
        <v>108</v>
      </c>
      <c r="AE901" s="28" t="s">
        <v>114</v>
      </c>
      <c r="AF901" s="28" t="s">
        <v>120</v>
      </c>
      <c r="AG901" s="30" t="s">
        <v>122</v>
      </c>
    </row>
    <row r="902" customFormat="false" ht="15" hidden="false" customHeight="false" outlineLevel="0" collapsed="false">
      <c r="A902" s="10" t="n">
        <v>2026</v>
      </c>
      <c r="B902" s="28" t="s">
        <v>83</v>
      </c>
      <c r="C902" s="29" t="n">
        <v>46282</v>
      </c>
      <c r="D902" s="30" t="s">
        <v>128</v>
      </c>
      <c r="E902" s="28" t="s">
        <v>923</v>
      </c>
      <c r="F902" s="30" t="s">
        <v>924</v>
      </c>
      <c r="G902" s="31" t="n">
        <v>17107</v>
      </c>
      <c r="H902" s="31" t="n">
        <v>5</v>
      </c>
      <c r="I902" s="31" t="n">
        <v>85535</v>
      </c>
      <c r="J902" s="29"/>
      <c r="K902" s="31"/>
      <c r="L902" s="30" t="s">
        <v>33</v>
      </c>
      <c r="M902" s="10" t="n">
        <v>4</v>
      </c>
      <c r="N902" s="12" t="n">
        <v>3306</v>
      </c>
      <c r="O902" s="13" t="n">
        <v>0.0410888117149091</v>
      </c>
      <c r="P902" s="15" t="n">
        <v>0.0697319064785422</v>
      </c>
      <c r="Q902" s="13" t="n">
        <v>-0.0284729898539142</v>
      </c>
      <c r="R902" s="15" t="n">
        <v>0.0420731707317072</v>
      </c>
      <c r="S902" s="32" t="n">
        <v>35757629170</v>
      </c>
      <c r="T902" s="15" t="n">
        <v>0.0118413262285375</v>
      </c>
      <c r="U902" s="32" t="n">
        <v>9224301183</v>
      </c>
      <c r="V902" s="14" t="n">
        <v>3.56840584510217</v>
      </c>
      <c r="W902" s="13" t="n">
        <v>0.0136417556346382</v>
      </c>
      <c r="X902" s="15" t="n">
        <v>0.0438853130485664</v>
      </c>
      <c r="Y902" s="13" t="n">
        <v>-0.000381067495091592</v>
      </c>
      <c r="Z902" s="13" t="n">
        <v>-0.0452820049133342</v>
      </c>
      <c r="AA902" s="30" t="s">
        <v>96</v>
      </c>
      <c r="AB902" s="28" t="s">
        <v>94</v>
      </c>
      <c r="AC902" s="28" t="s">
        <v>100</v>
      </c>
      <c r="AD902" s="28" t="s">
        <v>107</v>
      </c>
      <c r="AE902" s="28" t="s">
        <v>112</v>
      </c>
      <c r="AF902" s="28" t="s">
        <v>118</v>
      </c>
      <c r="AG902" s="30" t="s">
        <v>122</v>
      </c>
    </row>
    <row r="903" customFormat="false" ht="15" hidden="false" customHeight="false" outlineLevel="0" collapsed="false">
      <c r="A903" s="10" t="n">
        <v>2026</v>
      </c>
      <c r="B903" s="28" t="s">
        <v>83</v>
      </c>
      <c r="C903" s="29" t="n">
        <v>46283</v>
      </c>
      <c r="D903" s="30" t="s">
        <v>129</v>
      </c>
      <c r="E903" s="28" t="s">
        <v>891</v>
      </c>
      <c r="F903" s="30" t="s">
        <v>892</v>
      </c>
      <c r="G903" s="31" t="n">
        <v>12062</v>
      </c>
      <c r="H903" s="31" t="n">
        <v>8</v>
      </c>
      <c r="I903" s="31" t="n">
        <v>96496</v>
      </c>
      <c r="J903" s="29"/>
      <c r="K903" s="31"/>
      <c r="L903" s="30" t="s">
        <v>33</v>
      </c>
      <c r="M903" s="10" t="n">
        <v>3</v>
      </c>
      <c r="N903" s="12" t="n">
        <v>156</v>
      </c>
      <c r="O903" s="13" t="n">
        <v>0.00397527783419904</v>
      </c>
      <c r="P903" s="15" t="n">
        <v>0.106777040386999</v>
      </c>
      <c r="Q903" s="13" t="n">
        <v>-0.031673720470401</v>
      </c>
      <c r="R903" s="15" t="n">
        <v>0.0778175313059033</v>
      </c>
      <c r="S903" s="32" t="n">
        <v>103338185150</v>
      </c>
      <c r="T903" s="15" t="n">
        <v>0.0644876325088339</v>
      </c>
      <c r="U903" s="32" t="n">
        <v>12408324072.5</v>
      </c>
      <c r="V903" s="14" t="n">
        <v>7.53938054544438</v>
      </c>
      <c r="W903" s="13" t="n">
        <v>0.0255319148936171</v>
      </c>
      <c r="X903" s="15" t="n">
        <v>0.0721991701244813</v>
      </c>
      <c r="Y903" s="13" t="n">
        <v>0.0266283071324014</v>
      </c>
      <c r="Z903" s="13" t="n">
        <v>-0.00226920466402603</v>
      </c>
      <c r="AA903" s="30" t="s">
        <v>97</v>
      </c>
      <c r="AB903" s="28" t="s">
        <v>94</v>
      </c>
      <c r="AC903" s="28" t="s">
        <v>101</v>
      </c>
      <c r="AD903" s="28" t="s">
        <v>109</v>
      </c>
      <c r="AE903" s="28" t="s">
        <v>101</v>
      </c>
      <c r="AF903" s="28" t="s">
        <v>119</v>
      </c>
      <c r="AG903" s="30" t="s">
        <v>122</v>
      </c>
    </row>
    <row r="904" customFormat="false" ht="15" hidden="false" customHeight="false" outlineLevel="0" collapsed="false">
      <c r="A904" s="10" t="n">
        <v>2026</v>
      </c>
      <c r="B904" s="28" t="s">
        <v>83</v>
      </c>
      <c r="C904" s="29" t="n">
        <v>46283</v>
      </c>
      <c r="D904" s="30" t="s">
        <v>129</v>
      </c>
      <c r="E904" s="28" t="s">
        <v>295</v>
      </c>
      <c r="F904" s="30" t="s">
        <v>296</v>
      </c>
      <c r="G904" s="31" t="n">
        <v>80080</v>
      </c>
      <c r="H904" s="31" t="n">
        <v>1</v>
      </c>
      <c r="I904" s="31" t="n">
        <v>80080</v>
      </c>
      <c r="J904" s="29" t="n">
        <v>46286</v>
      </c>
      <c r="K904" s="31" t="n">
        <v>76224</v>
      </c>
      <c r="L904" s="30" t="s">
        <v>32</v>
      </c>
      <c r="M904" s="10" t="n">
        <v>1</v>
      </c>
      <c r="N904" s="12" t="n">
        <v>-4032</v>
      </c>
      <c r="O904" s="13" t="n">
        <v>-0.0503520598776223</v>
      </c>
      <c r="P904" s="15" t="n">
        <v>0.0364635364635366</v>
      </c>
      <c r="Q904" s="13" t="n">
        <v>-0.0596903096903095</v>
      </c>
      <c r="R904" s="15" t="n">
        <v>0.032258064516129</v>
      </c>
      <c r="S904" s="32" t="n">
        <v>97733760000</v>
      </c>
      <c r="T904" s="15" t="n">
        <v>0.0269576379974326</v>
      </c>
      <c r="U904" s="32" t="n">
        <v>27990334950</v>
      </c>
      <c r="V904" s="14" t="n">
        <v>3.18438512941211</v>
      </c>
      <c r="W904" s="13" t="n">
        <v>0.0309278350515463</v>
      </c>
      <c r="X904" s="15" t="n">
        <v>0.01875</v>
      </c>
      <c r="Y904" s="13" t="n">
        <v>0.0266283071324014</v>
      </c>
      <c r="Z904" s="13" t="n">
        <v>-0.00226920466402603</v>
      </c>
      <c r="AA904" s="30" t="s">
        <v>97</v>
      </c>
      <c r="AB904" s="28" t="s">
        <v>94</v>
      </c>
      <c r="AC904" s="28" t="s">
        <v>100</v>
      </c>
      <c r="AD904" s="28" t="s">
        <v>108</v>
      </c>
      <c r="AE904" s="28" t="s">
        <v>113</v>
      </c>
      <c r="AF904" s="28" t="s">
        <v>118</v>
      </c>
      <c r="AG904" s="30" t="s">
        <v>122</v>
      </c>
    </row>
    <row r="905" customFormat="false" ht="15" hidden="false" customHeight="false" outlineLevel="0" collapsed="false">
      <c r="A905" s="10" t="n">
        <v>2026</v>
      </c>
      <c r="B905" s="28" t="s">
        <v>83</v>
      </c>
      <c r="C905" s="29" t="n">
        <v>46283</v>
      </c>
      <c r="D905" s="30" t="s">
        <v>129</v>
      </c>
      <c r="E905" s="28" t="s">
        <v>1107</v>
      </c>
      <c r="F905" s="30" t="s">
        <v>1108</v>
      </c>
      <c r="G905" s="31" t="n">
        <v>54254</v>
      </c>
      <c r="H905" s="31" t="n">
        <v>1</v>
      </c>
      <c r="I905" s="31" t="n">
        <v>54254</v>
      </c>
      <c r="J905" s="29" t="n">
        <v>46286</v>
      </c>
      <c r="K905" s="31" t="n">
        <v>51648</v>
      </c>
      <c r="L905" s="30" t="s">
        <v>32</v>
      </c>
      <c r="M905" s="10" t="n">
        <v>1</v>
      </c>
      <c r="N905" s="12" t="n">
        <v>-2725</v>
      </c>
      <c r="O905" s="13" t="n">
        <v>-0.050228037184218</v>
      </c>
      <c r="P905" s="15" t="n">
        <v>-0.0212739290230065</v>
      </c>
      <c r="Q905" s="13" t="n">
        <v>-0.0581374345211984</v>
      </c>
      <c r="R905" s="15" t="n">
        <v>0.0565302144249513</v>
      </c>
      <c r="S905" s="32" t="n">
        <v>80578381200</v>
      </c>
      <c r="T905" s="15" t="n">
        <v>0.0383141762452108</v>
      </c>
      <c r="U905" s="32" t="n">
        <v>30730841837.5</v>
      </c>
      <c r="V905" s="14" t="n">
        <v>2.31995522024489</v>
      </c>
      <c r="W905" s="13" t="n">
        <v>0.0403071017274472</v>
      </c>
      <c r="X905" s="15" t="n">
        <v>0.0461254612546125</v>
      </c>
      <c r="Y905" s="13" t="n">
        <v>0.0266283071324014</v>
      </c>
      <c r="Z905" s="13" t="n">
        <v>-0.00226920466402603</v>
      </c>
      <c r="AA905" s="30" t="s">
        <v>97</v>
      </c>
      <c r="AB905" s="28" t="s">
        <v>94</v>
      </c>
      <c r="AC905" s="28" t="s">
        <v>101</v>
      </c>
      <c r="AD905" s="28" t="s">
        <v>108</v>
      </c>
      <c r="AE905" s="28" t="s">
        <v>113</v>
      </c>
      <c r="AF905" s="28" t="s">
        <v>117</v>
      </c>
      <c r="AG905" s="30" t="s">
        <v>122</v>
      </c>
    </row>
    <row r="906" customFormat="false" ht="15" hidden="false" customHeight="false" outlineLevel="0" collapsed="false">
      <c r="A906" s="10" t="n">
        <v>2026</v>
      </c>
      <c r="B906" s="28" t="s">
        <v>83</v>
      </c>
      <c r="C906" s="29" t="n">
        <v>46283</v>
      </c>
      <c r="D906" s="30" t="s">
        <v>129</v>
      </c>
      <c r="E906" s="28" t="s">
        <v>1067</v>
      </c>
      <c r="F906" s="30" t="s">
        <v>1068</v>
      </c>
      <c r="G906" s="31" t="n">
        <v>24174</v>
      </c>
      <c r="H906" s="31" t="n">
        <v>4</v>
      </c>
      <c r="I906" s="31" t="n">
        <v>96697</v>
      </c>
      <c r="J906" s="29" t="n">
        <v>46286</v>
      </c>
      <c r="K906" s="31" t="n">
        <v>22977</v>
      </c>
      <c r="L906" s="30" t="s">
        <v>32</v>
      </c>
      <c r="M906" s="10" t="n">
        <v>1</v>
      </c>
      <c r="N906" s="12" t="n">
        <v>-5001</v>
      </c>
      <c r="O906" s="13" t="n">
        <v>-0.0517154345654345</v>
      </c>
      <c r="P906" s="15" t="n">
        <v>-0.000999000999000854</v>
      </c>
      <c r="Q906" s="13" t="n">
        <v>-0.0651170775394377</v>
      </c>
      <c r="R906" s="15" t="n">
        <v>0.016842105263158</v>
      </c>
      <c r="S906" s="32" t="n">
        <v>52480195950</v>
      </c>
      <c r="T906" s="15" t="n">
        <v>0.016842105263158</v>
      </c>
      <c r="U906" s="32" t="n">
        <v>18759495656.5</v>
      </c>
      <c r="V906" s="14" t="n">
        <v>2.52612474290835</v>
      </c>
      <c r="W906" s="13" t="n">
        <v>0.0147058823529411</v>
      </c>
      <c r="X906" s="15" t="n">
        <v>0.0186335403726707</v>
      </c>
      <c r="Y906" s="13" t="n">
        <v>0.0266283071324014</v>
      </c>
      <c r="Z906" s="13" t="n">
        <v>-0.00226920466402603</v>
      </c>
      <c r="AA906" s="30" t="s">
        <v>97</v>
      </c>
      <c r="AB906" s="28" t="s">
        <v>94</v>
      </c>
      <c r="AC906" s="28" t="s">
        <v>99</v>
      </c>
      <c r="AD906" s="28" t="s">
        <v>108</v>
      </c>
      <c r="AE906" s="28" t="s">
        <v>112</v>
      </c>
      <c r="AF906" s="28" t="s">
        <v>117</v>
      </c>
      <c r="AG906" s="30" t="s">
        <v>122</v>
      </c>
    </row>
    <row r="907" customFormat="false" ht="15" hidden="false" customHeight="false" outlineLevel="0" collapsed="false">
      <c r="A907" s="10" t="n">
        <v>2026</v>
      </c>
      <c r="B907" s="28" t="s">
        <v>83</v>
      </c>
      <c r="C907" s="29" t="n">
        <v>46283</v>
      </c>
      <c r="D907" s="30" t="s">
        <v>129</v>
      </c>
      <c r="E907" s="28" t="s">
        <v>1543</v>
      </c>
      <c r="F907" s="30" t="s">
        <v>1544</v>
      </c>
      <c r="G907" s="31" t="n">
        <v>25576</v>
      </c>
      <c r="H907" s="31" t="n">
        <v>3</v>
      </c>
      <c r="I907" s="31" t="n">
        <v>76727</v>
      </c>
      <c r="J907" s="29"/>
      <c r="K907" s="31"/>
      <c r="L907" s="30" t="s">
        <v>33</v>
      </c>
      <c r="M907" s="10" t="n">
        <v>3</v>
      </c>
      <c r="N907" s="12" t="n">
        <v>6029</v>
      </c>
      <c r="O907" s="13" t="n">
        <v>0.0811106701517663</v>
      </c>
      <c r="P907" s="15" t="n">
        <v>0.157355364791764</v>
      </c>
      <c r="Q907" s="13" t="n">
        <v>-0.0166389383610517</v>
      </c>
      <c r="R907" s="15" t="n">
        <v>0.143176733780761</v>
      </c>
      <c r="S907" s="32" t="n">
        <v>45014398800</v>
      </c>
      <c r="T907" s="15" t="n">
        <v>0.133037694013304</v>
      </c>
      <c r="U907" s="32" t="n">
        <v>4628351830.5</v>
      </c>
      <c r="V907" s="14" t="n">
        <v>7.98345141344958</v>
      </c>
      <c r="W907" s="13" t="n">
        <v>0.158730158730159</v>
      </c>
      <c r="X907" s="15" t="n">
        <v>0.0117416829745598</v>
      </c>
      <c r="Y907" s="13" t="n">
        <v>0.0266283071324014</v>
      </c>
      <c r="Z907" s="13" t="n">
        <v>-0.00226920466402603</v>
      </c>
      <c r="AA907" s="30" t="s">
        <v>97</v>
      </c>
      <c r="AB907" s="28" t="s">
        <v>94</v>
      </c>
      <c r="AC907" s="28" t="s">
        <v>102</v>
      </c>
      <c r="AD907" s="28" t="s">
        <v>107</v>
      </c>
      <c r="AE907" s="28" t="s">
        <v>114</v>
      </c>
      <c r="AF907" s="28" t="s">
        <v>119</v>
      </c>
      <c r="AG907" s="30" t="s">
        <v>122</v>
      </c>
    </row>
    <row r="908" customFormat="false" ht="15" hidden="false" customHeight="false" outlineLevel="0" collapsed="false">
      <c r="A908" s="10" t="n">
        <v>2026</v>
      </c>
      <c r="B908" s="28" t="s">
        <v>83</v>
      </c>
      <c r="C908" s="29" t="n">
        <v>46283</v>
      </c>
      <c r="D908" s="30" t="s">
        <v>129</v>
      </c>
      <c r="E908" s="28" t="s">
        <v>1545</v>
      </c>
      <c r="F908" s="28" t="s">
        <v>1546</v>
      </c>
      <c r="G908" s="31" t="n">
        <v>9109</v>
      </c>
      <c r="H908" s="31" t="n">
        <v>10</v>
      </c>
      <c r="I908" s="31" t="n">
        <v>91091</v>
      </c>
      <c r="J908" s="29" t="n">
        <v>46288</v>
      </c>
      <c r="K908" s="31" t="n">
        <v>8671</v>
      </c>
      <c r="L908" s="30" t="s">
        <v>32</v>
      </c>
      <c r="M908" s="10" t="n">
        <v>3</v>
      </c>
      <c r="N908" s="12" t="n">
        <v>-4578</v>
      </c>
      <c r="O908" s="13" t="n">
        <v>-0.0502563044647659</v>
      </c>
      <c r="P908" s="15" t="n">
        <v>0.0747494263977782</v>
      </c>
      <c r="Q908" s="13" t="n">
        <v>-0.0482045427100371</v>
      </c>
      <c r="R908" s="15" t="n">
        <v>0.056910569105691</v>
      </c>
      <c r="S908" s="32" t="n">
        <v>41319450900</v>
      </c>
      <c r="T908" s="15" t="n">
        <v>0.0144927536231885</v>
      </c>
      <c r="U908" s="32" t="n">
        <v>22520269813.5</v>
      </c>
      <c r="V908" s="14" t="n">
        <v>1.62438274667313</v>
      </c>
      <c r="W908" s="13" t="n">
        <v>0.0435779816513762</v>
      </c>
      <c r="X908" s="15" t="n">
        <v>0.0131868131868131</v>
      </c>
      <c r="Y908" s="13" t="n">
        <v>0.0266283071324014</v>
      </c>
      <c r="Z908" s="13" t="n">
        <v>-0.00226920466402603</v>
      </c>
      <c r="AA908" s="30" t="s">
        <v>97</v>
      </c>
      <c r="AB908" s="28" t="s">
        <v>94</v>
      </c>
      <c r="AC908" s="28" t="s">
        <v>101</v>
      </c>
      <c r="AD908" s="28" t="s">
        <v>107</v>
      </c>
      <c r="AE908" s="28" t="s">
        <v>112</v>
      </c>
      <c r="AF908" s="28" t="s">
        <v>116</v>
      </c>
      <c r="AG908" s="30" t="s">
        <v>122</v>
      </c>
    </row>
    <row r="909" customFormat="false" ht="15" hidden="false" customHeight="false" outlineLevel="0" collapsed="false">
      <c r="A909" s="10" t="n">
        <v>2026</v>
      </c>
      <c r="B909" s="28" t="s">
        <v>83</v>
      </c>
      <c r="C909" s="29" t="n">
        <v>46283</v>
      </c>
      <c r="D909" s="30" t="s">
        <v>129</v>
      </c>
      <c r="E909" s="28" t="s">
        <v>1395</v>
      </c>
      <c r="F909" s="30" t="s">
        <v>1396</v>
      </c>
      <c r="G909" s="31" t="n">
        <v>9770</v>
      </c>
      <c r="H909" s="31" t="n">
        <v>10</v>
      </c>
      <c r="I909" s="31" t="n">
        <v>97698</v>
      </c>
      <c r="J909" s="29" t="n">
        <v>46286</v>
      </c>
      <c r="K909" s="31" t="n">
        <v>9301</v>
      </c>
      <c r="L909" s="30" t="s">
        <v>32</v>
      </c>
      <c r="M909" s="10" t="n">
        <v>1</v>
      </c>
      <c r="N909" s="12" t="n">
        <v>-4905</v>
      </c>
      <c r="O909" s="13" t="n">
        <v>-0.0502092116387707</v>
      </c>
      <c r="P909" s="15" t="n">
        <v>0.0225430307397523</v>
      </c>
      <c r="Q909" s="13" t="n">
        <v>-0.0583187304498778</v>
      </c>
      <c r="R909" s="15" t="n">
        <v>0.044967880085653</v>
      </c>
      <c r="S909" s="32" t="n">
        <v>37891823840</v>
      </c>
      <c r="T909" s="15" t="n">
        <v>0.044967880085653</v>
      </c>
      <c r="U909" s="32" t="n">
        <v>8257889986.5</v>
      </c>
      <c r="V909" s="14" t="n">
        <v>4.20007969893341</v>
      </c>
      <c r="W909" s="13" t="n">
        <v>0.0371944739638683</v>
      </c>
      <c r="X909" s="15" t="n">
        <v>0.0522540983606556</v>
      </c>
      <c r="Y909" s="13" t="n">
        <v>0.0266283071324014</v>
      </c>
      <c r="Z909" s="13" t="n">
        <v>-0.00226920466402603</v>
      </c>
      <c r="AA909" s="30" t="s">
        <v>97</v>
      </c>
      <c r="AB909" s="28" t="s">
        <v>94</v>
      </c>
      <c r="AC909" s="28" t="s">
        <v>100</v>
      </c>
      <c r="AD909" s="28" t="s">
        <v>107</v>
      </c>
      <c r="AE909" s="28" t="s">
        <v>113</v>
      </c>
      <c r="AF909" s="28" t="s">
        <v>118</v>
      </c>
      <c r="AG909" s="30" t="s">
        <v>122</v>
      </c>
    </row>
    <row r="910" customFormat="false" ht="15" hidden="false" customHeight="false" outlineLevel="0" collapsed="false">
      <c r="A910" s="10" t="n">
        <v>2026</v>
      </c>
      <c r="B910" s="28" t="s">
        <v>83</v>
      </c>
      <c r="C910" s="29" t="n">
        <v>46283</v>
      </c>
      <c r="D910" s="30" t="s">
        <v>129</v>
      </c>
      <c r="E910" s="28" t="s">
        <v>1047</v>
      </c>
      <c r="F910" s="30" t="s">
        <v>1048</v>
      </c>
      <c r="G910" s="31" t="n">
        <v>6547</v>
      </c>
      <c r="H910" s="31" t="n">
        <v>15</v>
      </c>
      <c r="I910" s="31" t="n">
        <v>98198</v>
      </c>
      <c r="J910" s="29" t="n">
        <v>46286</v>
      </c>
      <c r="K910" s="31" t="n">
        <v>6224</v>
      </c>
      <c r="L910" s="30" t="s">
        <v>32</v>
      </c>
      <c r="M910" s="10" t="n">
        <v>1</v>
      </c>
      <c r="N910" s="12" t="n">
        <v>-5057</v>
      </c>
      <c r="O910" s="13" t="n">
        <v>-0.0514979037018027</v>
      </c>
      <c r="P910" s="15" t="n">
        <v>-0.0147467211687394</v>
      </c>
      <c r="Q910" s="13" t="n">
        <v>-0.0605724550678678</v>
      </c>
      <c r="R910" s="15" t="n">
        <v>0.116040955631399</v>
      </c>
      <c r="S910" s="32" t="n">
        <v>22107397440</v>
      </c>
      <c r="T910" s="15" t="n">
        <v>0.0430622009569377</v>
      </c>
      <c r="U910" s="32" t="n">
        <v>4696474141</v>
      </c>
      <c r="V910" s="14" t="n">
        <v>4.25903603907693</v>
      </c>
      <c r="W910" s="13" t="n">
        <v>0.0991596638655463</v>
      </c>
      <c r="X910" s="15" t="n">
        <v>0.025993883792049</v>
      </c>
      <c r="Y910" s="13" t="n">
        <v>0.0266283071324014</v>
      </c>
      <c r="Z910" s="13" t="n">
        <v>-0.00226920466402603</v>
      </c>
      <c r="AA910" s="30" t="s">
        <v>97</v>
      </c>
      <c r="AB910" s="28" t="s">
        <v>94</v>
      </c>
      <c r="AC910" s="28" t="s">
        <v>102</v>
      </c>
      <c r="AD910" s="28" t="s">
        <v>106</v>
      </c>
      <c r="AE910" s="28" t="s">
        <v>113</v>
      </c>
      <c r="AF910" s="28" t="s">
        <v>118</v>
      </c>
      <c r="AG910" s="30" t="s">
        <v>122</v>
      </c>
    </row>
  </sheetData>
  <autoFilter ref="A1:AG9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2026-09-28T05:21:32Z</dcterms:created>
  <dc:creator>openpyxl</dc:creator>
  <dc:description/>
  <dc:language>en-US</dc:language>
  <cp:lastModifiedBy/>
  <dcterms:modified xsi:type="dcterms:W3CDTF">2026-09-28T05:21:34Z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